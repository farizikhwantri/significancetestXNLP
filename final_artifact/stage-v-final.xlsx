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fariz/repositories/significancetestXNLP/output/"/>
    </mc:Choice>
  </mc:AlternateContent>
  <xr:revisionPtr revIDLastSave="0" documentId="13_ncr:1_{3ADF0AAB-8483-DA4D-9923-9B097E7230E6}" xr6:coauthVersionLast="47" xr6:coauthVersionMax="47" xr10:uidLastSave="{00000000-0000-0000-0000-000000000000}"/>
  <bookViews>
    <workbookView xWindow="0" yWindow="660" windowWidth="30240" windowHeight="17080" xr2:uid="{00000000-000D-0000-FFFF-FFFF00000000}"/>
  </bookViews>
  <sheets>
    <sheet name="filtered" sheetId="1" r:id="rId1"/>
    <sheet name="positive" sheetId="4" r:id="rId2"/>
    <sheet name="negative" sheetId="6" r:id="rId3"/>
  </sheets>
  <definedNames>
    <definedName name="_xlnm._FilterDatabase" localSheetId="0" hidden="1">filtered!$A$1:$J$1402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56" i="1" l="1"/>
  <c r="E1457" i="1"/>
  <c r="E1458" i="1"/>
  <c r="E1459" i="1"/>
  <c r="E1460" i="1"/>
  <c r="E1461" i="1"/>
  <c r="E1455" i="1"/>
  <c r="K130" i="4"/>
  <c r="I130" i="4"/>
  <c r="J130" i="4"/>
  <c r="G892" i="1"/>
  <c r="G1171" i="1"/>
  <c r="J1414" i="1"/>
  <c r="J1415" i="1"/>
  <c r="J1413" i="1"/>
  <c r="K1406" i="1"/>
  <c r="G128" i="4"/>
  <c r="L130" i="4"/>
  <c r="J129" i="4"/>
  <c r="K129" i="4"/>
  <c r="L129" i="4"/>
  <c r="I129" i="4"/>
  <c r="G1461" i="1" l="1"/>
  <c r="D1469" i="1"/>
  <c r="D1468" i="1"/>
  <c r="D1467" i="1"/>
  <c r="G56" i="1"/>
  <c r="E1405" i="1"/>
  <c r="C1405" i="1"/>
  <c r="J1405" i="1"/>
  <c r="J1420" i="1"/>
  <c r="J1419" i="1"/>
  <c r="D1420" i="1"/>
  <c r="D1422" i="1"/>
  <c r="D1421" i="1"/>
  <c r="B1405" i="1"/>
  <c r="J1412" i="1"/>
  <c r="J1411" i="1"/>
  <c r="J1410" i="1"/>
  <c r="J1409" i="1"/>
  <c r="J1408" i="1"/>
  <c r="J1407" i="1"/>
  <c r="C1411" i="1"/>
  <c r="F1405"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1405" i="1" l="1"/>
  <c r="I1455" i="1"/>
  <c r="I1459" i="1"/>
  <c r="I1456" i="1"/>
  <c r="I1457" i="1"/>
  <c r="I1458" i="1"/>
  <c r="I1460" i="1"/>
  <c r="D1460" i="1"/>
  <c r="D1458" i="1"/>
  <c r="D1459" i="1"/>
  <c r="H1460" i="1"/>
  <c r="H1457" i="1"/>
  <c r="H1456" i="1"/>
  <c r="H1458" i="1"/>
  <c r="H1459" i="1"/>
  <c r="H1455" i="1"/>
  <c r="D1464" i="1"/>
  <c r="C1412" i="1"/>
  <c r="C1466" i="1"/>
  <c r="D1465" i="1"/>
  <c r="D1466" i="1"/>
  <c r="C1467" i="1"/>
  <c r="E1467" i="1" s="1"/>
  <c r="C1468" i="1"/>
  <c r="E1468" i="1" s="1"/>
  <c r="C1469" i="1"/>
  <c r="E1469" i="1" s="1"/>
  <c r="C1464" i="1"/>
  <c r="C1465" i="1"/>
  <c r="D1417" i="1"/>
  <c r="C1417" i="1"/>
  <c r="K1405" i="1"/>
  <c r="C1422" i="1"/>
  <c r="D1418" i="1"/>
  <c r="C1410" i="1"/>
  <c r="D1411" i="1" s="1"/>
  <c r="D1419" i="1"/>
  <c r="G1405" i="1"/>
  <c r="C1418" i="1"/>
  <c r="C1419" i="1"/>
  <c r="C1420" i="1"/>
  <c r="C1421" i="1"/>
  <c r="J1406" i="1"/>
  <c r="J1416" i="1"/>
  <c r="D1410" i="1"/>
  <c r="C1457" i="1" l="1"/>
  <c r="C1455" i="1"/>
  <c r="D1457" i="1"/>
  <c r="D1456" i="1"/>
  <c r="C1456" i="1"/>
  <c r="D1455" i="1"/>
  <c r="D1470" i="1"/>
  <c r="E1420" i="1"/>
  <c r="C1458" i="1"/>
  <c r="E1421" i="1"/>
  <c r="C1459" i="1"/>
  <c r="E1422" i="1"/>
  <c r="C1460" i="1"/>
  <c r="C1470" i="1"/>
  <c r="E1465" i="1"/>
  <c r="E1464" i="1"/>
  <c r="E1466" i="1"/>
  <c r="D1406" i="1"/>
  <c r="E1419" i="1"/>
  <c r="E1418" i="1"/>
  <c r="E1417" i="1"/>
  <c r="C1423" i="1"/>
  <c r="C1461" i="1" l="1"/>
  <c r="C1472" i="1" s="1"/>
  <c r="D1461" i="1"/>
  <c r="E1470" i="1"/>
  <c r="D1472" i="1" l="1"/>
  <c r="E1472" i="1" s="1"/>
</calcChain>
</file>

<file path=xl/sharedStrings.xml><?xml version="1.0" encoding="utf-8"?>
<sst xmlns="http://schemas.openxmlformats.org/spreadsheetml/2006/main" count="7711" uniqueCount="3361">
  <si>
    <t>id</t>
  </si>
  <si>
    <t>title</t>
  </si>
  <si>
    <t>has_explanation_evaluation</t>
  </si>
  <si>
    <t>has_significance_testing</t>
  </si>
  <si>
    <t>is_xai_interpretable</t>
  </si>
  <si>
    <t>checked</t>
  </si>
  <si>
    <t>verified</t>
  </si>
  <si>
    <t>notes</t>
  </si>
  <si>
    <t>Gemini</t>
  </si>
  <si>
    <t>main_venue_match</t>
  </si>
  <si>
    <t>yang-etal-2025-self</t>
  </si>
  <si>
    <t>Self-Rationalization in the Wild: A Large-scale Out-of-Distribution Evaluation on {NLI}-related tasks</t>
  </si>
  <si>
    <t>✔</t>
  </si>
  <si>
    <t>significant test only on correlation, no other significant test reported</t>
  </si>
  <si>
    <t>TACL</t>
  </si>
  <si>
    <t>liu-etal-2025-exploring</t>
  </si>
  <si>
    <t>Exploring Practical Gaps in Using Cross Entropy to Implement Maximum Mutual Information Criterion for Rationalization</t>
  </si>
  <si>
    <t>guo-etal-2025-lab</t>
  </si>
  <si>
    <t>{LAB}-{KG}: A Retrieval-Augmented Generation Method with Knowledge Graphs for Medical Lab Test Interpretation</t>
  </si>
  <si>
    <t>Illustrative, qualitative claims for RAG</t>
  </si>
  <si>
    <t>COLING</t>
  </si>
  <si>
    <t>tayyar-madabushi-etal-2025-generative</t>
  </si>
  <si>
    <t>Generative {F}rame{N}et: Scalable and Adaptive Frames for Interpretable Knowledge Storage and Retrieval for {LLM}s Powered by {LLM}s</t>
  </si>
  <si>
    <t>michel-etal-2025-evaluating</t>
  </si>
  <si>
    <t>Evaluating {LLM}s for Quotation Attribution in Literary Texts: A Case Study of {LL}a{M}a3</t>
  </si>
  <si>
    <t>LLMs memorization,  The authors calculated the correlation between quotation attribution accuracy and various metrics (Name-Cloze, CSG-Memorization, and CSG-Reasoning). Student's t-test (Top 5 vs. Bottom 5): Paired Student's t-test for Annotation Contamination:</t>
  </si>
  <si>
    <t>NAACL</t>
  </si>
  <si>
    <t>vladika-etal-2025-step</t>
  </si>
  <si>
    <t>Step-by-Step Fact Verification System for Medical Claims with Explainable Reasoning</t>
  </si>
  <si>
    <t>saakyan-etal-2025-understanding</t>
  </si>
  <si>
    <t>Understanding Figurative Meaning through Explainable Visual Entailment</t>
  </si>
  <si>
    <t xml:space="preserve"> "tests": [
  "paired bootstrap test",
  "Cohen’s κ"
 ],
 "p_values": [
  "p &lt; 0.03",
  "p &lt; 0.002",
  "p &lt; 0.05",
  "p &lt; 0.07",
  "p &lt; 0.1"
 ],
 "evidence": [
  "propose a new task framing the figurative meaning understanding problem as an explainable visual entailment task",
  "justify the predicted label with a textual explanation",
  "identify common types of errors in VLM reasoning (hallucination and incomplete or unsound reasoning) across classes of models via human evaluation."
 ],</t>
  </si>
  <si>
    <t>calderon-reichart-2025-behalf</t>
  </si>
  <si>
    <t>On Behalf of the Stakeholders: Trends in {NLP} Model Interpretability in the Era of {LLM}s</t>
  </si>
  <si>
    <t>Survey Paper</t>
  </si>
  <si>
    <t>wang-etal-2025-llms-convert</t>
  </si>
  <si>
    <t>Can {LLM}s Convert Graphs to Text-Attributed Graphs?</t>
  </si>
  <si>
    <t>gao-etal-2025-interpretable</t>
  </si>
  <si>
    <t>An Interpretable and Crosslingual Method for Evaluating Second-Language Dialogues</t>
  </si>
  <si>
    <t>tan-etal-2025-cascading</t>
  </si>
  <si>
    <t>Cascading Large Language Models for Salient Event Graph Generation</t>
  </si>
  <si>
    <t>lepori-etal-2025-racing</t>
  </si>
  <si>
    <t>Racing Thoughts: Explaining Contextualization Errors in Large Language Models</t>
  </si>
  <si>
    <t>mechanistic interpretability LLMs</t>
  </si>
  <si>
    <t>chen-etal-2025-benchmarking</t>
  </si>
  <si>
    <t>Benchmarking Large Language Models on Answering and Explaining Challenging Medical Questions</t>
  </si>
  <si>
    <t>There are human evaluation and correlation metrics computed. But no mention of p-value</t>
  </si>
  <si>
    <t>xing-etal-2025-evaluating</t>
  </si>
  <si>
    <t>Evaluating Evidence Attribution in Generated Fact Checking Explanations</t>
  </si>
  <si>
    <t>evidence attribution for fact-checking explanation generation. We introduce a novel evaluation protocol – citation masking and recovery – to assess attribution quality in generated explanations. (kind of perturbation or eraser metrics)</t>
  </si>
  <si>
    <t>howard-etal-2025-uncovering</t>
  </si>
  <si>
    <t>Uncovering Bias in Large Vision-Language Models at Scale with Counterfactuals</t>
  </si>
  <si>
    <t>Human/reference evaluation</t>
  </si>
  <si>
    <t>Convince Gemini</t>
  </si>
  <si>
    <t>li-etal-2025-mitigating-biases</t>
  </si>
  <si>
    <t>Mitigating Biases of Large Language Models in Stance Detection with Counterfactual Augmented Calibration</t>
  </si>
  <si>
    <t>has significant testing but not related to explanation evaluation</t>
  </si>
  <si>
    <t>wan-etal-2025-positional</t>
  </si>
  <si>
    <t>On Positional Bias of Faithfulness for Long-form Summarization</t>
  </si>
  <si>
    <t/>
  </si>
  <si>
    <t>wan-etal-2025-mamm</t>
  </si>
  <si>
    <t>{MAMM}-Refine: A Recipe for Improving Faithfulness in Generation with Multi-Agent Collaboration</t>
  </si>
  <si>
    <t>We also evaluate the explanations generated by the DETECT subtask as part of its chain-of-thought. To evaluate our approach, we adopt the methodology outlined by Wadhwa et al. (2024), which we further verify with human evaluations in Section C.1. Specifically, we prompt GPT-4o to assess whether the generated critique aligns with the human-written critique. Mention kendall but no p-value</t>
  </si>
  <si>
    <t>kim-etal-2025-llm</t>
  </si>
  <si>
    <t>{LLM}-guided Plan and Retrieval: A Strategic Alignment for Interpretable User Satisfaction Estimation in Dialogue</t>
  </si>
  <si>
    <t>lee-etal-2025-self</t>
  </si>
  <si>
    <t>Self-Training Meets Consistency: Improving {LLM}s' Reasoning with Consistency-Driven Rationale Evaluation</t>
  </si>
  <si>
    <t>menta-etal-2025-analyzing</t>
  </si>
  <si>
    <t>Analyzing Memorization in Large Language Models through the Lens of Model Attribution</t>
  </si>
  <si>
    <t>"investigate memorization from an architectural lens by analyzing how attention modules at different layers impact its memorization and generalization performance", "Using attribution techniques, we systematically intervene in the LLM’s architecture", "isolate the impact of specific attention modules on both memorization and generalization"</t>
  </si>
  <si>
    <t>yao-etal-2025-mcqg</t>
  </si>
  <si>
    <t>{MCQG}-{SR}efine: Multiple Choice Question Generation and Evaluation with Iterative Self-Critique, Correction, and Comparison Feedback</t>
  </si>
  <si>
    <t>The correlation between the LLM-as-Judge
and Expert-X across different aspect filtering methods. Measured by cohen kappa</t>
  </si>
  <si>
    <t>ranaldi-etal-2025-eliciting</t>
  </si>
  <si>
    <t>Eliciting Critical Reasoning in Retrieval-Augmented Generation via Contrastive Explanations</t>
  </si>
  <si>
    <t>being robust to perturbations in the retrieved documents</t>
  </si>
  <si>
    <t>golovanevsky-etal-2025-vlms</t>
  </si>
  <si>
    <t>What Do {VLM}s {NOTICE}? A Mechanistic Interpretability Pipeline for {G}aussian-Noise-free Text-Image Corruption and Evaluation</t>
  </si>
  <si>
    <t>Image Corruption: Semantic Image Pairs. Measuring Patching Effects. The most com-
mon ways of measuring patching effect are restoration probability and logit difference.</t>
  </si>
  <si>
    <t>yu-etal-2025-self</t>
  </si>
  <si>
    <t>Self-Generated Critiques Boost Reward Modeling for Language Models</t>
  </si>
  <si>
    <t>Critique Generation.  Instance-level Critique Filtering.</t>
  </si>
  <si>
    <t>koupaee-etal-2025-faithful</t>
  </si>
  <si>
    <t>Faithful, Unfaithful or Ambiguous? Multi-Agent Debate with Initial Stance for Summary Evaluation</t>
  </si>
  <si>
    <t>in detecting the correct labels for summaries, and Krippendorff alpha (K-alpha) (Krippendorff, 2011)</t>
  </si>
  <si>
    <t>teplica-etal-2025-sciurus</t>
  </si>
  <si>
    <t>{SCIUR}us: Shared Circuits for Interpretable Uncertainty Representations in Language Models</t>
  </si>
  <si>
    <t>We reject the null hypothesis with p &lt; 0.05 in 36 out of 38 cases, and p &lt; 0.0001 in 31 out of 38 cases.</t>
  </si>
  <si>
    <t>sohn-etal-2025-rationale</t>
  </si>
  <si>
    <t>Rationale-Guided Retrieval Augmented Generation for Medical Question Answering</t>
  </si>
  <si>
    <t>chen-zeng-2025-prototype</t>
  </si>
  <si>
    <t>Prototype Conditioned Generative Replay for Continual Learning in {NLP}</t>
  </si>
  <si>
    <t>yuan-etal-2025-cross</t>
  </si>
  <si>
    <t>Cross-Document Cross-Lingual {NLI} via {RST}-Enhanced Graph Fusion and Interpretability Prediction</t>
  </si>
  <si>
    <t>EMNLP</t>
  </si>
  <si>
    <t>staliunaite-vlachos-2025-dis2dis</t>
  </si>
  <si>
    <t>{D}is2{D}is: Explaining Ambiguity in Fact-Checking</t>
  </si>
  <si>
    <t>Table 8: The results of the T-test statistical significance test comparing different disambiguation methods.</t>
  </si>
  <si>
    <t>Findings</t>
  </si>
  <si>
    <t>qian-etal-2025-teaching</t>
  </si>
  <si>
    <t>Teaching Large Language Models Number-Focused Headline Generation With Key Element Rationales</t>
  </si>
  <si>
    <t>fekete-bjerva-2025-linguistically</t>
  </si>
  <si>
    <t>Linguistically Grounded Analysis of Language Models using Shapley Head Values</t>
  </si>
  <si>
    <t>T-Test on Pruning In- and Out-of-Cluster</t>
  </si>
  <si>
    <t>luo-etal-2025-faithfulpersona</t>
  </si>
  <si>
    <t>{F}aithful{P}ersona: Balancing Faithfulness and Personalization in Code Explanations through Self-Critique</t>
  </si>
  <si>
    <t>Human Evaluators evaluate explanations generated by GPT 3.5 on Usefulness, Clearness, and Understanding, assigning Likert scores from 1 (very poor) to 5 (excellent)</t>
  </si>
  <si>
    <t>pan-etal-2025-prototype</t>
  </si>
  <si>
    <t>Prototype Tuning: A Meta-Learning Approach for Few-Shot Document-Level Relation Extraction with Large Language Models</t>
  </si>
  <si>
    <t>muhamed-etal-2025-decoding</t>
  </si>
  <si>
    <t>Decoding Dark Matter: Specialized Sparse Autoencoders for Interpreting Rare Concepts in Foundation Models</t>
  </si>
  <si>
    <t>chang-etal-2025-safr</t>
  </si>
  <si>
    <t>{SAFR}: Neuron Redistribution for Interpretability</t>
  </si>
  <si>
    <t>To evaluate our method, we define an evaluation metric called Superposition
Regularization Score (SRS). By deleting the top k% of tokens based on capacity, SRS calculates the average change in the prediction accuracy over all test data as follows:</t>
  </si>
  <si>
    <t>singh-etal-2025-fidelity</t>
  </si>
  <si>
    <t>{FIDELITY}: Fine-grained Interpretable Distillation for Effective Language Insights and Topic Yielding</t>
  </si>
  <si>
    <t>sun-chen-2025-enhancing</t>
  </si>
  <si>
    <t>Enhancing the Prototype Network with Local-to-Global Optimization for Few-Shot Relation Extraction</t>
  </si>
  <si>
    <t>avitan-etal-2025-practical</t>
  </si>
  <si>
    <t>A Practical Method for Generating String Counterfactuals</t>
  </si>
  <si>
    <t>To quantitatively evaluate local changes induced by the counterfactual generation process, we analyze the words whose probabilities change the most between the
original and counterfactual sentences. Let c, c′ ∈ C be two concepts. In the case of concept erasure, Test results for readability, grammar, and gender specification tasks across LEACE MiMiC and MiMiC+
interventions. p-values above 0.05 in the binomial tests indicate no significant preference for the original text
over the counterfactual, suggesting that the interventions did not degrade text quality. p-values below 0.05 in the
chi-square tests indicate statistically significant differences in gender specification after the interventions.</t>
  </si>
  <si>
    <t>lu-etal-2025-tart</t>
  </si>
  <si>
    <t>{TART}: An Open-Source Tool-Augmented Framework for Explainable Table-based Reasoning</t>
  </si>
  <si>
    <t>silva-etal-2025-cdb</t>
  </si>
  <si>
    <t>{CDB}: A Unified Framework for Hope Speech Detection Through Counterfactual, Desire and Belief</t>
  </si>
  <si>
    <t>ye-etal-2025-improving</t>
  </si>
  <si>
    <t>Improving Reward Models with Synthetic Critiques</t>
  </si>
  <si>
    <t>We analyze the quality of the critiques generated by different models using metacritique scores proposed in Sun et al. (2024)</t>
  </si>
  <si>
    <t>jiao-etal-2025-feasibility</t>
  </si>
  <si>
    <t>On the Feasibility of In-Context Probing for Data Attribution</t>
  </si>
  <si>
    <t>chu-etal-2025-rationale</t>
  </si>
  <si>
    <t>Rationale Behind Essay Scores: Enhancing {S}-{LLM}{'}s Multi-Trait Essay Scoring with Rationale Generated by {LLM}s</t>
  </si>
  <si>
    <t>gai-etal-2025-medthink</t>
  </si>
  <si>
    <t>{M}ed{T}hink: A Rationale-Guided Framework for Explaining Medical Visual Question Answering</t>
  </si>
  <si>
    <t>jing-etal-2025-scale</t>
  </si>
  <si>
    <t>On A Scale From 1 to 5: Quantifying Hallucination in Faithfulness Evaluation</t>
  </si>
  <si>
    <t>bismay-etal-2025-reasoningrec</t>
  </si>
  <si>
    <t>{R}easoning{R}ec: Bridging Personalized Recommendations and Human-Interpretable Explanations through {LLM} Reasoning</t>
  </si>
  <si>
    <t>goel-etal-2025-target</t>
  </si>
  <si>
    <t>Target-Augmented Shared Fusion-based Multimodal Sarcasm Explanation Generation</t>
  </si>
  <si>
    <t>udagawa-etal-2025-bias</t>
  </si>
  <si>
    <t>Bias Analysis and Mitigation through Protected Attribute Detection and Regard Classification</t>
  </si>
  <si>
    <t>wang-etal-2025-multilingual-datasets</t>
  </si>
  <si>
    <t>Multilingual Datasets for Custom Input Extraction and Explanation Requests Parsing in Conversational {XAI} Systems</t>
  </si>
  <si>
    <t>wang-etal-2025-improving-llm</t>
  </si>
  <si>
    <t>Improving {LLM} Reasoning through Interpretable Role-Playing Steering</t>
  </si>
  <si>
    <t>li-etal-2025-dont</t>
  </si>
  <si>
    <t>Don{'}t Take the Premise for Granted: Evaluating the Premise Critique Ability of Large Language Models</t>
  </si>
  <si>
    <t>lan-etal-2025-training</t>
  </si>
  <si>
    <t>Training Language Models to Critique With Multi-agent Feedback</t>
  </si>
  <si>
    <t>shu-etal-2025-survey</t>
  </si>
  <si>
    <t>A Survey on Sparse Autoencoders: Interpreting the Internal Mechanisms of Large Language Models</t>
  </si>
  <si>
    <t>shu-etal-2025-large</t>
  </si>
  <si>
    <t>Large Vision-Language Model Alignment and Misalignment: A Survey Through the Lens of Explainability</t>
  </si>
  <si>
    <t>yu-etal-2025-structured</t>
  </si>
  <si>
    <t>A Structured Framework for Evaluating and Enhancing Interpretive Capabilities of Multimodal {LLM}s in Culturally Situated Tasks</t>
  </si>
  <si>
    <t>huang-etal-2025-manusearch</t>
  </si>
  <si>
    <t>{M}anu{S}earch: Democratizing Deep Search in Large Language Models with a Transparent and Open Multi-Agent Framework</t>
  </si>
  <si>
    <t>hossain-etal-2025-toward</t>
  </si>
  <si>
    <t>Toward Inclusive Language Models: Sparsity-Driven Calibration for Systematic and Interpretable Mitigation of Social Biases in {LLM}s</t>
  </si>
  <si>
    <t>ho-etal-2025-table</t>
  </si>
  <si>
    <t>Table-Text Alignment: Explaining Claim Verification Against Tables in Scientific Papers</t>
  </si>
  <si>
    <t>rao-etal-2025-llm</t>
  </si>
  <si>
    <t>{LLM}-based Open Domain Planning by Leveraging Entity-Attribute-Level Domain Models</t>
  </si>
  <si>
    <t>jeon-etal-2025-progressive</t>
  </si>
  <si>
    <t>Progressive Facial Granularity Aggregation with Bilateral Attribute-based Enhancement for Face-to-Speech Synthesis</t>
  </si>
  <si>
    <t>van-supranes-etal-2025-enhancing</t>
  </si>
  <si>
    <t>Enhancing Hate Speech Classifiers through a Gradient-assisted Counterfactual Text Generation Strategy</t>
  </si>
  <si>
    <t>du-etal-2025-role</t>
  </si>
  <si>
    <t>Role-Guided Annotation and Prototype-Aligned Representation Learning for Historical Literature Sentiment Classification</t>
  </si>
  <si>
    <t>wu-etal-2025-beyond-spurious</t>
  </si>
  <si>
    <t>Beyond Spurious Signals: Debiasing Multimodal Large Language Models via Counterfactual Inference and Adaptive Expert Routing</t>
  </si>
  <si>
    <t>zhang-etal-2025-hierprompt</t>
  </si>
  <si>
    <t>{H}ier{P}rompt: Zero-Shot Hierarchical Text Classification with {LLM}-Enhanced Prototypes</t>
  </si>
  <si>
    <t>ernst-etal-2025-come</t>
  </si>
  <si>
    <t>Where Did That Come From? Sentence-Level Error-Tolerant Attribution</t>
  </si>
  <si>
    <t>hu-etal-2025-explaining</t>
  </si>
  <si>
    <t>Explaining Length Bias in {LLM}-Based Preference Evaluations</t>
  </si>
  <si>
    <t>li-etal-2025-heal</t>
  </si>
  <si>
    <t>{HEAL}: Hybrid Enhancement with {LLM}-based Agents for Text-attributed Hypergraph Self-supervised Representation Learning</t>
  </si>
  <si>
    <t>yan-etal-2025-towards</t>
  </si>
  <si>
    <t>Towards Efficient {C}o{T} Distillation: Self-Guided Rationale Selector for Better Performance with Fewer Rationales</t>
  </si>
  <si>
    <t>chen-etal-2025-enhancing-attributed</t>
  </si>
  <si>
    <t>Enhancing Attributed Question Answering using Tailored Progressive Curriculum Learning</t>
  </si>
  <si>
    <t>xin-etal-2025-salamander</t>
  </si>
  <si>
    <t>{S}ala{MA}nder: Shapley-based Mathematical Expression Attribution and Metric for Chain-of-Thought Reasoning</t>
  </si>
  <si>
    <t>wu-etal-2025-unveiling-multimodal</t>
  </si>
  <si>
    <t>Unveiling Multimodal Processing: Exploring Activation Patterns in Multimodal {LLM}s for Interpretability and Efficiency</t>
  </si>
  <si>
    <t>kumar-etal-2025-extracting</t>
  </si>
  <si>
    <t>Extracting Conceptual Spaces from {LLM}s Using Prototype Embeddings</t>
  </si>
  <si>
    <t>eldifrawi-etal-2025-fingract</t>
  </si>
  <si>
    <t>{F}in{G}r{A}ct: A Framework for {FIN}e-{GR}rained Evaluation of {ACT}ionability in Explainable Automatic Fact-Checking</t>
  </si>
  <si>
    <t>wang-etal-2025-attribution</t>
  </si>
  <si>
    <t>Attribution and Application of Multiple Neurons in Multimodal Large Language Models</t>
  </si>
  <si>
    <t>ying-etal-2025-language</t>
  </si>
  <si>
    <t>Language-Informed Synthesis of Rational Agent Models for Grounded Theory-of-Mind Reasoning On-the-fly</t>
  </si>
  <si>
    <t>du-etal-2025-explainable</t>
  </si>
  <si>
    <t>Explainable Text Classification with {LLM}s: Enhancing Performance through Dialectical Prompting and Explanation-Guided Training</t>
  </si>
  <si>
    <t>koo-etal-2025-hawk</t>
  </si>
  <si>
    <t>{HAWK}: Highlighting Entity-aware Knowledge for Alleviating Information Sparsity in Long Contexts</t>
  </si>
  <si>
    <t>balasubramanian-etal-2025-closer</t>
  </si>
  <si>
    <t>A Closer Look at Bias and Chain-of-Thought Faithfulness of Large (Vision) Language Models</t>
  </si>
  <si>
    <t>zeng-etal-2025-mm</t>
  </si>
  <si>
    <t>{MM}-{CRITIC}: A Holistic Evaluation of Large Multimodal Models as Multimodal Critique</t>
  </si>
  <si>
    <t>peled-cohen-etal-2025-dementia</t>
  </si>
  <si>
    <t>Dementia Through Different Eyes: Explainable Modeling of Human and {LLM} Perceptions for Early Awareness</t>
  </si>
  <si>
    <t>luo-etal-2025-fair</t>
  </si>
  <si>
    <t>Fair Text-Attributed Graph Representation Learning</t>
  </si>
  <si>
    <t>li-etal-2025-influence</t>
  </si>
  <si>
    <t>Do Influence Functions Work on Large Language Models?</t>
  </si>
  <si>
    <t>aida-bollegala-2025-scdtour</t>
  </si>
  <si>
    <t>{SCDT}our: Embedding Axis Ordering and Merging for Interpretable Semantic Change Detection</t>
  </si>
  <si>
    <t>niaouri-etal-2025-mask</t>
  </si>
  <si>
    <t>[{MASK}]{ED} - Language Modeling for Explainable Classification and Disentangling of Socially Unacceptable Discourse.</t>
  </si>
  <si>
    <t>rahimi-etal-2025-lost</t>
  </si>
  <si>
    <t>Not Lost After All: How Cross-Encoder Attribution Challenges Position Bias Assumptions in {LLM} Summarization</t>
  </si>
  <si>
    <t>zeng-etal-2025-residualized</t>
  </si>
  <si>
    <t>Residualized Similarity for Faithfully Explainable Authorship Verification</t>
  </si>
  <si>
    <t>islam-goldwasser-2025-post</t>
  </si>
  <si>
    <t>Post-hoc Study of Climate Microtargeting on Social Media Ads with {LLM}s: Thematic Insights and Fairness Evaluation</t>
  </si>
  <si>
    <t>wang-etal-2025-inducing</t>
  </si>
  <si>
    <t>Inducing Argument Facets for Faithful Opinion Summarization</t>
  </si>
  <si>
    <t>yu-etal-2025-explainable</t>
  </si>
  <si>
    <t>Explainable Chain-of-Thought Reasoning: An Empirical Analysis on State-Aware Reasoning Dynamics</t>
  </si>
  <si>
    <t>long-etal-2025-finlfqa</t>
  </si>
  <si>
    <t>{F}in{LFQA}: Evaluating Attributed Text Generation of {LLM}s in Financial Long-Form Question Answering</t>
  </si>
  <si>
    <t>sengupta-etal-2025-investigating</t>
  </si>
  <si>
    <t>Investigating the Impact of Conceptual Metaphors on {LLM}-based {NLI} through Shapley Interactions</t>
  </si>
  <si>
    <t>sicilia-alikhani-2025-adaptive</t>
  </si>
  <si>
    <t>Adaptive {P}latt Scaling with Causal Interpretations for Self-Reflective Language Model Uncertainty Estimates</t>
  </si>
  <si>
    <t>li-etal-2025-treble</t>
  </si>
  <si>
    <t>Treble Counterfactual {VLM}s: A Causal Approach to Hallucination</t>
  </si>
  <si>
    <t>han-etal-2025-attributes</t>
  </si>
  <si>
    <t>Attributes as Textual Genes: Leveraging {LLM}s as Genetic Algorithm Simulators for Conditional Synthetic Data Generation</t>
  </si>
  <si>
    <t>seo-kwon-2025-protoxtm</t>
  </si>
  <si>
    <t>{P}roto{XTM}: Cross-Lingual Topic Modeling with Document-Level Prototype-based Contrastive Learning</t>
  </si>
  <si>
    <t>guimaraes-etal-2025-narratex</t>
  </si>
  <si>
    <t>{N}arrat{EX} Dataset: Explaining the Dominant Narratives in News Texts</t>
  </si>
  <si>
    <t>yu-etal-2025-lore</t>
  </si>
  <si>
    <t>{LORE}: Continual Logit Rewriting Fosters Faithful Generation</t>
  </si>
  <si>
    <t>ha-etal-2025-mv</t>
  </si>
  <si>
    <t>{MV}-{CLAM}: Multi-View Molecular Interpretation with Cross-Modal Projection via Language Model</t>
  </si>
  <si>
    <t>pauli-etal-2025-mind</t>
  </si>
  <si>
    <t>Mind the Style Gap: Meta-Evaluation of Style and Attribute Transfer Metrics</t>
  </si>
  <si>
    <t>liu-chu-2025-llms</t>
  </si>
  <si>
    <t>Do {LLM}s Align Human Values Regarding Social Biases? Judging and Explaining Social Biases with {LLM}s</t>
  </si>
  <si>
    <t>ou-etal-2025-claimcheck</t>
  </si>
  <si>
    <t>{CLAIMCHECK}: How Grounded are {LLM} Critiques of Scientific Papers?</t>
  </si>
  <si>
    <t>joshi-etal-2025-improving</t>
  </si>
  <si>
    <t>Improving Language Model Personas via Rationalization with Psychological Scaffolds</t>
  </si>
  <si>
    <t>mamta-cocarascu-2025-guard</t>
  </si>
  <si>
    <t>{I}-{GUARD}: Interpretability-Guided Parameter Optimization for Adversarial Defense</t>
  </si>
  <si>
    <t>fedorova-etal-2025-explaining</t>
  </si>
  <si>
    <t>Explaining novel senses using definition generation with open language models</t>
  </si>
  <si>
    <t>wu-etal-2025-evaluating</t>
  </si>
  <si>
    <t>Evaluating Fairness in Large Vision-Language Models Across Diverse Demographic Attributes and Prompts</t>
  </si>
  <si>
    <t>han-etal-2025-black</t>
  </si>
  <si>
    <t>No Black Boxes: Interpretable and Interactable Predictive Healthcare with Knowledge-Enhanced Agentic Causal Discovery</t>
  </si>
  <si>
    <t>oozeer-etal-2025-beyond</t>
  </si>
  <si>
    <t>Beyond Linear Steering: Unified Multi-Attribute Control for Language Models</t>
  </si>
  <si>
    <t>cheng-etal-2025-mitigating</t>
  </si>
  <si>
    <t>Mitigating Spurious Correlations via Counterfactual Contrastive Learning</t>
  </si>
  <si>
    <t>hasanain-etal-2025-propxplain</t>
  </si>
  <si>
    <t>{P}rop{X}plain: Can {LLM}s Enable Explainable Propaganda Detection?</t>
  </si>
  <si>
    <t>bao-etal-2025-whos</t>
  </si>
  <si>
    <t>Who{'}s the Author? How Explanations Impact User Reliance in {AI}-Assisted Authorship Attribution</t>
  </si>
  <si>
    <t>ding-etal-2025-attention</t>
  </si>
  <si>
    <t>Attention with Dependency Parsing Augmentation for Fine-Grained Attribution</t>
  </si>
  <si>
    <t>gebreegziabher-etal-2025-leveraging</t>
  </si>
  <si>
    <t>Leveraging Variation Theory in Counterfactual Data Augmentation for Optimized Active Learning</t>
  </si>
  <si>
    <t>wang-etal-2025-fitcf</t>
  </si>
  <si>
    <t>{F}it{CF}: A Framework for Automatic Feature Importance-guided Counterfactual Example Generation</t>
  </si>
  <si>
    <t>wu-etal-2025-separate</t>
  </si>
  <si>
    <t>Separate the Wheat from the Chaff: A Post-Hoc Approach to Safety Re-Alignment for Fine-Tuned Language Models</t>
  </si>
  <si>
    <t>weidinger-etal-2025-aquaechr</t>
  </si>
  <si>
    <t>{AQ}u{AECHR}: Attributed Question Answering for {E}uropean Court of Human Rights</t>
  </si>
  <si>
    <t>chen-etal-2025-explainable</t>
  </si>
  <si>
    <t>Explainable Hallucination through Natural Language Inference Mapping</t>
  </si>
  <si>
    <t>chu-etal-2025-self</t>
  </si>
  <si>
    <t>Self-Critique Guided Iterative Reasoning for Multi-hop Question Answering</t>
  </si>
  <si>
    <t>zhou-etal-2025-reasoning</t>
  </si>
  <si>
    <t>Reasoning is All You Need for Video Generalization: A Counterfactual Benchmark with Sub-question Evaluation</t>
  </si>
  <si>
    <t>maiya-etal-2025-explaining</t>
  </si>
  <si>
    <t>Explaining Puzzle Solutions in Natural Language: An Exploratory Study on 6x6 Sudoku</t>
  </si>
  <si>
    <t>yang-etal-2025-longfaith</t>
  </si>
  <si>
    <t>{L}ong{F}aith: Enhancing Long-Context Reasoning in {LLM}s with Faithful Synthetic Data</t>
  </si>
  <si>
    <t>chu-etal-2025-domaino1s</t>
  </si>
  <si>
    <t>Domain$o1$s: Guiding {LLM} Reasoning for Explainable Answers in High-Stakes Domains</t>
  </si>
  <si>
    <t>long-etal-2025-beyond</t>
  </si>
  <si>
    <t>Beyond In-Context Learning: Aligning Long-form Generation of Large Language Models via Task-Inherent Attribute Guidelines</t>
  </si>
  <si>
    <t>bevendorff-etal-2025-two</t>
  </si>
  <si>
    <t>The Two Paradigms of {LLM} Detection: Authorship Attribution vs. Authorship Verification</t>
  </si>
  <si>
    <t>xiao-etal-2025-tokenshapley</t>
  </si>
  <si>
    <t>{T}oken{S}hapley: Token Level Context Attribution with Shapley Value</t>
  </si>
  <si>
    <t>chetia-phukan-etal-2025-investigating</t>
  </si>
  <si>
    <t>Investigating Prosodic Signatures via Speech Pre-Trained Models for Audio Deepfake Source Attribution</t>
  </si>
  <si>
    <t>jia-etal-2025-bridging</t>
  </si>
  <si>
    <t>Bridging Relevance and Reasoning: Rationale Distillation in Retrieval-Augmented Generation</t>
  </si>
  <si>
    <t>saxena-etal-2025-matched</t>
  </si>
  <si>
    <t>{MATCHED}: Multimodal Authorship-Attribution To Combat Human Trafficking in Escort-Advertisement Data</t>
  </si>
  <si>
    <t>rodriguez-etal-2025-continued</t>
  </si>
  <si>
    <t>Continued Pretraining and Interpretability-Based Evaluation for Low-Resource Languages: A {G}alician Case Study</t>
  </si>
  <si>
    <t>li-etal-2025-investigating</t>
  </si>
  <si>
    <t>Investigating Context Faithfulness in Large Language Models: The Roles of Memory Strength and Evidence Style</t>
  </si>
  <si>
    <t>huangyw-etal-2025-dynamic</t>
  </si>
  <si>
    <t>Dynamic Attention-Guided Context Decoding for Mitigating Context Faithfulness Hallucinations in Large Language Models</t>
  </si>
  <si>
    <t>zhao-etal-2025-correcting</t>
  </si>
  <si>
    <t>Correcting on Graph: Faithful Semantic Parsing over Knowledge Graphs with Large Language Models</t>
  </si>
  <si>
    <t>zhu-etal-2025-rationales</t>
  </si>
  <si>
    <t>Rationales Are Not Silver Bullets: Measuring the Impact of Rationales on Model Performance and Reliability</t>
  </si>
  <si>
    <t>fu-etal-2025-mark</t>
  </si>
  <si>
    <t>{MARK}: Multi-agent Collaboration with Ranking Guidance for Text-attributed Graph Clustering</t>
  </si>
  <si>
    <t>fan-etal-2025-sek</t>
  </si>
  <si>
    <t>{SEK}: Self-Explained Keywords Empower Large Language Models for Code Generation</t>
  </si>
  <si>
    <t>jiang-etal-2025-towards-explainable</t>
  </si>
  <si>
    <t>Towards Explainable Temporal Reasoning in Large Language Models: A Structure-Aware Generative Framework</t>
  </si>
  <si>
    <t>ping-etal-2025-longdpo</t>
  </si>
  <si>
    <t>{L}ong{DPO}: Unlock Better Long-form Generation Abilities for {LLM}s via Critique-augmented Stepwise Information</t>
  </si>
  <si>
    <t>sui-etal-2025-fidelis</t>
  </si>
  <si>
    <t>{F}i{D}e{L}i{S}: Faithful Reasoning in Large Language Models for Knowledge Graph Question Answering</t>
  </si>
  <si>
    <t>zhu-etal-2025-lime</t>
  </si>
  <si>
    <t>{LIME}: Less Is More for {MLLM} Evaluation</t>
  </si>
  <si>
    <t>li-etal-2025-cmie</t>
  </si>
  <si>
    <t>{CMIE}: Combining {MLLM} Insights with External Evidence for Explainable Out-of-Context Misinformation Detection</t>
  </si>
  <si>
    <t>zhang-etal-2025-explainable</t>
  </si>
  <si>
    <t>Explainable Depression Detection in Clinical Interviews with Personalized Retrieval-Augmented Generation</t>
  </si>
  <si>
    <t>kim-etal-2025-reasoning</t>
  </si>
  <si>
    <t>Reasoning Circuits in Language Models: A Mechanistic Interpretation of Syllogistic Inference</t>
  </si>
  <si>
    <t>bi-etal-2025-context</t>
  </si>
  <si>
    <t>Context-{DPO}: Aligning Language Models for Context-Faithfulness</t>
  </si>
  <si>
    <t>li-etal-2025-towards-better</t>
  </si>
  <si>
    <t>Towards Better Chain-of-Thought: A Reflection on Effectiveness and Faithfulness</t>
  </si>
  <si>
    <t>hong-etal-2025-rhetorical</t>
  </si>
  <si>
    <t>Rhetorical Device-Aware Sarcasm Detection with Counterfactual Data Augmentation</t>
  </si>
  <si>
    <t>wu-etal-2025-boosting</t>
  </si>
  <si>
    <t>Boosting {LLM} Translation Skills without General Ability Loss via Rationale Distillation</t>
  </si>
  <si>
    <t>sariyanto-etal-2025-towards</t>
  </si>
  <si>
    <t>Towards Explainable Hate Speech Detection</t>
  </si>
  <si>
    <t>tak-etal-2025-mechanistic</t>
  </si>
  <si>
    <t>Mechanistic Interpretability of Emotion Inference in Large Language Models</t>
  </si>
  <si>
    <t>chen-etal-2025-cod</t>
  </si>
  <si>
    <t>{C}o{D}, Towards an Interpretable Medical Agent using Chain of Diagnosis</t>
  </si>
  <si>
    <t>wang-etal-2025-ldir</t>
  </si>
  <si>
    <t>{LDIR}: Low-Dimensional Dense and Interpretable Text Embeddings with Relative Representations</t>
  </si>
  <si>
    <t>zhong-etal-2025-nargina</t>
  </si>
  <si>
    <t>{N}ar{GINA}: Towards Accurate and Interpretable Children{'}s Narrative Ability Assessment via Narrative Graphs</t>
  </si>
  <si>
    <t>im-etal-2025-deragec</t>
  </si>
  <si>
    <t>{D}e{RAGEC}: Denoising Named Entity Candidates with Synthetic Rationale for {ASR} Error Correction</t>
  </si>
  <si>
    <t>paci-etal-2025-want</t>
  </si>
  <si>
    <t>They want to pretend not to understand: The Limits of Current {LLM}s in Interpreting Implicit Content of Political Discourse</t>
  </si>
  <si>
    <t>saparina-lapata-2025-disambiguate</t>
  </si>
  <si>
    <t>Disambiguate First, Parse Later: Generating Interpretations for Ambiguity Resolution in Semantic Parsing</t>
  </si>
  <si>
    <t>beckh-etal-2025-anatomy</t>
  </si>
  <si>
    <t>The Anatomy of Evidence: An Investigation Into Explainable {ICD} Coding</t>
  </si>
  <si>
    <t>li-etal-2025-generate</t>
  </si>
  <si>
    <t>Generate, Discriminate, Evolve: Enhancing Context Faithfulness via Fine-Grained Sentence-Level Self-Evolution</t>
  </si>
  <si>
    <t>salemi-etal-2025-expert</t>
  </si>
  <si>
    <t>{E}x{P}er{T}: Effective and Explainable Evaluation of Personalized Long-Form Text Generation</t>
  </si>
  <si>
    <t>tan-etal-2025-open</t>
  </si>
  <si>
    <t>Open-World Authorship Attribution</t>
  </si>
  <si>
    <t>shen-etal-2025-transparentize</t>
  </si>
  <si>
    <t>Transparentize the Internal and External Knowledge Utilization in {LLM}s with Trustworthy Citation</t>
  </si>
  <si>
    <t>zahid-etal-2025-bedaa</t>
  </si>
  <si>
    <t>{BEDAA}: {B}ayesian Enhanced {D}e{BERT}a for Uncertainty-Aware Authorship Attribution</t>
  </si>
  <si>
    <t>saynova-etal-2025-fact</t>
  </si>
  <si>
    <t>Fact Recall, Heuristics or Pure Guesswork? Precise Interpretations of Language Models for Fact Completion</t>
  </si>
  <si>
    <t>zhang-etal-2025-safety</t>
  </si>
  <si>
    <t>Safety is Not Only About Refusal: Reasoning-Enhanced Fine-tuning for Interpretable {LLM} Safety</t>
  </si>
  <si>
    <t>aljanaideh-2025-speech</t>
  </si>
  <si>
    <t>Speech Act Patterns for Improving Generalizability of Explainable Politeness Detection Models</t>
  </si>
  <si>
    <t>kim-etal-2025-fave</t>
  </si>
  <si>
    <t>{F}a{V}e: Factored and Verified Search Rationale for Long-form Answer</t>
  </si>
  <si>
    <t>lv-etal-2025-distribution</t>
  </si>
  <si>
    <t>Out-of-Distribution Detection via {LLM}-Guided Outlier Generation for Text-attributed Graph</t>
  </si>
  <si>
    <t>hong-etal-2025-data</t>
  </si>
  <si>
    <t>Data Interpreter: An {LLM} Agent for Data Science</t>
  </si>
  <si>
    <t>jang-etal-2025-verbosity</t>
  </si>
  <si>
    <t>Verbosity-Aware Rationale Reduction: Sentence-Level Rationale Reduction for Efficient and Effective Reasoning</t>
  </si>
  <si>
    <t>abolghasemi-etal-2025-evaluation</t>
  </si>
  <si>
    <t>Evaluation of Attribution Bias in Generator-Aware Retrieval-Augmented Large Language Models</t>
  </si>
  <si>
    <t>xu-etal-2025-diagnosing</t>
  </si>
  <si>
    <t>Diagnosing Failures in Large Language Models' Answers: Integrating Error Attribution into Evaluation Framework</t>
  </si>
  <si>
    <t>ye-etal-2025-input</t>
  </si>
  <si>
    <t>Can Input Attributions Explain Inductive Reasoning in In-Context Learning?</t>
  </si>
  <si>
    <t>song-etal-2025-rationale</t>
  </si>
  <si>
    <t>Does Rationale Quality Matter? Enhancing Mental Disorder Detection via Selective Reasoning Distillation</t>
  </si>
  <si>
    <t>lu-etal-2025-wasa</t>
  </si>
  <si>
    <t>{WASA}: {WA}termark-based Source Attribution for Large Language Model-Generated Data</t>
  </si>
  <si>
    <t>zhou-etal-2025-llms</t>
  </si>
  <si>
    <t>Are {LLM}s Rational Investors? A Study on the Financial Bias in {LLM}s</t>
  </si>
  <si>
    <t>wongkamjan-etal-2025-trust</t>
  </si>
  <si>
    <t>Should {I} Trust You? Detecting Deception in Negotiations using Counterfactual {RL}</t>
  </si>
  <si>
    <t>kim-etal-2025-expert</t>
  </si>
  <si>
    <t>{EXPERT}: An Explainable Image Captioning Evaluation Metric with Structured Explanations</t>
  </si>
  <si>
    <t>yu-etal-2025-training</t>
  </si>
  <si>
    <t>Training Language Model to Critique for Better Refinement</t>
  </si>
  <si>
    <t>cao-etal-2025-rationalize</t>
  </si>
  <si>
    <t>Rationalize and Align: Enhancing Writing Assistance with Rationale via Self-Training for Improved Alignment</t>
  </si>
  <si>
    <t>zhang-etal-2025-mprf</t>
  </si>
  <si>
    <t>{MPRF}: Interpretable Stance Detection through Multi-Path Reasoning Framework</t>
  </si>
  <si>
    <t>peng-etal-2025-emotion</t>
  </si>
  <si>
    <t>Emotion Transfer with Enhanced Prototype for Unseen Emotion Recognition in Conversation</t>
  </si>
  <si>
    <t>xu-etal-2025-training</t>
  </si>
  <si>
    <t>Training a Utility-based Retriever Through Shared Context Attribution for Retrieval-Augmented Language Models</t>
  </si>
  <si>
    <t>diao-etal-2025-protovqa</t>
  </si>
  <si>
    <t>{P}roto{VQA}: An Adaptable Prototypical Framework for Explainable Fine-Grained Visual Question Answering</t>
  </si>
  <si>
    <t>polyakov-etal-2025-interpretability</t>
  </si>
  <si>
    <t>Interpretability Analysis of Arithmetic In-Context Learning in Large Language Models</t>
  </si>
  <si>
    <t>wright-etal-2025-unstructured</t>
  </si>
  <si>
    <t>Unstructured Evidence Attribution for Long Context Query Focused Summarization</t>
  </si>
  <si>
    <t>yang-etal-2025-unveiling</t>
  </si>
  <si>
    <t>Unveiling Internal Reasoning Modes in {LLM}s: A Deep Dive into Latent Reasoning vs. Factual Shortcuts with Attribute Rate Ratio</t>
  </si>
  <si>
    <t>wang-etal-2025-unleashing</t>
  </si>
  <si>
    <t>Unleashing the Reasoning Potential of {LLM}s by Critique Fine-Tuning on One Problem</t>
  </si>
  <si>
    <t>yan-etal-2025-trust</t>
  </si>
  <si>
    <t>{TRUST}-{VL}: An Explainable News Assistant for General Multimodal Misinformation Detection</t>
  </si>
  <si>
    <t>xu-etal-2025-tree</t>
  </si>
  <si>
    <t>Tree-of-Quote Prompting Improves Factuality and Attribution in Multi-Hop and Medical Reasoning</t>
  </si>
  <si>
    <t>wang-etal-2025-identification</t>
  </si>
  <si>
    <t>Identification of Multiple Logical Interpretations in Counter-Arguments</t>
  </si>
  <si>
    <t>cai-etal-2025-flightgpt</t>
  </si>
  <si>
    <t>{F}light{GPT}: Towards Generalizable and Interpretable {UAV} Vision-and-Language Navigation with Vision-Language Models</t>
  </si>
  <si>
    <t>zhang-wan-2025-r</t>
  </si>
  <si>
    <t>{R}-Bind: Unified Enhancement of Attribute and Relation Binding in Text-to-Image Diffusion Models</t>
  </si>
  <si>
    <t>dehghanighobadi-etal-2025-llms</t>
  </si>
  <si>
    <t>Can {LLM}s Explain Themselves Counterfactually?</t>
  </si>
  <si>
    <t>rair-etal-2025-annotators</t>
  </si>
  <si>
    <t>When Annotators Disagree, Topology Explains: Mapper, a Topological Tool for Exploring Text Embedding Geometry and Ambiguity</t>
  </si>
  <si>
    <t>wang-atanasova-2025-self</t>
  </si>
  <si>
    <t>Self-Critique and Refinement for Faithful Natural Language Explanations</t>
  </si>
  <si>
    <t>tutek-etal-2025-measuring</t>
  </si>
  <si>
    <t>Measuring Chain of Thought Faithfulness by Unlearning Reasoning Steps</t>
  </si>
  <si>
    <t>balagansky-etal-2025-train</t>
  </si>
  <si>
    <t>Train One Sparse Autoencoder Across Multiple Sparsity Budgets to Preserve Interpretability and Accuracy</t>
  </si>
  <si>
    <t>yeo-etal-2025-towards</t>
  </si>
  <si>
    <t>Towards Faithful Natural Language Explanations: A Study Using Activation Patching in Large Language Models</t>
  </si>
  <si>
    <t>ong-etal-2025-deriving</t>
  </si>
  <si>
    <t>Deriving Strategic Market Insights with Large Language Models: A Benchmark for Forward Counterfactual Generation</t>
  </si>
  <si>
    <t>yang-etal-2025-faithun</t>
  </si>
  <si>
    <t>{F}aith{U}n: Toward Faithful Forgetting in Language Models by Investigating the Interconnectedness of Knowledge</t>
  </si>
  <si>
    <t>zhai-etal-2025-mentalglm</t>
  </si>
  <si>
    <t>{M}ental{GLM} Series: Explainable Large Language Models for Mental Health Analysis on {C}hinese Social Media</t>
  </si>
  <si>
    <t>calabrese-etal-2025-compositional</t>
  </si>
  <si>
    <t>Compositional Generalisation for Explainable Hate Speech Detection</t>
  </si>
  <si>
    <t>storks-etal-2025-transparent</t>
  </si>
  <si>
    <t>Transparent and Coherent Procedural Mistake Detection</t>
  </si>
  <si>
    <t>wang-etal-2025-qcrd</t>
  </si>
  <si>
    <t>{QCRD}: Quality-guided Contrastive Rationale Distillation for Large Language Models</t>
  </si>
  <si>
    <t>calderon-etal-2025-multi</t>
  </si>
  <si>
    <t>Multi-Domain Explainability of Preferences</t>
  </si>
  <si>
    <t>zhao-iii-2025-necessary</t>
  </si>
  <si>
    <t>A Necessary Step toward Faithfulness: Measuring and Improving Consistency in Free-Text Explanations</t>
  </si>
  <si>
    <t>sun-etal-2025-thinkedit</t>
  </si>
  <si>
    <t>{T}hink{E}dit: Interpretable Weight Editing to Mitigate Overly Short Thinking in Reasoning Models</t>
  </si>
  <si>
    <t>liu-etal-2025-pychoagent</t>
  </si>
  <si>
    <t>{P}ycho{A}gent: Psychology-driven {LLM} Agents for Explainable Panic Prediction on Social Media during Sudden Disaster Events</t>
  </si>
  <si>
    <t>wang-etal-2025-v</t>
  </si>
  <si>
    <t>{V}-{SEAM}: Visual Semantic Editing and Attention Modulating for Causal Interpretability of Vision-Language Models</t>
  </si>
  <si>
    <t>tu-etal-2025-rrinf</t>
  </si>
  <si>
    <t>{RRI}nf: Efficient Influence Function Estimation via Ridge Regression for Large Language Models and Text-to-Image Diffusion Models</t>
  </si>
  <si>
    <t>giloni-etal-2025-cair</t>
  </si>
  <si>
    <t>{CAIR}: Counterfactual-based Agent Influence Ranker for Agentic {AI} Workflows</t>
  </si>
  <si>
    <t>resck-etal-2025-explainability</t>
  </si>
  <si>
    <t>Explainability and Interpretability of Multilingual Large Language Models: A Survey</t>
  </si>
  <si>
    <t>guo-etal-2025-dsvd</t>
  </si>
  <si>
    <t>{DSVD}: Dynamic Self-Verify Decoding for Faithful Generation in Large Language Models</t>
  </si>
  <si>
    <t>zhao-etal-2025-lga</t>
  </si>
  <si>
    <t>{LGA}: {LLM}-{GNN} Aggregation for Temporal Evolution Attribute Graph Prediction</t>
  </si>
  <si>
    <t>yuan-etal-2025-mmag</t>
  </si>
  <si>
    <t>{MMAG}: Multimodal Learning for Mucus Anomaly Grading in Nasal Endoscopy via Semantic Attribute Prompting</t>
  </si>
  <si>
    <t>lee-etal-2025-interpretation</t>
  </si>
  <si>
    <t>Interpretation Meets Safety: A Survey on Interpretation Methods and Tools for Improving {LLM} Safety</t>
  </si>
  <si>
    <t>xie-etal-2025-rd</t>
  </si>
  <si>
    <t>{RD}-{MCSA}: A Multi-Class Sentiment Analysis Approach Integrating In-Context Classification Rationales and Demonstrations</t>
  </si>
  <si>
    <t>lee-etal-2025-localization</t>
  </si>
  <si>
    <t>Does Localization Inform Unlearning? A Rigorous Examination of Local Parameter Attribution for Knowledge Unlearning in Language Models</t>
  </si>
  <si>
    <t>bai-etal-2025-understanding</t>
  </si>
  <si>
    <t>Understanding and Leveraging the Expert Specialization of Context Faithfulness in Mixture-of-Experts {LLM}s</t>
  </si>
  <si>
    <t>opitz-etal-2025-interpretable</t>
  </si>
  <si>
    <t>Interpretable Text Embeddings and Text Similarity Explanation: A Survey</t>
  </si>
  <si>
    <t>suri-etal-2025-follow</t>
  </si>
  <si>
    <t>Follow the Flow: Fine-grained Flowchart Attribution with Neurosymbolic Agents</t>
  </si>
  <si>
    <t>estienne-etal-2025-collaborative</t>
  </si>
  <si>
    <t>Collaborative Rational Speech Act: Pragmatic Reasoning for Multi-Turn Dialog</t>
  </si>
  <si>
    <t>liu-etal-2025-dual-path</t>
  </si>
  <si>
    <t>Dual-Path Counterfactual Integration for Multimodal Aspect-Based Sentiment Classification</t>
  </si>
  <si>
    <t>maslenkova-etal-2025-building</t>
  </si>
  <si>
    <t>Building Trust in Clinical {LLM}s: Bias Analysis and Dataset Transparency</t>
  </si>
  <si>
    <t>wang-etal-2025-drivel</t>
  </si>
  <si>
    <t>Drivel-ology: Challenging {LLM}s with Interpreting Nonsense with Depth</t>
  </si>
  <si>
    <t>sperber-etal-2025-toward</t>
  </si>
  <si>
    <t>Toward Machine Interpreting: Lessons from Human Interpreting Studies</t>
  </si>
  <si>
    <t>arakelyan-etal-2025-flare</t>
  </si>
  <si>
    <t>{FLARE}: Faithful Logic-Aided Reasoning and Exploration</t>
  </si>
  <si>
    <t>clark-etal-2025-resource</t>
  </si>
  <si>
    <t>Resource-Rational Noisy-Channel Language Processing: Testing the Effect of Algorithmic Constraints on Inferences</t>
  </si>
  <si>
    <t>wang-blanco-2025-identifying</t>
  </si>
  <si>
    <t>mayne-etal-2025-llms</t>
  </si>
  <si>
    <t>{LLM}s Don{'}t Know Their Own Decision Boundaries: The Unreliability of Self-Generated Counterfactual Explanations</t>
  </si>
  <si>
    <t>dang-etal-2025-improving</t>
  </si>
  <si>
    <t>Improving Large Language Models Function Calling and Interpretability via Guided-Structured Templates</t>
  </si>
  <si>
    <t>kang-etal-2025-fairgen</t>
  </si>
  <si>
    <t>{F}air{G}en: Controlling Sensitive Attributes for Fair Generations in Diffusion Models via Adaptive Latent Guidance</t>
  </si>
  <si>
    <t>lee-etal-2025-interpretable</t>
  </si>
  <si>
    <t>Interpretable Mnemonic Generation for Kanji Learning via Expectation-Maximization</t>
  </si>
  <si>
    <t>bussotti-papotti-2025-refining</t>
  </si>
  <si>
    <t>Refining Attention for Explainable and Noise-Robust Fact-Checking with Transformers</t>
  </si>
  <si>
    <t>jeon-etal-2025-sali4vid</t>
  </si>
  <si>
    <t>{S}ali4{V}id: Saliency-Aware Video Reweighting and Adaptive Caption Retrieval for Dense Video Captioning</t>
  </si>
  <si>
    <t>ye-etal-2025-enhanced</t>
  </si>
  <si>
    <t>Enhanced Noun-Noun Compound Interpretation through Textual Enrichment</t>
  </si>
  <si>
    <t>park-etal-2025-decoding</t>
  </si>
  <si>
    <t>Decoding Dense Embeddings: Sparse Autoencoders for Interpreting and Discretizing Dense Retrieval</t>
  </si>
  <si>
    <t>la-cava-tagarelli-2025-openturingbench</t>
  </si>
  <si>
    <t>{O}pen{T}uring{B}ench: An Open-Model-based Benchmark and Framework for Machine-Generated Text Detection and Attribution</t>
  </si>
  <si>
    <t>huang-etal-2025-critictool</t>
  </si>
  <si>
    <t>{CRITICTOOL}: Evaluating Self-Critique Capabilities of Large Language Models in Tool-Calling Error Scenarios</t>
  </si>
  <si>
    <t>bhagwatkar-etal-2025-cave</t>
  </si>
  <si>
    <t>{CAVE} : Detecting and Explaining Commonsense Anomalies in Visual Environments</t>
  </si>
  <si>
    <t>jing-etal-2025-lingualens</t>
  </si>
  <si>
    <t>{L}ingua{L}ens: Towards Interpreting Linguistic Mechanisms of Large Language Models via Sparse Auto-Encoder</t>
  </si>
  <si>
    <t>malladi-etal-2025-explaining</t>
  </si>
  <si>
    <t>Explaining Differences Between Model Pairs in Natural Language through Sample Learning</t>
  </si>
  <si>
    <t>shi-etal-2025-llms</t>
  </si>
  <si>
    <t>Do {LLM}s Behave as Claimed? Investigating How {LLM}s Follow Their Own Claims using Counterfactual Questions</t>
  </si>
  <si>
    <t>shao-etal-2025-iterative</t>
  </si>
  <si>
    <t>Iterative Multilingual Spectral Attribute Erasure</t>
  </si>
  <si>
    <t>harrasse-etal-2025-tinysql</t>
  </si>
  <si>
    <t>{T}iny{SQL}: A Progressive Text-to-{SQL} Dataset for Mechanistic Interpretability Research</t>
  </si>
  <si>
    <t>yuan-etal-2025-graph</t>
  </si>
  <si>
    <t>Graph-Guided Textual Explanation Generation Framework</t>
  </si>
  <si>
    <t>zaman-srivastava-2025-causal</t>
  </si>
  <si>
    <t>A Causal Lens for Evaluating Faithfulness Metrics</t>
  </si>
  <si>
    <t>liu-etal-2025-metafaith</t>
  </si>
  <si>
    <t>{M}eta{F}aith: Faithful Natural Language Uncertainty Expression in {LLM}s</t>
  </si>
  <si>
    <t>lewis-lim-etal-2025-analysing</t>
  </si>
  <si>
    <t>Analysing Chain of Thought Dynamics: Active Guidance or Unfaithful Post-hoc Rationalisation?</t>
  </si>
  <si>
    <t>kmainasi-etal-2025-memeintel</t>
  </si>
  <si>
    <t>{M}eme{I}ntel: Explainable Detection of Propagandistic and Hateful Memes</t>
  </si>
  <si>
    <t>liu-etal-2025-autoct</t>
  </si>
  <si>
    <t>{A}uto{CT}: Automating Interpretable Clinical Trial Prediction with {LLM} Agents</t>
  </si>
  <si>
    <t>pulakurthi-etal-2025-x</t>
  </si>
  <si>
    <t>{X}-{C}o{T}: Explainable Text-to-Video Retrieval via {LLM}-based Chain-of-Thought Reasoning</t>
  </si>
  <si>
    <t>popovic-farber-2025-extractive</t>
  </si>
  <si>
    <t>Extractive Fact Decomposition for Interpretable Natural Language Inference in one Forward Pass</t>
  </si>
  <si>
    <t>chen-toral-2025-shortcuts</t>
  </si>
  <si>
    <t>From Shortcuts to Balance: Attribution Analysis of Speech-Text Feature Utilization in Distinguishing Original from Machine-Translated Texts</t>
  </si>
  <si>
    <t>xin-etal-2025-cda</t>
  </si>
  <si>
    <t>{CDA}{\textasciicircum}2: Counterfactual Diffusion Augmentation for Cross-Domain Adaptation in Low-Resource Sentiment Analysis</t>
  </si>
  <si>
    <t>li-ouyang-2025-explaining</t>
  </si>
  <si>
    <t>Explaining Relationships Among Research Papers</t>
  </si>
  <si>
    <t>alshomary-etal-2025-latent</t>
  </si>
  <si>
    <t>Latent Space Interpretation for Stylistic Analysis and Explainable Authorship Attribution</t>
  </si>
  <si>
    <t>wang-etal-2025-cross</t>
  </si>
  <si>
    <t>Cross-Refine: Improving Natural Language Explanation Generation by Learning in Tandem</t>
  </si>
  <si>
    <t>liu-etal-2025-enhancing</t>
  </si>
  <si>
    <t>Enhancing Multi-party Dialogue Discourse Parsing with Explanation Generation</t>
  </si>
  <si>
    <t>mun-shin-2025-polysemy</t>
  </si>
  <si>
    <t>Polysemy Interpretation and Transformer Language Models: A Case of {K}orean Adverbial Postposition -(u)lo</t>
  </si>
  <si>
    <t>tan-etal-2025-improving</t>
  </si>
  <si>
    <t>Improving Explainable Fact-Checking with Claim-Evidence Correlations</t>
  </si>
  <si>
    <t>mina-etal-2025-cognitive</t>
  </si>
  <si>
    <t>Cognitive Biases, Task Complexity, and Result Interpretability in Large Language Models</t>
  </si>
  <si>
    <t>chu-etal-2025-towards</t>
  </si>
  <si>
    <t>Towards Faithful Multi-step Reasoning through Fine-Grained Causal-aware Attribution Reasoning Distillation</t>
  </si>
  <si>
    <t>tilli-vu-2025-discrete</t>
  </si>
  <si>
    <t>Discrete Subgraph Sampling for Interpretable Graph based Visual Question Answering</t>
  </si>
  <si>
    <t>shen-etal-2025-reasoning</t>
  </si>
  <si>
    <t>Reasoning with Trees: Faithful Question Answering over Knowledge Graph</t>
  </si>
  <si>
    <t>irnawan-etal-2025-claim</t>
  </si>
  <si>
    <t>Claim veracity assessment for explainable fake news detection</t>
  </si>
  <si>
    <t>chen-etal-2025-faithful</t>
  </si>
  <si>
    <t>Faithful Inference Chains Extraction for Fact Verification over Multi-view Heterogeneous Graph with Causal Intervention</t>
  </si>
  <si>
    <t>hao-etal-2025-post</t>
  </si>
  <si>
    <t>Post-Hoc Watermarking for Robust Detection in Text Generated by Large Language Models</t>
  </si>
  <si>
    <t>wu-etal-2025-edge</t>
  </si>
  <si>
    <t>Edge-free but Structure-aware: Prototype-Guided Knowledge Distillation from {GNN}s to {MLP}s</t>
  </si>
  <si>
    <t>liu-etal-2025-empirical</t>
  </si>
  <si>
    <t>Empirical Study on Data Attributes Insufficiency of Evaluation Benchmarks for {LLM}s</t>
  </si>
  <si>
    <t>alqurashi-etal-2025-bert</t>
  </si>
  <si>
    <t>{BERT}-based Classical {A}rabic Poetry Authorship Attribution</t>
  </si>
  <si>
    <t>riahi-samani-etal-2025-large</t>
  </si>
  <si>
    <t>Large Language Models with Reinforcement Learning from Human Feedback Approach for Enhancing Explainable Sexism Detection</t>
  </si>
  <si>
    <t>ferreira-etal-2025-explanation</t>
  </si>
  <si>
    <t>Explanation Regularisation through the Lens of Attributions</t>
  </si>
  <si>
    <t>salles-etal-2025-hatebrxplain</t>
  </si>
  <si>
    <t>{H}ate{BRX}plain: A Benchmark Dataset with Human-Annotated Rationales for Explainable Hate Speech Detection in {B}razilian {P}ortuguese</t>
  </si>
  <si>
    <t>hu-etal-2025-large</t>
  </si>
  <si>
    <t>Large Language Model-Based Event Relation Extraction with Rationales</t>
  </si>
  <si>
    <t>li-etal-2025-incorporating</t>
  </si>
  <si>
    <t>Incorporating Review-missing Interactions for Generative Explainable Recommendation</t>
  </si>
  <si>
    <t>zhang-etal-2025-hire</t>
  </si>
  <si>
    <t>Hire Me or Not? Examining Language Model{'}s Behavior with Occupation Attributes</t>
  </si>
  <si>
    <t>ling-etal-2025-enhancing</t>
  </si>
  <si>
    <t>Enhancing Factual Consistency in Text Summarization via Counterfactual Debiasing</t>
  </si>
  <si>
    <t>dementieva-etal-2025-multilingual</t>
  </si>
  <si>
    <t>Multilingual and Explainable Text Detoxification with Parallel Corpora</t>
  </si>
  <si>
    <t>zhao-etal-2025-dynamic</t>
  </si>
  <si>
    <t>Dynamic-prototype Contrastive Fine-tuning for Continual Few-shot Relation Extraction with Unseen Relation Detection</t>
  </si>
  <si>
    <t>xu-etal-2025-log</t>
  </si>
  <si>
    <t>{LOG}: A Local-to-Global Optimization Approach for Retrieval-based Explainable Multi-Hop Question Answering</t>
  </si>
  <si>
    <t>gallipoli-cagliero-2025-piece</t>
  </si>
  <si>
    <t>It is not a piece of cake for {GPT}: Explaining Textual Entailment Recognition in the presence of Figurative Language</t>
  </si>
  <si>
    <t>wen-etal-2025-gaprotonet</t>
  </si>
  <si>
    <t>{GAP}roto{N}et: A Multi-head Graph Attention-based Prototypical Network for Interpretable Text Classification</t>
  </si>
  <si>
    <t>kim-2025-ambiguous</t>
  </si>
  <si>
    <t>How Ambiguous Are the Rationales for Natural Language Reasoning? A Simple Approach to Handling Rationale Uncertainty</t>
  </si>
  <si>
    <t>zarharan-etal-2025-farexstance</t>
  </si>
  <si>
    <t>{F}ar{E}x{S}tance: Explainable Stance Detection for {F}arsi</t>
  </si>
  <si>
    <t>duan-etal-2025-unveiling</t>
  </si>
  <si>
    <t>Unveiling Language Competence Neurons: A Psycholinguistic Approach to Model Interpretability</t>
  </si>
  <si>
    <t>gao-etal-2025-consistency</t>
  </si>
  <si>
    <t>Consistency Rating of Semantic Transparency: an Evaluation Method for Metaphor Competence in Idiom Understanding Tasks</t>
  </si>
  <si>
    <t>fang-etal-2025-counterfactual</t>
  </si>
  <si>
    <t>Counterfactual Debating with Preset Stances for Hallucination Elimination of {LLM}s</t>
  </si>
  <si>
    <t>lim-lauw-2025-interpreting</t>
  </si>
  <si>
    <t>Interpreting Topic Models in Byte-Pair Encoding Space</t>
  </si>
  <si>
    <t>zhou-etal-2025-text</t>
  </si>
  <si>
    <t>Text-Attributed Graph Learning with Coupled Augmentations</t>
  </si>
  <si>
    <t>lam-etal-2025-leveraging</t>
  </si>
  <si>
    <t>Leveraging Human Production-Interpretation Asymmetries to Test {LLM} Cognitive Plausibility</t>
  </si>
  <si>
    <t>ACL</t>
  </si>
  <si>
    <t>zhao-etal-2025-seeking</t>
  </si>
  <si>
    <t>Seeking Rational Demonstrations for Large Language Models: A Domain Generalization Approach to Unsupervised Cross-Domain Keyphrase Generation</t>
  </si>
  <si>
    <t>alipoormolabashi-etal-2025-quantifying</t>
  </si>
  <si>
    <t>Quantifying Misattribution Unfairness in Authorship Attribution</t>
  </si>
  <si>
    <t>kim-hwang-2025-counterfactual</t>
  </si>
  <si>
    <t>Counterfactual-Consistency Prompting for Relative Temporal Understanding in Large Language Models</t>
  </si>
  <si>
    <t>ye-etal-2025-cleme2</t>
  </si>
  <si>
    <t>{CLEME}2.0: Towards Interpretable Evaluation by Disentangling Edits for Grammatical Error Correction</t>
  </si>
  <si>
    <t>ruggeri-signorelli-2025-interlocking</t>
  </si>
  <si>
    <t>Interlocking-free Selective Rationalization Through Genetic-based Learning</t>
  </si>
  <si>
    <t>li-etal-2025-open</t>
  </si>
  <si>
    <t>Open-World Attribute Mining for {E}-Commerce Products with Multimodal Self-Correction Instruction Tuning</t>
  </si>
  <si>
    <t>edin-etal-2025-normalized</t>
  </si>
  <si>
    <t>Normalized {AOPC}: Fixing Misleading Faithfulness Metrics for Feature Attributions Explainability</t>
  </si>
  <si>
    <t>patel-etal-2025-retrieve</t>
  </si>
  <si>
    <t>Retrieve to Explain: Evidence-driven Predictions for Explainable Drug Target Identification</t>
  </si>
  <si>
    <t>zhou-etal-2025-taming</t>
  </si>
  <si>
    <t>Taming Language Models for Text-attributed Graph Learning with Decoupled Aggregation</t>
  </si>
  <si>
    <t>yang-etal-2025-confidence</t>
  </si>
  <si>
    <t>Confidence v.s. Critique: A Decomposition of Self-Correction Capability for {LLM}s</t>
  </si>
  <si>
    <t>luo-etal-2025-automating</t>
  </si>
  <si>
    <t>Automating Legal Interpretation with {LLM}s: Retrieval, Generation, and Evaluation</t>
  </si>
  <si>
    <t>wei-zhu-2025-protolens</t>
  </si>
  <si>
    <t>{P}roto{L}ens: Advancing Prototype Learning for Fine-Grained Interpretability in Text Classification</t>
  </si>
  <si>
    <t>zhang-etal-2025-dually</t>
  </si>
  <si>
    <t>Dually Self-Improved Counterfactual Data Augmentation Using Large Language Model</t>
  </si>
  <si>
    <t>meng-etal-2025-stigma</t>
  </si>
  <si>
    <t>What is Stigma Attributed to? A Theory-Grounded, Expert-Annotated Interview Corpus for Demystifying Mental-Health Stigma</t>
  </si>
  <si>
    <t>gur-arieh-etal-2025-enhancing</t>
  </si>
  <si>
    <t>Enhancing Automated Interpretability with Output-Centric Feature Descriptions</t>
  </si>
  <si>
    <t>chen-etal-2025-f5</t>
  </si>
  <si>
    <t>F5-{TTS}: A Fairytaler that Fakes Fluent and Faithful Speech with Flow Matching</t>
  </si>
  <si>
    <t>zhelnin-etal-2025-gift</t>
  </si>
  <si>
    <t>{GIFT}-{SW}: {G}aussian noise Injected Fine-Tuning of Salient Weights for {LLM}s</t>
  </si>
  <si>
    <t>li-etal-2025-drift</t>
  </si>
  <si>
    <t>Drift: Enhancing {LLM} Faithfulness in Rationale Generation via Dual-Reward Probabilistic Inference</t>
  </si>
  <si>
    <t>lin-etal-2025-gamebot</t>
  </si>
  <si>
    <t>{GAMEB}o{T}: Transparent Assessment of {LLM} Reasoning in Games</t>
  </si>
  <si>
    <t>xie-etal-2025-improving</t>
  </si>
  <si>
    <t>Improving Model Factuality with Fine-grained Critique-based Evaluator</t>
  </si>
  <si>
    <t>ravenda-etal-2025-llms</t>
  </si>
  <si>
    <t>Are {LLM}s effective psychological assessors? Leveraging adaptive {RAG} for interpretable mental health screening through psychometric practice</t>
  </si>
  <si>
    <t>kim-lee-2025-forward</t>
  </si>
  <si>
    <t>Forward Knows Efficient Backward Path: Saliency-Guided Memory-Efficient Fine-tuning of Large Language Models</t>
  </si>
  <si>
    <t>li-ng-2025-think</t>
  </si>
  <si>
    <t>Think{\&amp;}Cite: Improving Attributed Text Generation with Self-Guided Tree Search and Progress Reward Modeling</t>
  </si>
  <si>
    <t>zhu-etal-2025-real</t>
  </si>
  <si>
    <t>From Real to Synthetic: Synthesizing Millions of Diversified and Complicated User Instructions with Attributed Grounding</t>
  </si>
  <si>
    <t>pham-etal-2025-mitigating</t>
  </si>
  <si>
    <t>Mitigating Non-Representative Prototypes and Representation Bias in Few-Shot Continual Relation Extraction</t>
  </si>
  <si>
    <t>niu-etal-2025-knowledge</t>
  </si>
  <si>
    <t>Knowledge-Augmented Multimodal Clinical Rationale Generation for Disease Diagnosis with Small Language Models</t>
  </si>
  <si>
    <t>jiang-etal-2025-enhancing</t>
  </si>
  <si>
    <t>Enhancing Interpretable Image Classification Through {LLM} Agents and Conditional Concept Bottleneck Models</t>
  </si>
  <si>
    <t>lian-etal-2025-beyond</t>
  </si>
  <si>
    <t>Beyond Surface Simplicity: Revealing Hidden Reasoning Attributes for Precise Commonsense Diagnosis</t>
  </si>
  <si>
    <t>rose-etal-2025-meddxagent</t>
  </si>
  <si>
    <t>{MEDD}x{A}gent: A Unified Modular Agent Framework for Explainable Automatic Differential Diagnosis</t>
  </si>
  <si>
    <t>hirsch-etal-2025-laquer</t>
  </si>
  <si>
    <t>{LAQ}uer: Localized Attribution Queries in Content-grounded Generation</t>
  </si>
  <si>
    <t>patnaik-etal-2025-learning</t>
  </si>
  <si>
    <t>Learning Together to Perform Better: Teaching Small-Scale {LLM}s to Collaborate via Preferential Rationale Tuning</t>
  </si>
  <si>
    <t>song-etal-2025-irt</t>
  </si>
  <si>
    <t>{IRT}-Router: Effective and Interpretable Multi-{LLM} Routing via Item Response Theory</t>
  </si>
  <si>
    <t>javorsky-etal-2025-mockconf</t>
  </si>
  <si>
    <t>{M}ock{C}onf: A Student Interpretation Dataset: Analysis, Word- and Span-level Alignment and Baselines</t>
  </si>
  <si>
    <t>khan-etal-2025-explaining</t>
  </si>
  <si>
    <t>Explaining Matters: Leveraging Definitions and Semantic Expansion for Sexism Detection</t>
  </si>
  <si>
    <t>huang-etal-2025-improving</t>
  </si>
  <si>
    <t>Improving Contextual Faithfulness of Large Language Models via Retrieval Heads-Induced Optimization</t>
  </si>
  <si>
    <t>radevski-etal-2025-synthesizing</t>
  </si>
  <si>
    <t>On Synthesizing Data for Context Attribution in Question Answering</t>
  </si>
  <si>
    <t>hu-etal-2025-llms</t>
  </si>
  <si>
    <t>Can {LLM}s Evaluate Complex Attribution in {QA}? Automatic Benchmarking using Knowledge Graphs</t>
  </si>
  <si>
    <t>bao-etal-2025-fixing</t>
  </si>
  <si>
    <t>Fixing Distribution Shifts of {LLM} Self-Critique via On-Policy Self-Play Training</t>
  </si>
  <si>
    <t>quan-etal-2025-faithful</t>
  </si>
  <si>
    <t>Faithful and Robust {LLM}-Driven Theorem Proving for {NLI} Explanations</t>
  </si>
  <si>
    <t>zheng-etal-2025-dncasr</t>
  </si>
  <si>
    <t>{DNCASR}: End-to-End Training for Speaker-Attributed {ASR}</t>
  </si>
  <si>
    <t>azarkhalili-libbrecht-2025-generalized</t>
  </si>
  <si>
    <t>Generalized Attention Flow: Feature Attribution for Transformer Models via Maximum Flow</t>
  </si>
  <si>
    <t>nguyen-etal-2025-multi</t>
  </si>
  <si>
    <t>Multi-Attribute Steering of Language Models via Targeted Intervention</t>
  </si>
  <si>
    <t>singhvi-etal-2025-using</t>
  </si>
  <si>
    <t>Using Shapley interactions to understand how models use structure</t>
  </si>
  <si>
    <t>spinoso-di-piano-etal-2025-rsa</t>
  </si>
  <si>
    <t>({RSA}){\texttwosuperior}: A Rhetorical-Strategy-Aware Rational Speech Act Framework for Figurative Language Understanding</t>
  </si>
  <si>
    <t>tang-etal-2025-cognibench</t>
  </si>
  <si>
    <t>{C}ogni{B}ench: A Legal-inspired Framework and Dataset for Assessing Cognitive Faithfulness of Large Language Models</t>
  </si>
  <si>
    <t>zhang-etal-2025-faithfulrag</t>
  </si>
  <si>
    <t>{F}aithful{RAG}: Fact-Level Conflict Modeling for Context-Faithful Retrieval-Augmented Generation</t>
  </si>
  <si>
    <t>park-etal-2025-evaluating</t>
  </si>
  <si>
    <t>Evaluating Visual and Cultural Interpretation: The K-Viscuit Benchmark with Human-{VLM} Collaboration</t>
  </si>
  <si>
    <t>chang-etal-2025-jopa</t>
  </si>
  <si>
    <t>{J}o{PA}: Explaining Large Language Model{'}s Generation via Joint Prompt Attribution</t>
  </si>
  <si>
    <t>feng-etal-2025-culfit</t>
  </si>
  <si>
    <t>{C}ul{F}i{T}: A Fine-grained Cultural-aware {LLM} Training Paradigm via Multilingual Critique Data Synthesis</t>
  </si>
  <si>
    <t>li-etal-2025-decoding</t>
  </si>
  <si>
    <t>Decoding Knowledge Attribution in Mixture-of-Experts: A Framework of Basic-Refinement Collaboration and Efficiency Analysis</t>
  </si>
  <si>
    <t>suri-etal-2025-chartlens</t>
  </si>
  <si>
    <t>{C}hart{L}ens: Fine-grained Visual Attribution in Charts</t>
  </si>
  <si>
    <t>go-etal-2025-xdac</t>
  </si>
  <si>
    <t>{XDAC}: {XAI}-Driven Detection and Attribution of {LLM}-Generated News Comments in {K}orean</t>
  </si>
  <si>
    <t>lee-etal-2025-emotional</t>
  </si>
  <si>
    <t>Does the Emotional Understanding of {LVLM}s Vary Under High-Stress Environments and Across Different Demographic Attributes?</t>
  </si>
  <si>
    <t>li-etal-2025-decoding-graphs</t>
  </si>
  <si>
    <t>Decoding on Graphs: Faithful and Sound Reasoning on Knowledge Graphs through Generation of Well-Formed Chains</t>
  </si>
  <si>
    <t>li-pan-2025-ceaes</t>
  </si>
  <si>
    <t>{CEAES}: Bidirectional Reinforcement Learning Optimization for Consistent and Explainable Essay Assessment</t>
  </si>
  <si>
    <t>liang-etal-2025-colloquial</t>
  </si>
  <si>
    <t>Colloquial Singaporean {E}nglish Style Transfer with Fine-Grained Explainable Control</t>
  </si>
  <si>
    <t>hu-etal-2025-dual</t>
  </si>
  <si>
    <t>A Dual-Perspective {NLG} Meta-Evaluation Framework with Automatic Benchmark and Better Interpretability</t>
  </si>
  <si>
    <t>ghosh-etal-2025-just</t>
  </si>
  <si>
    <t>Just a Scratch: Enhancing {LLM} Capabilities for Self-harm Detection through Intent Differentiation and Emoji Interpretation</t>
  </si>
  <si>
    <t>min-etal-2025-understanding</t>
  </si>
  <si>
    <t>Understanding Impact of Human Feedback via Influence Functions</t>
  </si>
  <si>
    <t>padhi-etal-2025-counterspeech</t>
  </si>
  <si>
    <t>Counterspeech the ultimate shield! Multi-Conditioned Counterspeech Generation through Attributed Prefix Learning</t>
  </si>
  <si>
    <t>hein-etal-2025-chexalign</t>
  </si>
  <si>
    <t>{C}he{X}align: Preference fine-tuning in chest {X}-ray interpretation models without human feedback</t>
  </si>
  <si>
    <t>sun-etal-2025-prism</t>
  </si>
  <si>
    <t>{PRISM}: A Framework for Producing Interpretable Political Bias Embeddings with Political-Aware Cross-Encoder</t>
  </si>
  <si>
    <t>pronesti-etal-2025-query</t>
  </si>
  <si>
    <t>Query-driven Document-level Scientific Evidence Extraction from Biomedical Studies</t>
  </si>
  <si>
    <t>wang-etal-2025-a3</t>
  </si>
  <si>
    <t>$\mathcal{A}^3$: Automatic Alignment Framework for Attributed Text Generation</t>
  </si>
  <si>
    <t>kamigaito-etal-2025-diversity</t>
  </si>
  <si>
    <t>Diversity Explains Inference Scaling Laws: Through a Case Study of Minimum {B}ayes Risk Decoding</t>
  </si>
  <si>
    <t>ma-etal-2025-visa</t>
  </si>
  <si>
    <t>{VISA}: Retrieval Augmented Generation with Visual Source Attribution</t>
  </si>
  <si>
    <t>li-etal-2025-iris</t>
  </si>
  <si>
    <t>{IRIS}: Interpretable Retrieval-Augmented Classification for Long Interspersed Document Sequences</t>
  </si>
  <si>
    <t>saranathan-etal-2025-sublime</t>
  </si>
  <si>
    <t>{S}ub{LIME}: Subset Selection via Rank Correlation Prediction for Data-Efficient {LLM} Evaluation</t>
  </si>
  <si>
    <t>douglas-etal-2025-less</t>
  </si>
  <si>
    <t>Less is More: Explainable and Efficient {ICD} Code Prediction with Clinical Entities</t>
  </si>
  <si>
    <t>su-etal-2025-taclr</t>
  </si>
  <si>
    <t>{TACLR}: A Scalable and Efficient Retrieval-based Method for Industrial Product Attribute Value Identification</t>
  </si>
  <si>
    <t>yang-etal-2025-maple</t>
  </si>
  <si>
    <t>{MAPLE}: Enhancing Review Generation with Multi-Aspect Prompt {LE}arning in Explainable Recommendation</t>
  </si>
  <si>
    <t>xu-etal-2025-citeeval</t>
  </si>
  <si>
    <t>{C}ite{E}val: Principle-Driven Citation Evaluation for Source Attribution</t>
  </si>
  <si>
    <t>sui-etal-2025-kristeva</t>
  </si>
  <si>
    <t>{KRISTEVA}: Close Reading as a Novel Task for Benchmarking Interpretive Reasoning</t>
  </si>
  <si>
    <t>sha-lukasiewicz-2024-text</t>
  </si>
  <si>
    <t>Text Attribute Control via Closed-Loop Disentanglement</t>
  </si>
  <si>
    <t>zeng-gao-2024-justilm</t>
  </si>
  <si>
    <t>{J}usti{LM}: Few-shot Justification Generation for Explainable Fact-Checking of Real-world Claims</t>
  </si>
  <si>
    <t>"Justification is an explanation that supports the veracity assigned to a claim in fact-checking."</t>
  </si>
  <si>
    <t>adlakha-etal-2024-evaluating</t>
  </si>
  <si>
    <t>Evaluating Correctness and Faithfulness of Instruction-Following Models for Question Answering</t>
  </si>
  <si>
    <t>Correlation of several automatic evalu-
ation metrics with human judgments for correct-
ness w.r.t. information need.</t>
  </si>
  <si>
    <t>aggazzotti-etal-2024-authorship</t>
  </si>
  <si>
    <t>Can Authorship Attribution Models Distinguish Speakers in Speech Transcripts?</t>
  </si>
  <si>
    <t>guerreiro-etal-2024-xcomet</t>
  </si>
  <si>
    <t>x{COMET}: Transparent Machine Translation Evaluation through Fine-grained Error Detection</t>
  </si>
  <si>
    <t xml:space="preserve"> top-performing cluster according to statistical significance (p &lt; 0.05).</t>
  </si>
  <si>
    <t>honda-etal-2024-eliminate</t>
  </si>
  <si>
    <t>Not Eliminate but Aggregate: Post-Hoc Control over Mixture-of-Experts to Address Shortcut Shifts in Natural Language Understanding</t>
  </si>
  <si>
    <t>jandaghi-etal-2024-faithful-persona</t>
  </si>
  <si>
    <t>Faithful Persona-based Conversational Dataset Generation with Large Language Models</t>
  </si>
  <si>
    <t>zhang-etal-2024-improving-toponym</t>
  </si>
  <si>
    <t>Improving Toponym Resolution by Predicting Attributes to Constrain Geographical Ontology Entries</t>
  </si>
  <si>
    <t>xie-etal-2024-extracting</t>
  </si>
  <si>
    <t>Extracting Lexical Features from Dialects via Interpretable Dialect Classifiers</t>
  </si>
  <si>
    <t>ding-etal-2024-rationale</t>
  </si>
  <si>
    <t>A Rationale-centric Counterfactual Data Augmentation Method for Cross-Document Event Coreference Resolution</t>
  </si>
  <si>
    <t>kovatchev-lease-2024-benchmark</t>
  </si>
  <si>
    <t>Benchmark Transparency: Measuring the Impact of Data on Evaluation</t>
  </si>
  <si>
    <t>wu-etal-2024-reasoning</t>
  </si>
  <si>
    <t>Reasoning or Reciting? Exploring the Capabilities and Limitations of Language Models Through Counterfactual Tasks</t>
  </si>
  <si>
    <t>erk-apidianaki-2024-adjusting</t>
  </si>
  <si>
    <t>Adjusting Interpretable Dimensions in Embedding Space with Human Judgments</t>
  </si>
  <si>
    <t>jiang-etal-2024-trisum</t>
  </si>
  <si>
    <t>{T}ri{S}um: Learning Summarization Ability from Large Language Models with Structured Rationale</t>
  </si>
  <si>
    <t>malaviya-etal-2024-expertqa</t>
  </si>
  <si>
    <t>{E}xpert{QA}: Expert-Curated Questions and Attributed Answers</t>
  </si>
  <si>
    <t>zhao-aletras-2024-comparing</t>
  </si>
  <si>
    <t>Comparing Explanation Faithfulness between Multilingual and Monolingual Fine-tuned Language Models</t>
  </si>
  <si>
    <t>salkhordeh-ziabari-etal-2024-reinforced</t>
  </si>
  <si>
    <t>Reinforced Multiple Instance Selection for Speaker Attribute Prediction</t>
  </si>
  <si>
    <t>wang-etal-2024-helpsteer</t>
  </si>
  <si>
    <t>{H}elp{S}teer: Multi-attribute Helpfulness Dataset for {S}teer{LM}</t>
  </si>
  <si>
    <t>patel-etal-2024-towards</t>
  </si>
  <si>
    <t>Towards Improved Multi-Source Attribution for Long-Form Answer Generation</t>
  </si>
  <si>
    <t>nath-etal-2024-okay</t>
  </si>
  <si>
    <t>Okay, Let{'}s Do This! Modeling Event Coreference with Generated Rationales and Knowledge Distillation</t>
  </si>
  <si>
    <t>wang-etal-2024-enhancing</t>
  </si>
  <si>
    <t>Enhancing Large Language Models Against Inductive Instructions with Dual-critique Prompting</t>
  </si>
  <si>
    <t>cao-wang-2024-awesome</t>
  </si>
  <si>
    <t>{AWESOME}: {GPU} Memory-constrained Long Document Summarization using Memory Mechanism and Global Salient Content</t>
  </si>
  <si>
    <t>daheim-etal-2024-elastic</t>
  </si>
  <si>
    <t>Elastic Weight Removal for Faithful and Abstractive Dialogue Generation</t>
  </si>
  <si>
    <t>mcinerney-etal-2024-towards</t>
  </si>
  <si>
    <t>Towards Reducing Diagnostic Errors with Interpretable Risk Prediction</t>
  </si>
  <si>
    <t>valvoda-cotterell-2024-towards</t>
  </si>
  <si>
    <t>Towards Explainability in Legal Outcome Prediction Models</t>
  </si>
  <si>
    <t>vasileiou-eberle-2024-explaining</t>
  </si>
  <si>
    <t>Explaining Text Similarity in Transformer Models</t>
  </si>
  <si>
    <t>zhuang-etal-2024-macsc</t>
  </si>
  <si>
    <t>{M}a{CSC}: Towards Multimodal-augmented Pre-trained Language Models via Conceptual Prototypes and Self-balancing Calibration</t>
  </si>
  <si>
    <t>li-chaturvedi-2024-rationale</t>
  </si>
  <si>
    <t>Rationale-based Opinion Summarization</t>
  </si>
  <si>
    <t>zhu-etal-2024-efficient</t>
  </si>
  <si>
    <t>Efficient End-to-End Visual Document Understanding with Rationale Distillation</t>
  </si>
  <si>
    <t>spangher-etal-2024-legaldiscourse</t>
  </si>
  <si>
    <t>{L}egal{D}iscourse: Interpreting When Laws Apply and To Whom</t>
  </si>
  <si>
    <t>niu-etal-2024-hong</t>
  </si>
  <si>
    <t>A {H}ong {K}ong {S}ign {L}anguage Corpus Collected from Sign-interpreted {TV} News</t>
  </si>
  <si>
    <t>urakawa-etal-2024-japanese</t>
  </si>
  <si>
    <t>A {J}apanese News Simplification Corpus with Faithfulness</t>
  </si>
  <si>
    <t>ikhwantri-etal-2024-analyzing</t>
  </si>
  <si>
    <t>Analyzing Interpretability of Summarization Model with Eye-gaze Information</t>
  </si>
  <si>
    <t>liu-etal-2024-ce</t>
  </si>
  <si>
    <t>{CE}-{VDG}: Counterfactual Entropy-based Bias Reduction for Video-grounded Dialogue Generation</t>
  </si>
  <si>
    <t>imashev-etal-2024-comparative</t>
  </si>
  <si>
    <t>Comparative Analysis of Sign Language Interpreting Agents Perception: A Study of the Deaf</t>
  </si>
  <si>
    <t>steindl-etal-2024-counterfactual</t>
  </si>
  <si>
    <t>Counterfactual Dialog Mixing as Data Augmentation for Task-Oriented Dialog Systems</t>
  </si>
  <si>
    <t>kranzlein-etal-2024-curiam</t>
  </si>
  <si>
    <t>{C}u{RIAM}: Corpus Re Interpretation and Metalanguage in {U}.{S}. {S}upreme {C}ourt Opinions</t>
  </si>
  <si>
    <t>petersen-frey-biemann-2024-dataset</t>
  </si>
  <si>
    <t>Dataset of Quotation Attribution in {G}erman News Articles</t>
  </si>
  <si>
    <t>xin-etal-2024-diffusion</t>
  </si>
  <si>
    <t>Diffusion Based Counterfactual Augmentation for Dual Sentiment Classification</t>
  </si>
  <si>
    <t>hu-etal-2024-generator</t>
  </si>
  <si>
    <t>Does the Generator Mind Its Contexts? An Analysis of Generative Model Faithfulness under Context Transfer</t>
  </si>
  <si>
    <t>zhang-etal-2024-empowering</t>
  </si>
  <si>
    <t>Empowering Tree-structured Entailment Reasoning: Rhetorical Perception and {LLM}-driven Interpretability</t>
  </si>
  <si>
    <t>lu-etal-2024-evaluating</t>
  </si>
  <si>
    <t>Evaluating Saliency Explanations in {NLP} by Crowdsourcing</t>
  </si>
  <si>
    <t>brandl-etal-2024-evaluating</t>
  </si>
  <si>
    <t>Evaluating Webcam-based Gaze Data as an Alternative for Human Rationale Annotations</t>
  </si>
  <si>
    <t>hwang-etal-2024-explainable</t>
  </si>
  <si>
    <t>Explainable Multi-hop Question Generation: An End-to-End Approach without Intermediate Question Labeling</t>
  </si>
  <si>
    <t>zhou-etal-2024-explaining</t>
  </si>
  <si>
    <t>Explaining Pre-Trained Language Models with Attribution Scores: An Analysis in Low-Resource Settings</t>
  </si>
  <si>
    <t>musil-marecek-2024-exploring</t>
  </si>
  <si>
    <t>Exploring Interpretability of Independent Components of Word Embeddings with Automated Word Intruder Test</t>
  </si>
  <si>
    <t>shi-etal-2024-find</t>
  </si>
  <si>
    <t>Find-the-Common: A Benchmark for Explaining Visual Patterns from Images</t>
  </si>
  <si>
    <t>richard-etal-2024-fracas</t>
  </si>
  <si>
    <t>{FRACAS}: a {FR}ench Annotated Corpus of Attribution relations in new{S}</t>
  </si>
  <si>
    <t>maladry-etal-2024-human</t>
  </si>
  <si>
    <t>Human and System Perspectives on the Expression of Irony: An Analysis of Likelihood Labels and Rationales</t>
  </si>
  <si>
    <t>ghosh-roy-han-2024-ilciter</t>
  </si>
  <si>
    <t>{ILC}ite{R}: Evidence-grounded Interpretable Local Citation Recommendation</t>
  </si>
  <si>
    <t>zhang-etal-2024-improving-continual</t>
  </si>
  <si>
    <t>Improving Continual Few-shot Relation Extraction through Relational Knowledge Distillation and Prototype Augmentation</t>
  </si>
  <si>
    <t>li-etal-2024-improving-faithfulness</t>
  </si>
  <si>
    <t>Improving Faithfulness of Large Language Models in Summarization via Sliding Generation and Self-Consistency</t>
  </si>
  <si>
    <t>banerjee-etal-2024-inffeed</t>
  </si>
  <si>
    <t>{I}nf{F}eed: Influence Functions as a Feedback to Improve the Performance of Subjective Tasks</t>
  </si>
  <si>
    <t>tran-miyao-2024-integrating</t>
  </si>
  <si>
    <t>Integrating Headedness Information into an Auto-generated Multilingual {CCG}bank for Improved Semantic Interpretation</t>
  </si>
  <si>
    <t>abderrazek-etal-2024-interpretable</t>
  </si>
  <si>
    <t>Interpretable Assessment of Speech Intelligibility Using Deep Learning: A Case Study on Speech Disorders Due to Head and Neck Cancers</t>
  </si>
  <si>
    <t>wu-etal-2024-interpretable</t>
  </si>
  <si>
    <t>Interpretable Short Video Rumor Detection Based on Modality Tampering</t>
  </si>
  <si>
    <t>zhang-etal-2024-interpreting</t>
  </si>
  <si>
    <t>Interpreting Themes from Educational Stories</t>
  </si>
  <si>
    <t>tilli-vu-2024-intrinsic</t>
  </si>
  <si>
    <t>Intrinsic Subgraph Generation for Interpretable Graph Based Visual Question Answering</t>
  </si>
  <si>
    <t>ishii-etal-2024-jemhopqa</t>
  </si>
  <si>
    <t>{JEMH}op{QA}: Dataset for {J}apanese Explainable Multi-Hop Question Answering</t>
  </si>
  <si>
    <t>cheng-etal-2024-learning</t>
  </si>
  <si>
    <t>Learning Intrinsic Dimension via Information Bottleneck for Explainable Aspect-based Sentiment Analysis</t>
  </si>
  <si>
    <t>zhou-etal-2024-mcil</t>
  </si>
  <si>
    <t>{MCIL}: Multimodal Counterfactual Instance Learning for Low-resource Entity-based Multimodal Information Extraction</t>
  </si>
  <si>
    <t>chen-etal-2024-mmaps</t>
  </si>
  <si>
    <t>{MMAPS}: End-to-End Multi-Grained Multi-Modal Attribute-Aware Product Summarization</t>
  </si>
  <si>
    <t>zhao-etal-2024-naist</t>
  </si>
  <si>
    <t>{NAIST}-{SIC}-Aligned: An Aligned {E}nglish-{J}apanese Simultaneous Interpretation Corpus</t>
  </si>
  <si>
    <t>zhang-etal-2024-new</t>
  </si>
  <si>
    <t>New Intent Discovery with Attracting and Dispersing Prototype</t>
  </si>
  <si>
    <t>rehbein-etal-2024-mouths</t>
  </si>
  <si>
    <t>Out of the Mouths of {MP}s: Speaker Attribution in Parliamentary Debates</t>
  </si>
  <si>
    <t>ogrodniczuk-etal-2024-polish-discourse</t>
  </si>
  <si>
    <t>{P}olish Discourse Corpus ({PDC}): Corpus Design, {ISO}-Compliant Annotation, Data Highlights, and Parser Development</t>
  </si>
  <si>
    <t>li-etal-2024-prompting</t>
  </si>
  <si>
    <t>Prompting Large Language Models for Counterfactual Generation: An Empirical Study</t>
  </si>
  <si>
    <t>tang-etal-2024-prototype</t>
  </si>
  <si>
    <t>Prototype-based Prompt-Instance Interaction with Causal Intervention for Few-shot Event Detection</t>
  </si>
  <si>
    <t>grissom-ii-etal-2024-rapidly</t>
  </si>
  <si>
    <t>Rapidly Piloting Real-time Linguistic Assistance for Simultaneous Interpreters with Untrained Bilingual Surrogates</t>
  </si>
  <si>
    <t>t-revi-etal-2024-rationale</t>
  </si>
  <si>
    <t>Rationale-based Learning Using Self-Supervised Narrative Events for Text Summarisation of Interactive Digital Narratives</t>
  </si>
  <si>
    <t>zeng-etal-2024-ru22fact</t>
  </si>
  <si>
    <t>{RU}22{F}act: Optimizing Evidence for Multilingual Explainable Fact-Checking on {R}ussia-{U}kraine Conflict</t>
  </si>
  <si>
    <t>jain-etal-2024-saliency</t>
  </si>
  <si>
    <t>Saliency-Aware Interpolative Augmentation for Multimodal Financial Prediction</t>
  </si>
  <si>
    <t>garcia-silva-etal-2024-space</t>
  </si>
  <si>
    <t>{SPACE}-{IDEAS}: A Dataset for Salient Information Detection in Space Innovation</t>
  </si>
  <si>
    <t>lu-etal-2024-take</t>
  </si>
  <si>
    <t>Take Its Essence, Discard Its Dross! Debiasing for Toxic Language Detection via Counterfactual Causal Effect</t>
  </si>
  <si>
    <t>kamp-etal-2024-role</t>
  </si>
  <si>
    <t>The Role of Syntactic Span Preferences in Post-Hoc Explanation Disagreement</t>
  </si>
  <si>
    <t>t-y-s-s-etal-2024-towards</t>
  </si>
  <si>
    <t>Towards Explainability and Fairness in {S}wiss Judgement Prediction: Benchmarking on a Multilingual Dataset</t>
  </si>
  <si>
    <t>sun-etal-2024-towards</t>
  </si>
  <si>
    <t>Towards Generalizable and Faithful Logic Reasoning over Natural Language via Resolution Refutation</t>
  </si>
  <si>
    <t>zhong-etal-2024-said</t>
  </si>
  <si>
    <t>Who Said What: Formalization and Benchmarks for the Task of Quote Attribution</t>
  </si>
  <si>
    <t>bayer-etal-2024-xai</t>
  </si>
  <si>
    <t>{XAI}-Attack: Utilizing Explainable {AI} to Find Incorrectly Learned Patterns for Black-Box Adversarial Example Creation</t>
  </si>
  <si>
    <t>zhang-etal-2024-xatu</t>
  </si>
  <si>
    <t>{XATU}: A Fine-grained Instruction-based Benchmark for Explainable Text Updates</t>
  </si>
  <si>
    <t>qiu-etal-2024-think</t>
  </si>
  <si>
    <t>Think While You Write: Hypothesis Verification Promotes Faithful Knowledge-to-Text Generation</t>
  </si>
  <si>
    <t>ma-etal-2024-beta</t>
  </si>
  <si>
    <t>Beta-{LR}: Interpretable Logical Reasoning based on Beta Distribution</t>
  </si>
  <si>
    <t>pham-etal-2024-peeb</t>
  </si>
  <si>
    <t>{PEEB}: Part-based Image Classifiers with an Explainable and Editable Language Bottleneck</t>
  </si>
  <si>
    <t>wang-etal-2024-interpreting</t>
  </si>
  <si>
    <t>Interpreting Answers to Yes-No Questions in Dialogues from Multiple Domains</t>
  </si>
  <si>
    <t>wei-jie-etal-2024-interpretable</t>
  </si>
  <si>
    <t>How Interpretable are Reasoning Explanations from Prompting Large Language Models?</t>
  </si>
  <si>
    <t>hong-etal-2024-gullible</t>
  </si>
  <si>
    <t>Why So Gullible? Enhancing the Robustness of Retrieval-Augmented Models against Counterfactual Noise</t>
  </si>
  <si>
    <t>samardzic-etal-2024-measure</t>
  </si>
  <si>
    <t>A Measure for Transparent Comparison of Linguistic Diversity in Multilingual {NLP} Data Sets</t>
  </si>
  <si>
    <t>saxena-keller-2024-select</t>
  </si>
  <si>
    <t>Select and Summarize: Scene Saliency for Movie Script Summarization</t>
  </si>
  <si>
    <t>moghe-etal-2024-interpreting</t>
  </si>
  <si>
    <t>Interpreting User Requests in the Context of Natural Language Standing Instructions</t>
  </si>
  <si>
    <t>resck-etal-2024-exploring</t>
  </si>
  <si>
    <t>Exploring the Trade-off Between Model Performance and Explanation Plausibility of Text Classifiers Using Human Rationales</t>
  </si>
  <si>
    <t>langedijk-etal-2024-decoderlens</t>
  </si>
  <si>
    <t>{D}ecoder{L}ens: Layerwise Interpretation of Encoder-Decoder Transformers</t>
  </si>
  <si>
    <t>berchansky-etal-2024-cotar</t>
  </si>
  <si>
    <t>{C}o{TAR}: Chain-of-Thought Attribution Reasoning with Multi-level Granularity</t>
  </si>
  <si>
    <t>zhang-etal-2024-document-hashing</t>
  </si>
  <si>
    <t>Document Hashing with Multi-Grained Prototype-Induced Hierarchical Generative Model</t>
  </si>
  <si>
    <t>ma-etal-2024-xrec</t>
  </si>
  <si>
    <t>{XR}ec: Large Language Models for Explainable Recommendation</t>
  </si>
  <si>
    <t>liu-etal-2024-safety</t>
  </si>
  <si>
    <t>{SAFETY}-{J}: Evaluating Safety with Critique</t>
  </si>
  <si>
    <t>wang-etal-2024-coxql</t>
  </si>
  <si>
    <t>{C}o{XQL}: A Dataset for Parsing Explanation Requests in Conversational {XAI} Systems</t>
  </si>
  <si>
    <t>yang-etal-2024-eave</t>
  </si>
  <si>
    <t>{EAVE}: Efficient Product Attribute Value Extraction via Lightweight Sparse-layer Interaction</t>
  </si>
  <si>
    <t>li-etal-2024-diversify</t>
  </si>
  <si>
    <t>Diversify, Rationalize, and Combine: Ensembling Multiple {QA} Strategies for Zero-shot Knowledge-based {VQA}</t>
  </si>
  <si>
    <t>wojciechowski-etal-2024-faithful</t>
  </si>
  <si>
    <t>Faithful and Plausible Natural Language Explanations for Image Classification: A Pipeline Approach</t>
  </si>
  <si>
    <t>chen-etal-2024-controlling</t>
  </si>
  <si>
    <t>Controlling Risk of Retrieval-augmented Generation: A Counterfactual Prompting Framework</t>
  </si>
  <si>
    <t>zhang-etal-2024-coarse</t>
  </si>
  <si>
    <t>A Coarse-to-Fine Prototype Learning Approach for Multi-Label Few-Shot Intent Detection</t>
  </si>
  <si>
    <t>cheng-etal-2024-towards</t>
  </si>
  <si>
    <t>Towards Explainable Computerized Adaptive Testing with Large Language Model</t>
  </si>
  <si>
    <t>bai-etal-2024-learning</t>
  </si>
  <si>
    <t>Learning Dynamic Multi-attribute Interest for Personalized Product Search</t>
  </si>
  <si>
    <t>elazar-etal-2024-measuring</t>
  </si>
  <si>
    <t>Measuring and Improving Attentiveness to Partial Inputs with Counterfactuals</t>
  </si>
  <si>
    <t>luo-etal-2024-summacoz</t>
  </si>
  <si>
    <t>{S}umma{C}oz: A Dataset for Improving the Interpretability of Factual Consistency Detection for Summarization</t>
  </si>
  <si>
    <t>song-etal-2024-robust</t>
  </si>
  <si>
    <t>A Robust Dual-debiasing {VQA} Model based on Counterfactual Causal Effect</t>
  </si>
  <si>
    <t>kai-etal-2024-sh2</t>
  </si>
  <si>
    <t>{SH}2: Self-Highlighted Hesitation Helps You Decode More Truthfully</t>
  </si>
  <si>
    <t>wang-etal-2024-survey</t>
  </si>
  <si>
    <t>A Survey on Natural Language Counterfactual Generation</t>
  </si>
  <si>
    <t>li-etal-2024-calibrating</t>
  </si>
  <si>
    <t>Calibrating {LLM}s with Preference Optimization on Thought Trees for Generating Rationale in Science Question Scoring</t>
  </si>
  <si>
    <t>wang-etal-2024-fantastic</t>
  </si>
  <si>
    <t>{FANTA}stic {SE}quences and Where to Find Them: Faithful and Efficient {API} Call Generation through State-tracked Constrained Decoding and Reranking</t>
  </si>
  <si>
    <t>khan-etal-2024-hope</t>
  </si>
  <si>
    <t>Hope `The Paragraph Guy' explains the rest : Introducing {M}e{S}um, the Meme Summarizer</t>
  </si>
  <si>
    <t>he-etal-2024-explaining</t>
  </si>
  <si>
    <t>Explaining Graph Neural Networks with Large Language Models: A Counterfactual Perspective on Molecule Graphs</t>
  </si>
  <si>
    <t>mahajan-etal-2024-align</t>
  </si>
  <si>
    <t>{ALIGN}-{SIM}: A Task-Free Test Bed for Evaluating and Interpreting Sentence Embeddings through Semantic Similarity Alignment</t>
  </si>
  <si>
    <t>palmeira-ferraz-etal-2024-llm</t>
  </si>
  <si>
    <t>{LLM} Self-Correction with {D}e{CRIM}: Decompose, Critique, and Refine for Enhanced Following of Instructions with Multiple Constraints</t>
  </si>
  <si>
    <t>stoehr-etal-2024-activation</t>
  </si>
  <si>
    <t>Activation Scaling for Steering and Interpreting Language Models</t>
  </si>
  <si>
    <t>wang-etal-2024-variational</t>
  </si>
  <si>
    <t>Variational Language Concepts for Interpreting Foundation Language Models</t>
  </si>
  <si>
    <t>wang-etal-2024-beyond-agreement</t>
  </si>
  <si>
    <t>Beyond Agreement: Diagnosing the Rationale Alignment of Automated Essay Scoring Methods based on Linguistically-informed Counterfactuals</t>
  </si>
  <si>
    <t>bazaga-etal-2024-hyperbert</t>
  </si>
  <si>
    <t>{H}yper{BERT}: Mixing Hypergraph-Aware Layers with Language Models for Node Classification on Text-Attributed Hypergraphs</t>
  </si>
  <si>
    <t>li-etal-2024-pedants</t>
  </si>
  <si>
    <t>{PEDANTS}: Cheap but Effective and Interpretable Answer Equivalence</t>
  </si>
  <si>
    <t>barkan-etal-2024-improving</t>
  </si>
  <si>
    <t>Improving {LLM} Attributions with Randomized Path-Integration</t>
  </si>
  <si>
    <t>barkan-etal-2024-llm</t>
  </si>
  <si>
    <t>{LLM} Explainability via Attributive Masking Learning</t>
  </si>
  <si>
    <t>xu-etal-2024-chatglm</t>
  </si>
  <si>
    <t>{C}hat{GLM}-Math: Improving Math Problem-Solving in Large Language Models with a Self-Critique Pipeline</t>
  </si>
  <si>
    <t>govindarajan-etal-2024-mean</t>
  </si>
  <si>
    <t>Do *they* mean `us'? Interpreting Referring Expression variation under Intergroup Bias</t>
  </si>
  <si>
    <t>fang-etal-2024-understanding</t>
  </si>
  <si>
    <t>Understanding Faithfulness and Reasoning of Large Language Models on Plain Biomedical Summaries</t>
  </si>
  <si>
    <t>joaquin-etal-2024-in2core</t>
  </si>
  <si>
    <t>{I}n2{C}ore: Leveraging Influence Functions for Coreset Selection in Instruction Finetuning of Large Language Models</t>
  </si>
  <si>
    <t>zhang-etal-2024-shieldlm</t>
  </si>
  <si>
    <t>{S}hield{LM}: Empowering {LLM}s as Aligned, Customizable and Explainable Safety Detectors</t>
  </si>
  <si>
    <t>wang-etal-2024-interpretable</t>
  </si>
  <si>
    <t>Interpretable Preferences via Multi-Objective Reward Modeling and Mixture-of-Experts</t>
  </si>
  <si>
    <t>kim-etal-2024-thinking</t>
  </si>
  <si>
    <t>What if...?: Thinking Counterfactual Keywords Helps to Mitigate Hallucination in Large Multi-modal Models</t>
  </si>
  <si>
    <t>chung-etal-2024-selection</t>
  </si>
  <si>
    <t>Selection-p: Self-Supervised Task-Agnostic Prompt Compression for Faithfulness and Transferability</t>
  </si>
  <si>
    <t>xiao-etal-2024-vanessa</t>
  </si>
  <si>
    <t>Vanessa: Visual Connotation and Aesthetic Attributes Understanding Network for Multimodal Aspect-based Sentiment Analysis</t>
  </si>
  <si>
    <t>modarressi-etal-2024-consistent</t>
  </si>
  <si>
    <t>Consistent Document-level Relation Extraction via Counterfactuals</t>
  </si>
  <si>
    <t>cao-etal-2024-tara</t>
  </si>
  <si>
    <t>{TARA}: Token-level Attribute Relation Adaptation for Multi-Attribute Controllable Text Generation</t>
  </si>
  <si>
    <t>si-etal-2024-denoising</t>
  </si>
  <si>
    <t>Denoising Rationalization for Multi-hop Fact Verification via Multi-granular Explainer</t>
  </si>
  <si>
    <t>michel-etal-2024-improving</t>
  </si>
  <si>
    <t>Improving Quotation Attribution with Fictional Character Embeddings</t>
  </si>
  <si>
    <t>sourati-etal-2024-robust</t>
  </si>
  <si>
    <t>Robust Text Classification: Analyzing Prototype-Based Networks</t>
  </si>
  <si>
    <t>schirmer-etal-2024-language</t>
  </si>
  <si>
    <t>The Language of Trauma: Modeling Traumatic Event Descriptions Across Domains with Explainable {AI}</t>
  </si>
  <si>
    <t>meng-etal-2024-attribute</t>
  </si>
  <si>
    <t>Attribute Controlled Fine-tuning for Large Language Models: A Case Study on Detoxification</t>
  </si>
  <si>
    <t>dammu-etal-2024-claimver</t>
  </si>
  <si>
    <t>{C}laim{V}er: Explainable Claim-Level Verification and Evidence Attribution of Text Through Knowledge Graphs</t>
  </si>
  <si>
    <t>thota-nilizadeh-2024-attacks</t>
  </si>
  <si>
    <t>Attacks against Abstractive Text Summarization Models through Lead Bias and Influence Functions</t>
  </si>
  <si>
    <t>xu-etal-2024-nala</t>
  </si>
  <si>
    <t>{NALA}: an Effective and Interpretable Entity Alignment Method</t>
  </si>
  <si>
    <t>elaraby-etal-2024-persuasiveness</t>
  </si>
  <si>
    <t>Persuasiveness of Generated Free-Text Rationales in Subjective Decisions: A Case Study on Pairwise Argument Ranking</t>
  </si>
  <si>
    <t>kim-etal-2024-semantic</t>
  </si>
  <si>
    <t>Semantic Token Reweighting for Interpretable and Controllable Text Embeddings in {CLIP}</t>
  </si>
  <si>
    <t>nguyen-etal-2024-llms</t>
  </si>
  <si>
    <t>{LLM}s for Generating and Evaluating Counterfactuals: A Comprehensive Study</t>
  </si>
  <si>
    <t>paul-etal-2024-making</t>
  </si>
  <si>
    <t>Making Reasoning Matter: Measuring and Improving Faithfulness of Chain-of-Thought Reasoning</t>
  </si>
  <si>
    <t>treviso-etal-2024-xtower</t>
  </si>
  <si>
    <t>x{T}ower: A Multilingual {LLM} for Explaining and Correcting Translation Errors</t>
  </si>
  <si>
    <t>shen-etal-2024-towards</t>
  </si>
  <si>
    <t>Towards Explainable {C}hinese Native Learner Essay Fluency Assessment: Dataset, Tasks, and Method</t>
  </si>
  <si>
    <t>sonkar-etal-2024-malalgoqa</t>
  </si>
  <si>
    <t>{M}al{A}lgo{QA}: Pedagogical Evaluation of Counterfactual Reasoning in Large Language Models and Implications for {AI} in Education</t>
  </si>
  <si>
    <t>vakil-amiri-2024-controlled</t>
  </si>
  <si>
    <t>Controlled Transformation of Text-Attributed Graphs</t>
  </si>
  <si>
    <t>spangher-etal-2024-explaining</t>
  </si>
  <si>
    <t>Explaining Mixtures of Sources in News Articles</t>
  </si>
  <si>
    <t>maheshwari-etal-2024-presentations</t>
  </si>
  <si>
    <t>Presentations are not always linear! {GNN} meets {LLM} for Text Document-to-Presentation Transformation with Attribution</t>
  </si>
  <si>
    <t>qorib-etal-2024-efficient</t>
  </si>
  <si>
    <t>Efficient and Interpretable Grammatical Error Correction with Mixture of Experts</t>
  </si>
  <si>
    <t>razumovskaia-etal-2024-dial</t>
  </si>
  <si>
    <t>Dial {B}e{I}nfo for Faithfulness: Improving Factuality of Information-Seeking Dialogue via Behavioural Fine-Tuning</t>
  </si>
  <si>
    <t>amouyal-etal-2024-large</t>
  </si>
  <si>
    <t>Large Language Models for Psycholinguistic Plausibility Pretesting</t>
  </si>
  <si>
    <t>wein-etal-2024-barriers</t>
  </si>
  <si>
    <t>Barriers to Effective Evaluation of Simultaneous Interpretation</t>
  </si>
  <si>
    <t>li-etal-2024-improving-cross</t>
  </si>
  <si>
    <t>Improving Cross-Domain Low-Resource Text Generation through {LLM} Post-Editing: A Programmer-Interpreter Approach</t>
  </si>
  <si>
    <t>feng-etal-2024-promptexplainer</t>
  </si>
  <si>
    <t>{P}rompt{E}xplainer: Explaining Language Models through Prompt-based Learning</t>
  </si>
  <si>
    <t>zhao-etal-2024-explaining</t>
  </si>
  <si>
    <t>Explaining Language Model Predictions with High-Impact Concepts</t>
  </si>
  <si>
    <t>mishra-etal-2024-correcting</t>
  </si>
  <si>
    <t>Correcting Language Model Outputs by Editing Salient Layers</t>
  </si>
  <si>
    <t>tian-etal-2024-cma</t>
  </si>
  <si>
    <t>{CMA}-{R}: Causal Mediation Analysis for Explaining Rumour Detection</t>
  </si>
  <si>
    <t>moon-etal-2024-generative</t>
  </si>
  <si>
    <t>Generative Interpretation: Toward Human-Like Evaluation for Educational Question-Answer Pair Generation</t>
  </si>
  <si>
    <t>leiter-etal-2024-bmx</t>
  </si>
  <si>
    <t>{BMX}: Boosting Natural Language Generation Metrics with Explainability</t>
  </si>
  <si>
    <t>peng-etal-2024-controllable</t>
  </si>
  <si>
    <t>Controllable Data Augmentation for Few-Shot Text Mining with Chain-of-Thought Attribute Manipulation</t>
  </si>
  <si>
    <t>madsen-etal-2024-self</t>
  </si>
  <si>
    <t>Are self-explanations from Large Language Models faithful?</t>
  </si>
  <si>
    <t>zou-etal-2024-implicitave</t>
  </si>
  <si>
    <t>{I}mplicit{AVE}: An Open-Source Dataset and Multimodal {LLM}s Benchmark for Implicit Attribute Value Extraction</t>
  </si>
  <si>
    <t>li-etal-2024-towards-verifiable</t>
  </si>
  <si>
    <t>Towards Verifiable Generation: A Benchmark for Knowledge-aware Language Model Attribution</t>
  </si>
  <si>
    <t>qu-etal-2024-unsupervised</t>
  </si>
  <si>
    <t>Unsupervised Distractor Generation via Large Language Model Distilling and Counterfactual Contrastive Decoding</t>
  </si>
  <si>
    <t>liao-etal-2024-mario</t>
  </si>
  <si>
    <t>{MARIO}: {MA}th Reasoning with code Interpreter Output - A Reproducible Pipeline</t>
  </si>
  <si>
    <t>pan-etal-2024-llmlingua</t>
  </si>
  <si>
    <t>{LLML}ingua-2: Data Distillation for Efficient and Faithful Task-Agnostic Prompt Compression</t>
  </si>
  <si>
    <t>jin-etal-2024-cutting</t>
  </si>
  <si>
    <t>Cutting Off the Head Ends the Conflict: A Mechanism for Interpreting and Mitigating Knowledge Conflicts in Language Models</t>
  </si>
  <si>
    <t>lin-etal-2024-criticbench</t>
  </si>
  <si>
    <t>{C}ritic{B}ench: Benchmarking {LLM}s for Critique-Correct Reasoning</t>
  </si>
  <si>
    <t>qiu-etal-2024-valor</t>
  </si>
  <si>
    <t>{VALOR}-{EVAL}: Holistic Coverage and Faithfulness Evaluation of Large Vision-Language Models</t>
  </si>
  <si>
    <t>miao-etal-2024-episodic</t>
  </si>
  <si>
    <t>Episodic Memory Retrieval from {LLM}s: A Neuromorphic Mechanism to Generate Commonsense Counterfactuals for Relation Extraction</t>
  </si>
  <si>
    <t>wang-etal-2024-llmfactor</t>
  </si>
  <si>
    <t>{LLMF}actor: Extracting Profitable Factors through Prompts for Explainable Stock Movement Prediction</t>
  </si>
  <si>
    <t>yang-etal-2024-enhancing</t>
  </si>
  <si>
    <t>Enhancing Semantic Consistency of Large Language Models through Model Editing: An Interpretability-Oriented Approach</t>
  </si>
  <si>
    <t>li-etal-2024-data</t>
  </si>
  <si>
    <t>Data-Centric Explainable Debiasing for Improving Fairness in Pre-trained Language Models</t>
  </si>
  <si>
    <t>li-etal-2024-large-language</t>
  </si>
  <si>
    <t>Can Large Language Models Mine Interpretable Financial Factors More Effectively? A Neural-Symbolic Factor Mining Agent Model</t>
  </si>
  <si>
    <t>cheng-etal-2024-call</t>
  </si>
  <si>
    <t>Call Me When Necessary: {LLM}s can Efficiently and Faithfully Reason over Structured Environments</t>
  </si>
  <si>
    <t>nigam-etal-2024-legal</t>
  </si>
  <si>
    <t>Legal Judgment Reimagined: {P}red{E}x and the Rise of Intelligent {AI} Interpretation in {I}ndian Courts</t>
  </si>
  <si>
    <t>zhou-etal-2024-evaluating</t>
  </si>
  <si>
    <t>Evaluating the Smooth Control of Attribute Intensity in Text Generation with {LLM}s</t>
  </si>
  <si>
    <t>amara-etal-2024-syntaxshap</t>
  </si>
  <si>
    <t>{S}yntax{S}hap: Syntax-aware Explainability Method for Text Generation</t>
  </si>
  <si>
    <t>maeda-etal-2024-decomposing</t>
  </si>
  <si>
    <t>Decomposing Co-occurrence Matrices into Interpretable Components as Formal Concepts</t>
  </si>
  <si>
    <t>agarwal-etal-2024-mememqa</t>
  </si>
  <si>
    <t>{M}eme{MQA}: Multimodal Question Answering for Memes via Rationale-Based Inferencing</t>
  </si>
  <si>
    <t>li-etal-2024-improving-attributed</t>
  </si>
  <si>
    <t>Improving Attributed Text Generation of Large Language Models via Preference Learning</t>
  </si>
  <si>
    <t>wei-jie-etal-2024-plausible</t>
  </si>
  <si>
    <t>Plausible Extractive Rationalization through Semi-Supervised Entailment Signal</t>
  </si>
  <si>
    <t>liang-etal-2024-controlled</t>
  </si>
  <si>
    <t>Controlled Text Generation for Large Language Model with Dynamic Attribute Graphs</t>
  </si>
  <si>
    <t>mishra-etal-2024-characterizing</t>
  </si>
  <si>
    <t>Characterizing Large Language Models as Rationalizers of Knowledge-intensive Tasks</t>
  </si>
  <si>
    <t>zhang-etal-2024-stronger</t>
  </si>
  <si>
    <t>Stronger, Lighter, Better: Towards Life-Long Attribute Value Extraction for {E}-Commerce Products</t>
  </si>
  <si>
    <t>zhang-etal-2024-rationales</t>
  </si>
  <si>
    <t>Rationales for Answers to Simple Math Word Problems Confuse Large Language Models</t>
  </si>
  <si>
    <t>yoon-etal-2024-assessing</t>
  </si>
  <si>
    <t>Assessing News Thumbnail Representativeness: Counterfactual text can enhance the cross-modal matching ability</t>
  </si>
  <si>
    <t>sun-etal-2024-critique</t>
  </si>
  <si>
    <t>The Critique of Critique</t>
  </si>
  <si>
    <t>fan-etal-2024-frva</t>
  </si>
  <si>
    <t>{FRVA}: Fact-Retrieval and Verification Augmented Entailment Tree Generation for Explainable Question Answering</t>
  </si>
  <si>
    <t>ma-etal-2024-ex</t>
  </si>
  <si>
    <t>{EX}-{FEVER}: A Dataset for Multi-hop Explainable Fact Verification</t>
  </si>
  <si>
    <t>liang-etal-2024-selp</t>
  </si>
  <si>
    <t>{SELP}: A Semantically-Driven Approach for Separated and Accurate Class Prototypes in Few-Shot Text Classification</t>
  </si>
  <si>
    <t>phukan-etal-2024-peering</t>
  </si>
  <si>
    <t>Peering into the Mind of Language Models: An Approach for Attribution in Contextual Question Answering</t>
  </si>
  <si>
    <t>wang-etal-2024-x</t>
  </si>
  <si>
    <t>{X}-{ACE}: Explainable and Multi-factor Audio Captioning Evaluation</t>
  </si>
  <si>
    <t>hua-etal-2024-propagation</t>
  </si>
  <si>
    <t>Propagation and Pitfalls: Reasoning-based Assessment of Knowledge Editing through Counterfactual Tasks</t>
  </si>
  <si>
    <t>katsios-etal-2024-figuratively</t>
  </si>
  <si>
    <t>Figuratively Speaking: Authorship Attribution via Multi-Task Figurative Language Modeling</t>
  </si>
  <si>
    <t>li-lyu-2024-gradual</t>
  </si>
  <si>
    <t>{GRADUAL}: Granularity-aware Dual Prototype Learning for Better Few-Shot Relation Extraction</t>
  </si>
  <si>
    <t>akhtar-etal-2024-chartcheck</t>
  </si>
  <si>
    <t>{C}hart{C}heck: Explainable Fact-Checking over Real-World Chart Images</t>
  </si>
  <si>
    <t>yadav-etal-2024-tox</t>
  </si>
  <si>
    <t>Tox-{BART}: Leveraging Toxicity Attributes for Explanation Generation of Implicit Hate Speech</t>
  </si>
  <si>
    <t>enouen-etal-2024-textgenshap</t>
  </si>
  <si>
    <t>{T}ext{G}en{SHAP}: Scalable Post-Hoc Explanations in Text Generation with Long Documents</t>
  </si>
  <si>
    <t>huang-etal-2024-learning</t>
  </si>
  <si>
    <t>Learning Fine-Grained Grounded Citations for Attributed Large Language Models</t>
  </si>
  <si>
    <t>zhong-etal-2024-harnessing</t>
  </si>
  <si>
    <t>Harnessing Large Language Models as Post-hoc Correctors</t>
  </si>
  <si>
    <t>abolghasemi-etal-2024-cause</t>
  </si>
  <si>
    <t>{CAUSE}: Counterfactual Assessment of User Satisfaction Estimation in Task-Oriented Dialogue Systems</t>
  </si>
  <si>
    <t>li-etal-2024-attributionbench</t>
  </si>
  <si>
    <t>{A}ttribution{B}ench: How Hard is Automatic Attribution Evaluation?</t>
  </si>
  <si>
    <t>zhang-etal-2024-countercurate</t>
  </si>
  <si>
    <t>{C}ounter{C}urate: Enhancing Physical and Semantic Visio-Linguistic Compositional Reasoning via Counterfactual Examples</t>
  </si>
  <si>
    <t>liu-etal-2024-teller</t>
  </si>
  <si>
    <t>{TELLER}: A Trustworthy Framework for Explainable, Generalizable and Controllable Fake News Detection</t>
  </si>
  <si>
    <t>li-etal-2024-evaluating-readability</t>
  </si>
  <si>
    <t>Evaluating Readability and Faithfulness of Concept-based Explanations</t>
  </si>
  <si>
    <t>zhao-etal-2024-successfully</t>
  </si>
  <si>
    <t>Successfully Guiding Humans with Imperfect Instructions by Highlighting Potential Errors and Suggesting Corrections</t>
  </si>
  <si>
    <t>deng-etal-2024-learning</t>
  </si>
  <si>
    <t>Learning Interpretable Legal Case Retrieval via Knowledge-Guided Case Reformulation</t>
  </si>
  <si>
    <t>chen-etal-2024-mitigating</t>
  </si>
  <si>
    <t>Mitigating Language Bias of {LMM}s in Social Intelligence Understanding with Virtual Counterfactual Calibration</t>
  </si>
  <si>
    <t>zhao-etal-2024-seer</t>
  </si>
  <si>
    <t>{SEER}: Self-Aligned Evidence Extraction for Retrieval-Augmented Generation</t>
  </si>
  <si>
    <t>mosbach-etal-2024-insights</t>
  </si>
  <si>
    <t>From Insights to Actions: The Impact of Interpretability and Analysis Research on {NLP}</t>
  </si>
  <si>
    <t>yu-ananiadou-2024-neuron</t>
  </si>
  <si>
    <t>Neuron-Level Knowledge Attribution in Large Language Models</t>
  </si>
  <si>
    <t>yu-ananiadou-2024-interpreting</t>
  </si>
  <si>
    <t>Interpreting Arithmetic Mechanism in Large Language Models through Comparative Neuron Analysis</t>
  </si>
  <si>
    <t>huang-etal-2024-advancing</t>
  </si>
  <si>
    <t>Advancing Large Language Model Attribution through Self-Improving</t>
  </si>
  <si>
    <t>hong-lipani-2024-interpretability</t>
  </si>
  <si>
    <t>Interpretability-based Tailored Knowledge Editing in Transformers</t>
  </si>
  <si>
    <t>wu-etal-2024-dancing</t>
  </si>
  <si>
    <t>Dancing in Chains: Reconciling Instruction Following and Faithfulness in Language Models</t>
  </si>
  <si>
    <t>fisher-etal-2024-styleremix</t>
  </si>
  <si>
    <t>{S}tyle{R}emix: Interpretable Authorship Obfuscation via Distillation and Perturbation of Style Elements</t>
  </si>
  <si>
    <t>wang-etal-2024-f2rl</t>
  </si>
  <si>
    <t>{F}$^2${RL}: Factuality and Faithfulness Reinforcement Learning Framework for Claim-Guided Evidence-Supported Counterspeech Generation</t>
  </si>
  <si>
    <t>edin-etal-2024-unsupervised</t>
  </si>
  <si>
    <t>An Unsupervised Approach to Achieve Supervised-Level Explainability in Healthcare Records</t>
  </si>
  <si>
    <t>du-etal-2024-llms</t>
  </si>
  <si>
    <t>{LLM}s Assist {NLP} Researchers: Critique Paper (Meta-)Reviewing</t>
  </si>
  <si>
    <t>feng-etal-2024-teaching-small</t>
  </si>
  <si>
    <t>Teaching Small Language Models Reasoning through Counterfactual Distillation</t>
  </si>
  <si>
    <t>xu-etal-2024-sayself</t>
  </si>
  <si>
    <t>{S}ay{S}elf: Teaching {LLM}s to Express Confidence with Self-Reflective Rationales</t>
  </si>
  <si>
    <t>qi-etal-2024-model</t>
  </si>
  <si>
    <t>Model Internals-based Answer Attribution for Trustworthy Retrieval-Augmented Generation</t>
  </si>
  <si>
    <t>huo-etal-2024-mmneuron</t>
  </si>
  <si>
    <t>{MMN}euron: Discovering Neuron-Level Domain-Specific Interpretation in Multimodal Large Language Model</t>
  </si>
  <si>
    <t>men-etal-2024-unlocking</t>
  </si>
  <si>
    <t>Unlocking the Future: Exploring Look-Ahead Planning Mechanistic Interpretability in Large Language Models</t>
  </si>
  <si>
    <t>yona-etal-2024-large</t>
  </si>
  <si>
    <t>Can Large Language Models Faithfully Express Their Intrinsic Uncertainty in Words?</t>
  </si>
  <si>
    <t>buchmann-etal-2024-attribute</t>
  </si>
  <si>
    <t>Attribute or Abstain: Large Language Models as Long Document Assistants</t>
  </si>
  <si>
    <t>hirota-etal-2024-resampled</t>
  </si>
  <si>
    <t>Resampled Datasets Are Not Enough: Mitigating Societal Bias Beyond Single Attributes</t>
  </si>
  <si>
    <t>chang-etal-2024-explaining</t>
  </si>
  <si>
    <t>Explaining and Improving Contrastive Decoding by Extrapolating the Probabilities of a Huge and Hypothetical {LM}</t>
  </si>
  <si>
    <t>wu-etal-2024-beyond</t>
  </si>
  <si>
    <t>Beyond Label Attention: Transparency in Language Models for Automated Medical Coding via Dictionary Learning</t>
  </si>
  <si>
    <t>weir-etal-2024-ontologically</t>
  </si>
  <si>
    <t>Ontologically Faithful Generation of Non-Player Character Dialogues</t>
  </si>
  <si>
    <t>wu-etal-2024-synchronous</t>
  </si>
  <si>
    <t>Synchronous Faithfulness Monitoring for Trustworthy Retrieval-Augmented Generation</t>
  </si>
  <si>
    <t>berlot-attwell-etal-2024-attribute</t>
  </si>
  <si>
    <t>Attribute Diversity Determines the Systematicity Gap in {VQA}</t>
  </si>
  <si>
    <t>subbiah-etal-2024-storysumm</t>
  </si>
  <si>
    <t>{STORYSUMM}: Evaluating Faithfulness in Story Summarization</t>
  </si>
  <si>
    <t>chen-etal-2024-dynamic</t>
  </si>
  <si>
    <t>Dynamic Multi-granularity Attribution Network for Aspect-based Sentiment Analysis</t>
  </si>
  <si>
    <t>jiang-etal-2024-mare</t>
  </si>
  <si>
    <t>{MARE}: Multi-Aspect Rationale Extractor on Unsupervised Rationale Extraction</t>
  </si>
  <si>
    <t>pavlopoulos-etal-2024-towards</t>
  </si>
  <si>
    <t>Towards a {G}reek Proverb Atlas: Computational Spatial Exploration and Attribution of {G}reek Proverbs</t>
  </si>
  <si>
    <t>brinner-zarriess-2024-rationalizing</t>
  </si>
  <si>
    <t>Rationalizing Transformer Predictions via End-To-End Differentiable Self-Training</t>
  </si>
  <si>
    <t>kim-etal-2024-panda</t>
  </si>
  <si>
    <t>{PANDA}: Persona Attributes Navigation for Detecting and Alleviating Overuse Problem in Large Language Models</t>
  </si>
  <si>
    <t>zhu-etal-2024-ra2fd</t>
  </si>
  <si>
    <t>{RA}2{FD}: Distilling Faithfulness into Efficient Dialogue Systems</t>
  </si>
  <si>
    <t>lan-etal-2024-towards</t>
  </si>
  <si>
    <t>Towards Interpretable Sequence Continuation: Analyzing Shared Circuits in Large Language Models</t>
  </si>
  <si>
    <t>hu-etal-2024-bayesian</t>
  </si>
  <si>
    <t>A {B}ayesian Approach to Harnessing the Power of {LLM}s in Authorship Attribution</t>
  </si>
  <si>
    <t>wu-etal-2024-enhancing-training</t>
  </si>
  <si>
    <t>Enhancing Training Data Attribution for Large Language Models with Fitting Error Consideration</t>
  </si>
  <si>
    <t>aoki-etal-2024-first</t>
  </si>
  <si>
    <t>First Heuristic Then Rational: Dynamic Use of Heuristics in Language Model Reasoning</t>
  </si>
  <si>
    <t>zhou-etal-2024-mystery</t>
  </si>
  <si>
    <t>The Mystery of In-Context Learning: A Comprehensive Survey on Interpretation and Analysis</t>
  </si>
  <si>
    <t>yin-etal-2024-asl</t>
  </si>
  <si>
    <t>{ASL} {STEM} {W}iki: Dataset and Benchmark for Interpreting {STEM} Articles</t>
  </si>
  <si>
    <t>li-etal-2024-interpretable</t>
  </si>
  <si>
    <t>Interpretable Composition Attribution Enhancement for Visio-linguistic Compositional Understanding</t>
  </si>
  <si>
    <t>zhao-etal-2024-findver</t>
  </si>
  <si>
    <t>{F}in{DV}er: Explainable Claim Verification over Long and Hybrid-content Financial Documents</t>
  </si>
  <si>
    <t>wang-etal-2024-bridging-local</t>
  </si>
  <si>
    <t>Bridging Local Details and Global Context in Text-Attributed Graphs</t>
  </si>
  <si>
    <t>sotudeh-goharian-2024-learning</t>
  </si>
  <si>
    <t>Learning to Rank Salient Content for Query-focused Summarization</t>
  </si>
  <si>
    <t>hu-etal-2024-themis</t>
  </si>
  <si>
    <t>Themis: A Reference-free {NLG} Evaluation Language Model with Flexibility and Interpretability</t>
  </si>
  <si>
    <t>kawabata-sugawara-2024-rationale</t>
  </si>
  <si>
    <t>Rationale-Aware Answer Verification by Pairwise Self-Evaluation</t>
  </si>
  <si>
    <t>doddapaneni-etal-2024-finding</t>
  </si>
  <si>
    <t>Finding Blind Spots in Evaluator {LLM}s with Interpretable Checklists</t>
  </si>
  <si>
    <t>saenger-etal-2024-autopersuade</t>
  </si>
  <si>
    <t>{A}uto{P}ersuade: A Framework for Evaluating and Explaining Persuasive Arguments</t>
  </si>
  <si>
    <t>neo-etal-2024-interpreting</t>
  </si>
  <si>
    <t>Interpreting Context Look-ups in Transformers: Investigating Attention-{MLP} Interactions</t>
  </si>
  <si>
    <t>ferrando-voita-2024-information</t>
  </si>
  <si>
    <t>Information Flow Routes: Automatically Interpreting Language Models at Scale</t>
  </si>
  <si>
    <t>chen-etal-2024-dual-oriented</t>
  </si>
  <si>
    <t>Dual-oriented Disentangled Network with Counterfactual Intervention for Multimodal Intent Detection</t>
  </si>
  <si>
    <t>ramu-etal-2024-enhancing</t>
  </si>
  <si>
    <t>Enhancing Post-Hoc Attributions in Long Document Comprehension via Coarse Grained Answer Decomposition</t>
  </si>
  <si>
    <t>zhai-etal-2024-towards</t>
  </si>
  <si>
    <t>Towards Faithful Knowledge Graph Explanation Through Deep Alignment in Commonsense Question Answering</t>
  </si>
  <si>
    <t>ghosal-etal-2024-intcoop</t>
  </si>
  <si>
    <t>{I}nt{C}o{O}p: Interpretability-Aware Vision-Language Prompt Tuning</t>
  </si>
  <si>
    <t>sun-etal-2024-revealing</t>
  </si>
  <si>
    <t>Revealing Personality Traits: A New Benchmark Dataset for Explainable Personality Recognition on Dialogues</t>
  </si>
  <si>
    <t>perrella-etal-2024-beyond</t>
  </si>
  <si>
    <t>Beyond Correlation: Interpretable Evaluation of Machine Translation Metrics</t>
  </si>
  <si>
    <t>mamta-etal-2024-biaswipe</t>
  </si>
  <si>
    <t>{B}ias{W}ipe: Mitigating Unintended Bias in Text Classifiers through Model Interpretability</t>
  </si>
  <si>
    <t>tater-etal-2024-unveiling</t>
  </si>
  <si>
    <t>Unveiling the mystery of visual attributes of concrete and abstract concepts: Variability, nearest neighbors, and challenging categories</t>
  </si>
  <si>
    <t>kim-lee-2024-rag</t>
  </si>
  <si>
    <t>{RE}-{RAG}: Improving Open-Domain {QA} Performance and Interpretability with Relevance Estimator in Retrieval-Augmented Generation</t>
  </si>
  <si>
    <t>sakai-etal-2024-simultaneous</t>
  </si>
  <si>
    <t>Simultaneous Interpretation Corpus Construction by Large Language Models in Distant Language Pair</t>
  </si>
  <si>
    <t>baan-etal-2024-interpreting</t>
  </si>
  <si>
    <t>Interpreting Predictive Probabilities: Model Confidence or Human Label Variation?</t>
  </si>
  <si>
    <t>EACL</t>
  </si>
  <si>
    <t>liu-niehues-2024-transferable</t>
  </si>
  <si>
    <t>How Transferable are Attribute Controllers on Pretrained Multilingual Translation Models?</t>
  </si>
  <si>
    <t>suresh-etal-2024-relative</t>
  </si>
  <si>
    <t>It{'}s All Relative: Learning Interpretable Models for Scoring Subjective Bias in Documents from Pairwise Comparisons</t>
  </si>
  <si>
    <t>fathullah-etal-2024-needs</t>
  </si>
  <si>
    <t>Who Needs Decoders? Efficient Estimation of Sequence-Level Attributes with Proxies</t>
  </si>
  <si>
    <t>zhang-etal-2024-fine</t>
  </si>
  <si>
    <t>Fine-Grained Natural Language Inference Based Faithfulness Evaluation for Diverse Summarisation Tasks</t>
  </si>
  <si>
    <t>sachdeva-etal-2024-catfood</t>
  </si>
  <si>
    <t>{CAT}f{OOD}: Counterfactual Augmented Training for Improving Out-of-Domain Performance and Calibration</t>
  </si>
  <si>
    <t>moeller-etal-2024-approximate</t>
  </si>
  <si>
    <t>Approximate Attributions for Off-the-Shelf {S}iamese Transformers</t>
  </si>
  <si>
    <t>pastor-etal-2024-explaining</t>
  </si>
  <si>
    <t>Explaining Speech Classification Models via Word-Level Audio Segments and Paralinguistic Features</t>
  </si>
  <si>
    <t>oh-etal-2024-frequency</t>
  </si>
  <si>
    <t>Frequency Explains the Inverse Correlation of Large Language Models' Size, Training Data Amount, and Surprisal{'}s Fit to Reading Times</t>
  </si>
  <si>
    <t>zellinger-etal-2024-counterfactual</t>
  </si>
  <si>
    <t>Counterfactual Reasoning with Knowledge Graph Embeddings</t>
  </si>
  <si>
    <t>yao-etal-2024-ameli</t>
  </si>
  <si>
    <t>Ameli: Enhancing Multimodal Entity Linking with Fine-Grained Attributes</t>
  </si>
  <si>
    <t>golde-etal-2024-large</t>
  </si>
  <si>
    <t>Large-Scale Label Interpretation Learning for Few-Shot Named Entity Recognition</t>
  </si>
  <si>
    <t>li-etal-2024-ccprefix</t>
  </si>
  <si>
    <t>{CCP}refix: Counterfactual Contrastive Prefix-Tuning for Many-Class Classification</t>
  </si>
  <si>
    <t>matusevych-2024-cognitive</t>
  </si>
  <si>
    <t>Cognitive Plausibility in Natural Language Processing</t>
  </si>
  <si>
    <t>Computational Linguistics (CL)</t>
  </si>
  <si>
    <t>lyu-etal-2024-towards</t>
  </si>
  <si>
    <t>Towards Faithful Model Explanation in {NLP}: A Survey</t>
  </si>
  <si>
    <t>chaturvedi-etal-2024-analyzing</t>
  </si>
  <si>
    <t>Analyzing Semantic Faithfulness of Language Models via Input Intervention on Question Answering</t>
  </si>
  <si>
    <t>wang-etal-2024-rdrec</t>
  </si>
  <si>
    <t>{RDR}ec: Rationale Distillation for {LLM}-based Recommendation</t>
  </si>
  <si>
    <t>heinzerling-inui-2024-monotonic</t>
  </si>
  <si>
    <t>Monotonic Representation of Numeric Attributes in Language Models</t>
  </si>
  <si>
    <t>zhang-etal-2024-atlas</t>
  </si>
  <si>
    <t>{ATLAS}: Improving Lay Summarisation with Attribute-based Control</t>
  </si>
  <si>
    <t>calabrese-etal-2024-explainability</t>
  </si>
  <si>
    <t>Explainability and Hate Speech: Structured Explanations Make Social Media Moderators Faster</t>
  </si>
  <si>
    <t>fang-etal-2024-born</t>
  </si>
  <si>
    <t>Born Differently Makes a Difference: Counterfactual Study of Bias in Biography Generation from a Data-to-Text Perspective</t>
  </si>
  <si>
    <t>zhao-etal-2024-agr</t>
  </si>
  <si>
    <t>{AGR}: Reinforced Causal Agent-Guided Self-explaining Rationalization</t>
  </si>
  <si>
    <t>siegel-etal-2024-probabilities</t>
  </si>
  <si>
    <t>The Probabilities Also Matter: A More Faithful Metric for Faithfulness of Free-Text Explanations in Large Language Models</t>
  </si>
  <si>
    <t>verma-etal-2024-cross</t>
  </si>
  <si>
    <t>Cross-Modal Projection in Multimodal {LLM}s Doesn{'}t Really Project Visual Attributes to Textual Space</t>
  </si>
  <si>
    <t>weinzierl-harabagiu-2024-tree</t>
  </si>
  <si>
    <t>Tree-of-Counterfactual Prompting for Zero-Shot Stance Detection</t>
  </si>
  <si>
    <t>wang-etal-2024-absinstruct</t>
  </si>
  <si>
    <t>{A}bs{I}nstruct: Eliciting Abstraction Ability from {LLM}s through Explanation Tuning with Plausibility Estimation</t>
  </si>
  <si>
    <t>jiang-etal-2024-rora</t>
  </si>
  <si>
    <t>{RORA}: Robust Free-Text Rationale Evaluation</t>
  </si>
  <si>
    <t>schimanski-etal-2024-towards</t>
  </si>
  <si>
    <t>Towards Faithful and Robust {LLM} Specialists for Evidence-Based Question-Answering</t>
  </si>
  <si>
    <t>cheng-etal-2024-interpreting</t>
  </si>
  <si>
    <t>Interpreting Conversational Dense Retrieval by Rewriting-Enhanced Inversion of Session Embedding</t>
  </si>
  <si>
    <t>slobodkin-etal-2024-attribute</t>
  </si>
  <si>
    <t>Attribute First, then Generate: Locally-attributable Grounded Text Generation</t>
  </si>
  <si>
    <t>lee-etal-2024-fleur</t>
  </si>
  <si>
    <t>{FLEUR}: An Explainable Reference-Free Evaluation Metric for Image Captioning Using a Large Multimodal Model</t>
  </si>
  <si>
    <t>weber-etal-2024-interpretability</t>
  </si>
  <si>
    <t>Interpretability of Language Models via Task Spaces</t>
  </si>
  <si>
    <t>madureira-etal-2024-time</t>
  </si>
  <si>
    <t>When Only Time Will Tell: Interpreting How Transformers Process Local Ambiguities Through the Lens of Restart-Incrementality</t>
  </si>
  <si>
    <t>zhuang-etal-2024-pcad</t>
  </si>
  <si>
    <t>{PCAD}: Towards {ASR}-Robust Spoken Language Understanding via Prototype Calibration and Asymmetric Decoupling</t>
  </si>
  <si>
    <t>gu-etal-2024-digital</t>
  </si>
  <si>
    <t>Digital Socrates: Evaluating {LLM}s through Explanation Critiques</t>
  </si>
  <si>
    <t>parcalabescu-frank-2024-measuring</t>
  </si>
  <si>
    <t>On Measuring Faithfulness or Self-consistency of Natural Language Explanations</t>
  </si>
  <si>
    <t>miao-etal-2024-discursive</t>
  </si>
  <si>
    <t>Discursive Socratic Questioning: Evaluating the Faithfulness of Language Models' Understanding of Discourse Relations</t>
  </si>
  <si>
    <t>mu-li-2024-causal</t>
  </si>
  <si>
    <t>A Causal Approach for Counterfactual Reasoning in Narratives</t>
  </si>
  <si>
    <t>dutt-etal-2024-leveraging</t>
  </si>
  <si>
    <t>Leveraging Machine-Generated Rationales to Facilitate Social Meaning Detection in Conversations</t>
  </si>
  <si>
    <t>plaza-del-arco-etal-2024-angry</t>
  </si>
  <si>
    <t>Angry Men, Sad Women: Large Language Models Reflect Gendered Stereotypes in Emotion Attribution</t>
  </si>
  <si>
    <t>yu-etal-2024-revealing</t>
  </si>
  <si>
    <t>Revealing the Parametric Knowledge of Language Models: A Unified Framework for Attribution Methods</t>
  </si>
  <si>
    <t>choi-etal-2024-hard</t>
  </si>
  <si>
    <t>Hard Prompts Made Interpretable: Sparse Entropy Regularization for Prompt Tuning with {RL}</t>
  </si>
  <si>
    <t>ortu-etal-2024-competition</t>
  </si>
  <si>
    <t>Competition of Mechanisms: Tracing How Language Models Handle Facts and Counterfactuals</t>
  </si>
  <si>
    <t>huang-etal-2024-ravel</t>
  </si>
  <si>
    <t>{RAVEL}: Evaluating Interpretability Methods on Disentangling Language Model Representations</t>
  </si>
  <si>
    <t>krichene-etal-2024-faithful</t>
  </si>
  <si>
    <t>Faithful Chart Summarization with {C}ha{TS}-Pi</t>
  </si>
  <si>
    <t>zhang-etal-2024-mc2</t>
  </si>
  <si>
    <t>{MC}$^2$: Towards Transparent and Culturally-Aware {NLP} for Minority Languages in {C}hina</t>
  </si>
  <si>
    <t>li-etal-2024-focus</t>
  </si>
  <si>
    <t>Focus on Your Question! Interpreting and Mitigating Toxic {C}o{T} Problems in Commonsense Reasoning</t>
  </si>
  <si>
    <t>liu-etal-2024-multi</t>
  </si>
  <si>
    <t>Multi-Aspect Controllable Text Generation with Disentangled Counterfactual Augmentation</t>
  </si>
  <si>
    <t>zhang-etal-2024-hyperspherical</t>
  </si>
  <si>
    <t>Hyperspherical Multi-Prototype with Optimal Transport for Event Argument Extraction</t>
  </si>
  <si>
    <t>chen-etal-2024-fine</t>
  </si>
  <si>
    <t>Fine-Grained Image-Text Alignment in Medical Imaging Enables Explainable Cyclic Image-Report Generation</t>
  </si>
  <si>
    <t>toker-etal-2024-diffusion</t>
  </si>
  <si>
    <t>Diffusion Lens: Interpreting Text Encoders in Text-to-Image Pipelines</t>
  </si>
  <si>
    <t>huang-etal-2024-clomo</t>
  </si>
  <si>
    <t>{CLOMO}: Counterfactual Logical Modification with Large Language Models</t>
  </si>
  <si>
    <t>lin-etal-2024-interpretable</t>
  </si>
  <si>
    <t>Interpretable User Satisfaction Estimation for Conversational Systems with Large Language Models</t>
  </si>
  <si>
    <t>zhou-etal-2024-enhancing-explainable</t>
  </si>
  <si>
    <t>Enhancing Explainable Rating Prediction through Annotated Macro Concepts</t>
  </si>
  <si>
    <t>qiu-etal-2024-paircfr</t>
  </si>
  <si>
    <t>{P}air{CFR}: Enhancing Model Training on Paired Counterfactually Augmented Data through Contrastive Learning</t>
  </si>
  <si>
    <t>ku-etal-2024-viescore</t>
  </si>
  <si>
    <t>{VIES}core: Towards Explainable Metrics for Conditional Image Synthesis Evaluation</t>
  </si>
  <si>
    <t>zhao-etal-2024-tapera</t>
  </si>
  <si>
    <t>{T}a{PERA}: Enhancing Faithfulness and Interpretability in Long-Form Table {QA} by Content Planning and Execution-based Reasoning</t>
  </si>
  <si>
    <t>ke-etal-2024-critiquellm</t>
  </si>
  <si>
    <t>{C}ritique{LLM}: Towards an Informative Critique Generation Model for Evaluation of Large Language Model Generation</t>
  </si>
  <si>
    <t>tian-etal-2024-bridging</t>
  </si>
  <si>
    <t>Bridging Word-Pair and Token-Level Metaphor Detection with Explainable Domain Mining</t>
  </si>
  <si>
    <t>xu-etal-2024-faithful</t>
  </si>
  <si>
    <t>Faithful Logical Reasoning via Symbolic Chain-of-Thought</t>
  </si>
  <si>
    <t>zhang-etal-2024-escot</t>
  </si>
  <si>
    <t>{ESC}o{T}: Towards Interpretable Emotional Support Dialogue Systems</t>
  </si>
  <si>
    <t>ramos-etal-2024-transparent</t>
  </si>
  <si>
    <t>Transparent and Scrutable Recommendations Using Natural Language User Profiles</t>
  </si>
  <si>
    <t>arora-etal-2024-causalgym</t>
  </si>
  <si>
    <t>{C}ausal{G}ym: Benchmarking causal interpretability methods on linguistic tasks</t>
  </si>
  <si>
    <t>deng-etal-2024-webcites</t>
  </si>
  <si>
    <t>{W}eb{C}ite{S}: Attributed Query-Focused Summarization on {C}hinese Web Search Results with Citations</t>
  </si>
  <si>
    <t>saakyan-muresan-2024-iclef</t>
  </si>
  <si>
    <t>{ICLEF}: In-Context Learning with Expert Feedback for Explainable Style Transfer</t>
  </si>
  <si>
    <t>shao-etal-2023-erasure</t>
  </si>
  <si>
    <t>Erasure of Unaligned Attributes from Neural Representations</t>
  </si>
  <si>
    <t>wu-etal-2023-transparency</t>
  </si>
  <si>
    <t>Transparency Helps Reveal When Language Models Learn Meaning</t>
  </si>
  <si>
    <t>zhang-etal-2023-macsum</t>
  </si>
  <si>
    <t>{MACS}um: Controllable Summarization with Mixed Attributes</t>
  </si>
  <si>
    <t>stengel-eskin-van-durme-2023-calibrated</t>
  </si>
  <si>
    <t>Calibrated Interpretation: Confidence Estimation in Semantic Parsing</t>
  </si>
  <si>
    <t>wu-etal-2023-recogs</t>
  </si>
  <si>
    <t>{R}e{COGS}: How Incidental Details of a Logical Form Overshadow an Evaluation of Semantic Interpretation</t>
  </si>
  <si>
    <t>fang-etal-2023-say</t>
  </si>
  <si>
    <t>It{'}s not only What You Say, It{'}s also Who It{'}s Said to: Counterfactual Analysis of Interactive Behavior in the Courtroom</t>
  </si>
  <si>
    <t>AACL/IJCNLP</t>
  </si>
  <si>
    <t>lyu-etal-2023-faithful</t>
  </si>
  <si>
    <t>Faithful Chain-of-Thought Reasoning</t>
  </si>
  <si>
    <t>tyo-etal-2023-valla</t>
  </si>
  <si>
    <t>Valla: Standardizing and Benchmarking Authorship Attribution and Verification Through Empirical Evaluation and Comparative Analysis</t>
  </si>
  <si>
    <t>tonni-dras-2023-learned</t>
  </si>
  <si>
    <t>What Learned Representations and Influence Functions Can Tell Us About Adversarial Examples</t>
  </si>
  <si>
    <t>balashankar-etal-2023-improving</t>
  </si>
  <si>
    <t>Improving Classifier Robustness through Active Generative Counterfactual Data Augmentation</t>
  </si>
  <si>
    <t>chun-etal-2023-cr</t>
  </si>
  <si>
    <t>{CR}-{COPEC}: Causal Rationale of Corporate Performance Changes to learn from Financial Reports</t>
  </si>
  <si>
    <t>ryu-2023-plausibility</t>
  </si>
  <si>
    <t>Plausibility Processing in Transformer Language Models: Focusing on the Role of Attention Heads in {GPT}</t>
  </si>
  <si>
    <t>lin-etal-2023-counterfactual</t>
  </si>
  <si>
    <t>Counterfactual Augmentation for Multimodal Learning Under Presentation Bias</t>
  </si>
  <si>
    <t>hu-etal-2023-adapter</t>
  </si>
  <si>
    <t>Adapter-{TST}: A Parameter Efficient Method for Multiple-Attribute Text Style Transfer</t>
  </si>
  <si>
    <t>du-etal-2023-make</t>
  </si>
  <si>
    <t>Make Your Decision Convincing! A Unified Two-Stage Framework: Self-Attribution and Decision-Making</t>
  </si>
  <si>
    <t>madaan-etal-2023-makes</t>
  </si>
  <si>
    <t>What Makes Chain-of-Thought Prompting Effective? A Counterfactual Study</t>
  </si>
  <si>
    <t>wang-etal-2023-interpreting</t>
  </si>
  <si>
    <t>Interpreting Indirect Answers to Yes-No Questions in Multiple Languages</t>
  </si>
  <si>
    <t>li-etal-2023-grenade</t>
  </si>
  <si>
    <t>{GRENADE}: Graph-Centric Language Model for Self-Supervised Representation Learning on Text-Attributed Graphs</t>
  </si>
  <si>
    <t>reich-etal-2023-measuring</t>
  </si>
  <si>
    <t>Measuring Faithful and Plausible Visual Grounding in {VQA}</t>
  </si>
  <si>
    <t>zhang-etal-2023-extractive-summarization</t>
  </si>
  <si>
    <t>Extractive Summarization via {C}hat{GPT} for Faithful Summary Generation</t>
  </si>
  <si>
    <t>pan-etal-2023-logic</t>
  </si>
  <si>
    <t>Logic-{LM}: Empowering Large Language Models with Symbolic Solvers for Faithful Logical Reasoning</t>
  </si>
  <si>
    <t>xie-etal-2023-proto</t>
  </si>
  <si>
    <t>Proto-lm: A Prototypical Network-Based Framework for Built-in Interpretability in Large Language Models</t>
  </si>
  <si>
    <t>jumelet-zuidema-2023-transparency</t>
  </si>
  <si>
    <t>he-garner-2023-interpreter</t>
  </si>
  <si>
    <t>The Interpreter Understands Your Meaning: End-to-end Spoken Language Understanding Aided by Speech Translation</t>
  </si>
  <si>
    <t>yue-etal-2023-automatic</t>
  </si>
  <si>
    <t>Automatic Evaluation of Attribution by Large Language Models</t>
  </si>
  <si>
    <t>sengupta-etal-2023-modeling</t>
  </si>
  <si>
    <t>Modeling Highlighting of Metaphors in Multitask Contrastive Learning Paradigms</t>
  </si>
  <si>
    <t>chen-etal-2023-zara</t>
  </si>
  <si>
    <t>{ZARA}: Improving Few-Shot Self-Rationalization for Small Language Models</t>
  </si>
  <si>
    <t>yang-etal-2023-hare</t>
  </si>
  <si>
    <t>{HARE}: Explainable Hate Speech Detection with Step-by-Step Reasoning</t>
  </si>
  <si>
    <t>dong-etal-2023-co2pt</t>
  </si>
  <si>
    <t>{C}o$^2${PT}: Mitigating Bias in Pre-trained Language Models through Counterfactual Contrastive Prompt Tuning</t>
  </si>
  <si>
    <t>lu-etal-2023-miracle</t>
  </si>
  <si>
    <t>Miracle: Towards Personalized Dialogue Generation with Latent-Space Multiple Personal Attribute Control</t>
  </si>
  <si>
    <t>li-etal-2023-distilling</t>
  </si>
  <si>
    <t>Distilling {C}hat{GPT} for Explainable Automated Student Answer Assessment</t>
  </si>
  <si>
    <t>wang-shu-2023-explainable</t>
  </si>
  <si>
    <t>Explainable Claim Verification via Knowledge-Grounded Reasoning with Large Language Models</t>
  </si>
  <si>
    <t>li-du-2023-leveraging</t>
  </si>
  <si>
    <t>Leveraging Structured Information for Explainable Multi-hop Question Answering and Reasoning</t>
  </si>
  <si>
    <t>liu-etal-2023-knowledge</t>
  </si>
  <si>
    <t>Knowledge-Selective Pretraining for Attribute Value Extraction</t>
  </si>
  <si>
    <t>kuang-etal-2023-unleashing</t>
  </si>
  <si>
    <t>Unleashing the Power of Language Models in Text-Attributed Graph</t>
  </si>
  <si>
    <t>mcinerney-etal-2023-chill</t>
  </si>
  <si>
    <t>{CH}i{LL}: Zero-shot Custom Interpretable Feature Extraction from Clinical Notes with Large Language Models</t>
  </si>
  <si>
    <t>he-etal-2023-lego</t>
  </si>
  <si>
    <t>{LEGO}: A Multi-agent Collaborative Framework with Role-playing and Iterative Feedback for Causality Explanation Generation</t>
  </si>
  <si>
    <t>li-etal-2023-mixture</t>
  </si>
  <si>
    <t>Mixture-of-Linguistic-Experts Adapters for Improving and Interpreting Pre-trained Language Models</t>
  </si>
  <si>
    <t>chakrabarty-etal-2023-learning</t>
  </si>
  <si>
    <t>Learning to Follow Object-Centric Image Editing Instructions Faithfully</t>
  </si>
  <si>
    <t>zhang-etal-2023-factspotter</t>
  </si>
  <si>
    <t>{F}act{S}potter: Evaluating the Factual Faithfulness of Graph-to-Text Generation</t>
  </si>
  <si>
    <t>zhou-etal-2023-realbehavior</t>
  </si>
  <si>
    <t>{R}eal{B}ehavior: A Framework for Faithfully Characterizing Foundation Models' Human-like Behavior Mechanisms</t>
  </si>
  <si>
    <t>zou-etal-2023-pretraining</t>
  </si>
  <si>
    <t>Pretraining Language Models with Text-Attributed Heterogeneous Graphs</t>
  </si>
  <si>
    <t>zhang-etal-2023-instructsafety</t>
  </si>
  <si>
    <t>{I}nstruct{S}afety: A Unified Framework for Building Multidimensional and Explainable Safety Detector through Instruction Tuning</t>
  </si>
  <si>
    <t>dong-etal-2023-steerlm</t>
  </si>
  <si>
    <t>{S}teer{LM}: Attribute Conditioned {SFT} as an (User-Steerable) Alternative to {RLHF}</t>
  </si>
  <si>
    <t>gu-etal-2023-iaeval</t>
  </si>
  <si>
    <t>{IAE}val: A Comprehensive Evaluation of Instance Attribution on Natural Language Understanding</t>
  </si>
  <si>
    <t>rao-etal-2023-makes</t>
  </si>
  <si>
    <t>What Makes it Ok to Set a Fire? Iterative Self-distillation of Contexts and Rationales for Disambiguating Defeasible Social and Moral Situations</t>
  </si>
  <si>
    <t>jin-etal-2023-adversarial</t>
  </si>
  <si>
    <t>Adversarial Robustness for Large Language {NER} models using Disentanglement and Word Attributions</t>
  </si>
  <si>
    <t>xu-etal-2023-structural</t>
  </si>
  <si>
    <t>Are Structural Concepts Universal in Transformer Language Models? Towards Interpretable Cross-Lingual Generalization</t>
  </si>
  <si>
    <t>katz-belinkov-2023-visit</t>
  </si>
  <si>
    <t>{VISIT}: Visualizing and Interpreting the Semantic Information Flow of Transformers</t>
  </si>
  <si>
    <t>mathur-etal-2023-interpreting</t>
  </si>
  <si>
    <t>Interpreting Answers to Yes-No Questions in User-Generated Content</t>
  </si>
  <si>
    <t>zhou-etal-2023-context</t>
  </si>
  <si>
    <t>Context-faithful Prompting for Large Language Models</t>
  </si>
  <si>
    <t>patel-etal-2023-learning</t>
  </si>
  <si>
    <t>Learning Interpretable Style Embeddings via Prompting {LLM}s</t>
  </si>
  <si>
    <t>huang-etal-2023-swing</t>
  </si>
  <si>
    <t>{SWING}: Balancing Coverage and Faithfulness for Dialogue Summarization</t>
  </si>
  <si>
    <t>yang-etal-2023-task</t>
  </si>
  <si>
    <t>Task-specific Compression for Multi-task Language Models using Attribution-based Pruning</t>
  </si>
  <si>
    <t>joshi-etal-2023-unsupervised</t>
  </si>
  <si>
    <t>Unsupervised Keyphrase Extraction via Interpretable Neural Networks</t>
  </si>
  <si>
    <t>cao-etal-2023-multi</t>
  </si>
  <si>
    <t>Multi-View Source Ablation for Faithful Summarization</t>
  </si>
  <si>
    <t>zhou-shah-2023-solvability</t>
  </si>
  <si>
    <t>The Solvability of Interpretability Evaluation Metrics</t>
  </si>
  <si>
    <t>ding-etal-2023-shot</t>
  </si>
  <si>
    <t>Few-shot Classification with Hypersphere Modeling of Prototypes</t>
  </si>
  <si>
    <t>chiesurin-etal-2023-dangers</t>
  </si>
  <si>
    <t>The Dangers of trusting Stochastic Parrots: Faithfulness and Trust in Open-domain Conversational Question Answering</t>
  </si>
  <si>
    <t>varshney-etal-2023-unified</t>
  </si>
  <si>
    <t>A Unified Evaluation Framework for Novelty Detection and Accommodation in {NLP} with an Instantiation in Authorship Attribution</t>
  </si>
  <si>
    <t>liu-etal-2023-attribute</t>
  </si>
  <si>
    <t>Attribute Controlled Dialogue Prompting</t>
  </si>
  <si>
    <t>wang-etal-2023-rfid</t>
  </si>
  <si>
    <t>{RF}i{D}: Towards Rational Fusion-in-Decoder for Open-Domain Question Answering</t>
  </si>
  <si>
    <t>zhu-etal-2023-knowledge</t>
  </si>
  <si>
    <t>What Knowledge Is Needed? Towards Explainable Memory for k{NN}-{MT} Domain Adaptation</t>
  </si>
  <si>
    <t>huang-etal-2023-pram</t>
  </si>
  <si>
    <t>{PRAM}: An End-to-end Prototype-based Representation Alignment Model for Zero-resource Cross-lingual Named Entity Recognition</t>
  </si>
  <si>
    <t>hong-etal-2023-robust</t>
  </si>
  <si>
    <t>A Robust Information-Masking Approach for Domain Counterfactual Generation</t>
  </si>
  <si>
    <t>lin-morency-2023-sentecon</t>
  </si>
  <si>
    <t>{S}ente{C}on: Leveraging Lexicons to Learn Human-Interpretable Language Representations</t>
  </si>
  <si>
    <t>goldfarb-tarrant-etal-2023-bias</t>
  </si>
  <si>
    <t>Bias Beyond {E}nglish: Counterfactual Tests for Bias in Sentiment Analysis in Four Languages</t>
  </si>
  <si>
    <t>lu-etal-2023-asymmetric</t>
  </si>
  <si>
    <t>Asymmetric feature interaction for interpreting model predictions</t>
  </si>
  <si>
    <t>chen-etal-2023-honestbait</t>
  </si>
  <si>
    <t>{H}onest{B}ait: Forward References for Attractive but Faithful Headline Generation</t>
  </si>
  <si>
    <t>veerubhotla-etal-2023-shot</t>
  </si>
  <si>
    <t>Few Shot Rationale Generation using Self-Training with Dual Teachers</t>
  </si>
  <si>
    <t>luo-etal-2023-prototype</t>
  </si>
  <si>
    <t>Prototype-Based Interpretability for Legal Citation Prediction</t>
  </si>
  <si>
    <t>wicke-2023-lms</t>
  </si>
  <si>
    <t>{LM}s stand their Ground: Investigating the Effect of Embodiment in Figurative Language Interpretation by Language Models</t>
  </si>
  <si>
    <t>jourdan-etal-2023-cockatiel</t>
  </si>
  <si>
    <t>{COCKATIEL}: {CO}ntinuous Concept ran{K}ed {AT}tribution with Interpretable {EL}ements for explaining neural net classifiers on {NLP}</t>
  </si>
  <si>
    <t>fang-etal-2023-whole</t>
  </si>
  <si>
    <t>The Whole Truth and Nothing But the Truth: Faithful and Controllable Dialogue Response Generation with Dataflow Transduction and Constrained Decoding</t>
  </si>
  <si>
    <t>iskander-etal-2023-shielded</t>
  </si>
  <si>
    <t>Shielded Representations: Protecting Sensitive Attributes Through Iterative Gradient-Based Projection</t>
  </si>
  <si>
    <t>guo-etal-2023-comave</t>
  </si>
  <si>
    <t>{C}o{M}ave: Contrastive Pre-training with Multi-scale Masking for Attribute Value Extraction</t>
  </si>
  <si>
    <t>hauzenberger-etal-2023-modular</t>
  </si>
  <si>
    <t>Modular and On-demand Bias Mitigation with Attribute-Removal Subnetworks</t>
  </si>
  <si>
    <t>li-etal-2023-factual</t>
  </si>
  <si>
    <t>{FACTUAL}: A Benchmark for Faithful and Consistent Textual Scene Graph Parsing</t>
  </si>
  <si>
    <t>chan-etal-2023-interpretable</t>
  </si>
  <si>
    <t>Interpretable Automatic Fine-grained Inconsistency Detection in Text Summarization</t>
  </si>
  <si>
    <t>shinzato-etal-2023-unified</t>
  </si>
  <si>
    <t>A Unified Generative Approach to Product Attribute-Value Identification</t>
  </si>
  <si>
    <t>jiang-etal-2023-interpreting</t>
  </si>
  <si>
    <t>Interpreting Sentiment Composition with Latent Semantic Tree</t>
  </si>
  <si>
    <t>enguehard-2023-sequential</t>
  </si>
  <si>
    <t>Sequential Integrated Gradients: a simple but effective method for explaining language models</t>
  </si>
  <si>
    <t>ju-etal-2023-continuous</t>
  </si>
  <si>
    <t>Is Continuous Prompt a Combination of Discrete Prompts? Towards a Novel View for Interpreting Continuous Prompts</t>
  </si>
  <si>
    <t>vincent-etal-2023-mtcue</t>
  </si>
  <si>
    <t>{MTC}ue: Learning Zero-Shot Control of Extra-Textual Attributes by Leveraging Unstructured Context in Neural Machine Translation</t>
  </si>
  <si>
    <t>wen-etal-2023-grace</t>
  </si>
  <si>
    <t>{GRACE}: Gradient-guided Controllable Retrieval for Augmenting Attribute-based Text Generation</t>
  </si>
  <si>
    <t>bernard-mickus-2023-many</t>
  </si>
  <si>
    <t>So many design choices: Improving and interpreting neural agent communication in signaling games</t>
  </si>
  <si>
    <t>wang-xie-2023-constructing</t>
  </si>
  <si>
    <t>Constructing Word-Context-Coupled Space Aligned with Associative Knowledge Relations for Interpretable Language Modeling</t>
  </si>
  <si>
    <t>li-etal-2023-defending</t>
  </si>
  <si>
    <t>Defending against Insertion-based Textual Backdoor Attacks via Attribution</t>
  </si>
  <si>
    <t>zanwar-etal-2023-fuse</t>
  </si>
  <si>
    <t>What to Fuse and How to Fuse: Exploring Emotion and Personality Fusion Strategies for Explainable Mental Disorder Detection</t>
  </si>
  <si>
    <t>jukic-etal-2023-easy</t>
  </si>
  <si>
    <t>Easy to Decide, Hard to Agree: Reducing Disagreements Between Saliency Methods</t>
  </si>
  <si>
    <t>rajaraman-etal-2023-investigating</t>
  </si>
  <si>
    <t>Investigating Transformer-Guided Chaining for Interpretable Natural Logic Reasoning</t>
  </si>
  <si>
    <t>lam-etal-2023-large</t>
  </si>
  <si>
    <t>Large Language Models Are Partially Primed in Pronoun Interpretation</t>
  </si>
  <si>
    <t>filandrianos-etal-2023-counterfactuals</t>
  </si>
  <si>
    <t>Counterfactuals of Counterfactuals: a back-translation-inspired approach to analyse counterfactual editors</t>
  </si>
  <si>
    <t>liu-etal-2023-interpretable</t>
  </si>
  <si>
    <t>Interpretable Multimodal Misinformation Detection with Logic Reasoning</t>
  </si>
  <si>
    <t>yang-etal-2023-mixpave</t>
  </si>
  <si>
    <t>{M}ix{PAVE}: Mix-Prompt Tuning for Few-shot Product Attribute Value Extraction</t>
  </si>
  <si>
    <t>fajcik-etal-2023-claim</t>
  </si>
  <si>
    <t>Claim-Dissector: An Interpretable Fact-Checking System with Joint Re-ranking and Veracity Prediction</t>
  </si>
  <si>
    <t>mei-etal-2023-foveate</t>
  </si>
  <si>
    <t>Foveate, Attribute, and Rationalize: Towards Physically Safe and Trustworthy {AI}</t>
  </si>
  <si>
    <t>madhavan-etal-2023-cfl</t>
  </si>
  <si>
    <t>{CFL}: Causally Fair Language Models Through Token-level Attribute Controlled Generation</t>
  </si>
  <si>
    <t>jacovi-etal-2023-neighboring</t>
  </si>
  <si>
    <t>Neighboring Words Affect Human Interpretation of Saliency Explanations</t>
  </si>
  <si>
    <t>garg-etal-2023-annotated</t>
  </si>
  <si>
    <t>An Annotated Dataset for Explainable Interpersonal Risk Factors of Mental Disturbance in Social Media Posts</t>
  </si>
  <si>
    <t>ju-etal-2023-hierarchical</t>
  </si>
  <si>
    <t>A Hierarchical Explanation Generation Method Based on Feature Interaction Detection</t>
  </si>
  <si>
    <t>wagner-foster-2023-investigating</t>
  </si>
  <si>
    <t>Investigating the Saliency of Sentiment Expressions in Aspect-Based Sentiment Analysis</t>
  </si>
  <si>
    <t>govindarajan-etal-2023-counterfactual</t>
  </si>
  <si>
    <t>Counterfactual Probing for the Influence of Affect and Specificity on Intergroup Bias</t>
  </si>
  <si>
    <t>zhang-etal-2023-pay</t>
  </si>
  <si>
    <t>Pay Attention to Implicit Attribute Values: A Multi-modal Generative Framework for {AVE} Task</t>
  </si>
  <si>
    <t>chen-etal-2023-distinguish</t>
  </si>
  <si>
    <t>Distinguish Before Answer: Generating Contrastive Explanation as Knowledge for Commonsense Question Answering</t>
  </si>
  <si>
    <t>brinner-zarriess-2023-model</t>
  </si>
  <si>
    <t>Model Interpretability and Rationale Extraction by Input Mask Optimization</t>
  </si>
  <si>
    <t>kawabata-sugawara-2023-evaluating</t>
  </si>
  <si>
    <t>Evaluating the Rationale Understanding of Critical Reasoning in Logical Reading Comprehension</t>
  </si>
  <si>
    <t>muller-etal-2023-evaluating</t>
  </si>
  <si>
    <t>Evaluating and Modeling Attribution for Cross-Lingual Question Answering</t>
  </si>
  <si>
    <t>chen-etal-2023-using</t>
  </si>
  <si>
    <t>Using Interpretation Methods for Model Enhancement</t>
  </si>
  <si>
    <t>chen-etal-2023-fidelity</t>
  </si>
  <si>
    <t>Fidelity-Enriched Contrastive Search: Reconciling the Faithfulness-Diversity Trade-Off in Text Generation</t>
  </si>
  <si>
    <t>wen-yi-mimno-2023-hyperpolyglot</t>
  </si>
  <si>
    <t>Hyperpolyglot {LLM}s: Cross-Lingual Interpretability in Token Embeddings</t>
  </si>
  <si>
    <t>liu-etal-2023-vera</t>
  </si>
  <si>
    <t>Vera: A General-Purpose Plausibility Estimation Model for Commonsense Statements</t>
  </si>
  <si>
    <t>hwang-shwartz-2023-memecap</t>
  </si>
  <si>
    <t>{M}eme{C}ap: A Dataset for Captioning and Interpreting Memes</t>
  </si>
  <si>
    <t>simhi-markovitch-2023-interpreting</t>
  </si>
  <si>
    <t>Interpreting Embedding Spaces by Conceptualization</t>
  </si>
  <si>
    <t>patel-etal-2023-magnifico</t>
  </si>
  <si>
    <t>{MAGNIFIC}o: Evaluating the In-Context Learning Ability of Large Language Models to Generalize to Novel Interpretations</t>
  </si>
  <si>
    <t>wu-etal-2023-mproto</t>
  </si>
  <si>
    <t>{MP}roto: Multi-Prototype Network with Denoised Optimal Transport for Distantly Supervised Named Entity Recognition</t>
  </si>
  <si>
    <t>bouyamourn-2023-llms</t>
  </si>
  <si>
    <t>Why {LLM}s Hallucinate, and How to Get (Evidential) Closure: Perceptual, Intensional, and Extensional Learning for Faithful Natural Language Generation</t>
  </si>
  <si>
    <t>mousi-etal-2023-llms</t>
  </si>
  <si>
    <t>Can {LLM}s Facilitate Interpretation of Pre-trained Language Models?</t>
  </si>
  <si>
    <t>ch-wang-etal-2023-sociocultural</t>
  </si>
  <si>
    <t>Sociocultural Norm Similarities and Differences via Situational Alignment and Explainable Textual Entailment</t>
  </si>
  <si>
    <t>urrutia-etal-2023-deep</t>
  </si>
  <si>
    <t>Deep Natural Language Feature Learning for Interpretable Prediction</t>
  </si>
  <si>
    <t>attanasio-etal-2023-tale</t>
  </si>
  <si>
    <t>A Tale of Pronouns: Interpretability Informs Gender Bias Mitigation for Fairer Instruction-Tuned Machine Translation</t>
  </si>
  <si>
    <t>beinborn-pinter-2023-analyzing</t>
  </si>
  <si>
    <t>Analyzing Cognitive Plausibility of Subword Tokenization</t>
  </si>
  <si>
    <t>zhao-etal-2023-prototype</t>
  </si>
  <si>
    <t>Prototype-based {H}yper{A}dapter for Sample-Efficient Multi-task Tuning</t>
  </si>
  <si>
    <t>koo-etal-2023-kebap</t>
  </si>
  <si>
    <t>{KEBAP}: {K}orean Error Explainable Benchmark Dataset for {ASR} and Post-processing</t>
  </si>
  <si>
    <t>jang-etal-2023-post</t>
  </si>
  <si>
    <t>Post-hoc Utterance Refining Method by Entity Mining for Faithful Knowledge Grounded Conversations</t>
  </si>
  <si>
    <t>hou-etal-2023-towards</t>
  </si>
  <si>
    <t>Towards a Mechanistic Interpretation of Multi-Step Reasoning Capabilities of Language Models</t>
  </si>
  <si>
    <t>meng-etal-2023-rapl</t>
  </si>
  <si>
    <t>{RAPL}: A Relation-Aware Prototype Learning Approach for Few-Shot Document-Level Relation Extraction</t>
  </si>
  <si>
    <t>miao-etal-2023-generating</t>
  </si>
  <si>
    <t>Generating Commonsense Counterfactuals for Stable Relation Extraction</t>
  </si>
  <si>
    <t>kaffee-etal-2023-article</t>
  </si>
  <si>
    <t>Why Should This Article Be Deleted? Transparent Stance Detection in Multilingual {W}ikipedia Editor Discussions</t>
  </si>
  <si>
    <t>xu-etal-2023-instructscore</t>
  </si>
  <si>
    <t>{INSTRUCTSCORE}: Towards Explainable Text Generation Evaluation with Automatic Feedback</t>
  </si>
  <si>
    <t>yang-etal-2023-towards</t>
  </si>
  <si>
    <t>Towards Interpretable Mental Health Analysis with Large Language Models</t>
  </si>
  <si>
    <t>kamp-etal-2023-dynamic</t>
  </si>
  <si>
    <t>Dynamic Top-k Estimation Consolidates Disagreement between Feature Attribution Methods</t>
  </si>
  <si>
    <t>wu-etal-2023-enhancing</t>
  </si>
  <si>
    <t>Enhancing Structured Evidence Extraction for Fact Verification</t>
  </si>
  <si>
    <t>eberle-etal-2023-rather</t>
  </si>
  <si>
    <t>Rather a Nurse than a Physician - Contrastive Explanations under Investigation</t>
  </si>
  <si>
    <t>stolfo-etal-2023-mechanistic</t>
  </si>
  <si>
    <t>A Mechanistic Interpretation of Arithmetic Reasoning in Language Models using Causal Mediation Analysis</t>
  </si>
  <si>
    <t>hu-etal-2023-faithful</t>
  </si>
  <si>
    <t>Faithful Model Evaluation for Model-Based Metrics</t>
  </si>
  <si>
    <t>tian-etal-2023-modeling</t>
  </si>
  <si>
    <t>Modeling Conceptual Attribute Likeness and Domain Inconsistency for Metaphor Detection</t>
  </si>
  <si>
    <t>fu-etal-2023-scene</t>
  </si>
  <si>
    <t>{SCENE}: Self-Labeled Counterfactuals for Extrapolating to Negative Examples</t>
  </si>
  <si>
    <t>zhong-etal-2023-air</t>
  </si>
  <si>
    <t>Air-Decoding: Attribute Distribution Reconstruction for Decoding-Time Controllable Text Generation</t>
  </si>
  <si>
    <t>yu-etal-2023-ifqa</t>
  </si>
  <si>
    <t>{I}f{QA}: A Dataset for Open-domain Question Answering under Counterfactual Presuppositions</t>
  </si>
  <si>
    <t>saxena-etal-2023-idtraffickers</t>
  </si>
  <si>
    <t>{IDT}raffickers: An Authorship Attribution Dataset to link and connect Potential Human-Trafficking Operations on Text Escort Advertisements</t>
  </si>
  <si>
    <t>majumder-etal-2023-interfair</t>
  </si>
  <si>
    <t>{I}nter{F}air: Debiasing with Natural Language Feedback for Fair Interpretable Predictions</t>
  </si>
  <si>
    <t>xu-etal-2023-dissonance</t>
  </si>
  <si>
    <t>From Dissonance to Insights: Dissecting Disagreements in Rationale Construction for Case Outcome Classification</t>
  </si>
  <si>
    <t>askari-etal-2023-expand</t>
  </si>
  <si>
    <t>Expand, Highlight, Generate: {RL}-driven Document Generation for Passage Reranking</t>
  </si>
  <si>
    <t>nandwani-etal-2023-pointwise</t>
  </si>
  <si>
    <t>Pointwise Mutual Information Based Metric and Decoding Strategy for Faithful Generation in Document Grounded Dialogs</t>
  </si>
  <si>
    <t>lahoti-etal-2023-improving</t>
  </si>
  <si>
    <t>Improving Diversity of Demographic Representation in Large Language Models via Collective-Critiques and Self-Voting</t>
  </si>
  <si>
    <t>sen-etal-2023-people</t>
  </si>
  <si>
    <t>People Make Better Edits: Measuring the Efficacy of {LLM}-Generated Counterfactually Augmented Data for Harmful Language Detection</t>
  </si>
  <si>
    <t>wang-etal-2023-goal</t>
  </si>
  <si>
    <t>Goal-Driven Explainable Clustering via Language Descriptions</t>
  </si>
  <si>
    <t>zhang-etal-2023-famesumm</t>
  </si>
  <si>
    <t>{F}a{M}e{S}umm: Investigating and Improving Faithfulness of Medical Summarization</t>
  </si>
  <si>
    <t>jia-etal-2023-zero</t>
  </si>
  <si>
    <t>Zero-shot Faithfulness Evaluation for Text Summarization with Foundation Language Model</t>
  </si>
  <si>
    <t>briakou-etal-2023-explaining</t>
  </si>
  <si>
    <t>Explaining with Contrastive Phrasal Highlighting: A Case Study in Assisting Humans to Detect Translation Differences</t>
  </si>
  <si>
    <t>yue-etal-2023-interventional</t>
  </si>
  <si>
    <t>Interventional Rationalization</t>
  </si>
  <si>
    <t>chang-etal-2023-beyond</t>
  </si>
  <si>
    <t>Beyond Detection: A Defend-and-Summarize Strategy for Robust and Interpretable Rumor Analysis on Social Media</t>
  </si>
  <si>
    <t>xu-etal-2023-vechr</t>
  </si>
  <si>
    <t>{VECHR}: A Dataset for Explainable and Robust Classification of Vulnerability Type in the {E}uropean Court of Human Rights</t>
  </si>
  <si>
    <t>wu-etal-2023-acquired</t>
  </si>
  <si>
    <t>{ACQUIRED}: A Dataset for Answering Counterfactual Questions In Real-Life Videos</t>
  </si>
  <si>
    <t>maekawa-imai-2023-identifying</t>
  </si>
  <si>
    <t>Identifying Statements Crucial for Awareness of Interpretive Nonsense to Prevent Communication Breakdowns</t>
  </si>
  <si>
    <t>choudhury-etal-2023-explaining</t>
  </si>
  <si>
    <t>Explaining Interactions Between Text Spans</t>
  </si>
  <si>
    <t>burger-etal-2023-explanations</t>
  </si>
  <si>
    <t>``Are Your Explanations Reliable?'' Investigating the Stability of {LIME} in Explaining Text Classifiers by Marrying {XAI} and Adversarial Attack</t>
  </si>
  <si>
    <t>zhang-etal-2023-semantic</t>
  </si>
  <si>
    <t>Semantic Space Grounded Weighted Decoding for Multi-Attribute Controllable Dialogue Generation</t>
  </si>
  <si>
    <t>wang-etal-2023-coffee</t>
  </si>
  <si>
    <t>{COFFEE}: Counterfactual Fairness for Personalized Text Generation in Explainable Recommendation</t>
  </si>
  <si>
    <t>zhu-etal-2023-explain</t>
  </si>
  <si>
    <t>{EXPLAIN}, {EDIT}, {GENERATE}: Rationale-Sensitive Counterfactual Data Augmentation for Multi-hop Fact Verification</t>
  </si>
  <si>
    <t>menon-etal-2023-mantle</t>
  </si>
  <si>
    <t>{M}a{N}t{LE}: Model-agnostic Natural Language Explainer</t>
  </si>
  <si>
    <t>fanconi-etal-2023-reads</t>
  </si>
  <si>
    <t>This Reads Like That: Deep Learning for Interpretable Natural Language Processing</t>
  </si>
  <si>
    <t>huang-etal-2023-bridging</t>
  </si>
  <si>
    <t>Bridging Continuous and Discrete Spaces: Interpretable Sentence Representation Learning via Compositional Operations</t>
  </si>
  <si>
    <t>chakraborty-etal-2023-factify3m</t>
  </si>
  <si>
    <t>{FACTIFY}3{M}: A benchmark for multimodal fact verification with explainability through 5{W} Question-Answering</t>
  </si>
  <si>
    <t>xiong-etal-2023-rationale</t>
  </si>
  <si>
    <t>Rationale-Enhanced Language Models are Better Continual Relation Learners</t>
  </si>
  <si>
    <t>tu-etal-2023-training</t>
  </si>
  <si>
    <t>A Training-Free Debiasing Framework with Counterfactual Reasoning for Conversational Emotion Detection</t>
  </si>
  <si>
    <t>moeller-etal-2023-attribution</t>
  </si>
  <si>
    <t>An Attribution Method for {S}iamese Encoders</t>
  </si>
  <si>
    <t>zhao-etal-2023-hop</t>
  </si>
  <si>
    <t>Hop, Union, Generate: Explainable Multi-hop Reasoning without Rationale Supervision</t>
  </si>
  <si>
    <t>liu-etal-2023-towards-interpretable</t>
  </si>
  <si>
    <t>Towards Interpretable and Efficient Automatic Reference-Based Summarization Evaluation</t>
  </si>
  <si>
    <t>li-etal-2023-interpreting</t>
  </si>
  <si>
    <t>Interpreting and Exploiting Functional Specialization in Multi-Head Attention under Multi-task Learning</t>
  </si>
  <si>
    <t>maity-etal-2023-genex</t>
  </si>
  <si>
    <t>{G}en{E}x: A Commonsense-aware Unified Generative Framework for Explainable Cyberbullying Detection</t>
  </si>
  <si>
    <t>widiaputri-etal-2023-speech</t>
  </si>
  <si>
    <t>Speech Recognition and Meaning Interpretation: Towards Disambiguation of Structurally Ambiguous Spoken Utterances in {I}ndonesian</t>
  </si>
  <si>
    <t>wang-etal-2023-extracting</t>
  </si>
  <si>
    <t>Extracting or Guessing? Improving Faithfulness of Event Temporal Relation Extraction</t>
  </si>
  <si>
    <t>zhao-etal-2023-loft</t>
  </si>
  <si>
    <t>{L}o{FT}: Enhancing Faithfulness and Diversity for Table-to-Text Generation via Logic Form Control</t>
  </si>
  <si>
    <t>deutsch-roth-2023-incorporating</t>
  </si>
  <si>
    <t>Incorporating Question Answering-Based Signals into Abstractive Summarization via Salient Span Selection</t>
  </si>
  <si>
    <t>hu-etal-2023-unifee</t>
  </si>
  <si>
    <t>{U}nif{EE}: Unified Evidence Extraction for Fact Verification</t>
  </si>
  <si>
    <t>shao-etal-2023-gold</t>
  </si>
  <si>
    <t>Gold Doesn{'}t Always Glitter: Spectral Removal of Linear and Nonlinear Guarded Attribute Information</t>
  </si>
  <si>
    <t>krishna-etal-2023-longeval</t>
  </si>
  <si>
    <t>{L}ong{E}val: Guidelines for Human Evaluation of Faithfulness in Long-form Summarization</t>
  </si>
  <si>
    <t>modarressi-etal-2023-guide</t>
  </si>
  <si>
    <t>Guide the Learner: Controlling Product of Experts Debiasing Method Based on Token Attribution Similarities</t>
  </si>
  <si>
    <t>dai-etal-2023-plausible</t>
  </si>
  <si>
    <t>Plausible May Not Be Faithful: Probing Object Hallucination in Vision-Language Pre-training</t>
  </si>
  <si>
    <t>held-yang-2023-shapley</t>
  </si>
  <si>
    <t>Shapley Head Pruning: Identifying and Removing Interference in Multilingual Transformers</t>
  </si>
  <si>
    <t>hayati-etal-2023-stylex</t>
  </si>
  <si>
    <t>{S}ty{LE}x: Explaining Style Using Human Lexical Annotations</t>
  </si>
  <si>
    <t>wan-etal-2023-faithfulness</t>
  </si>
  <si>
    <t>Faithfulness-Aware Decoding Strategies for Abstractive Summarization</t>
  </si>
  <si>
    <t>cole-etal-2023-salient</t>
  </si>
  <si>
    <t>Salient Span Masking for Temporal Understanding</t>
  </si>
  <si>
    <t>xie-etal-2023-counter</t>
  </si>
  <si>
    <t>Counter-{GAP}: Counterfactual Bias Evaluation through Gendered Ambiguous Pronouns</t>
  </si>
  <si>
    <t>rashkin-etal-2023-measuring</t>
  </si>
  <si>
    <t>Measuring Attribution in Natural Language Generation Models</t>
  </si>
  <si>
    <t>reig-alamillo-etal-2023-analysis</t>
  </si>
  <si>
    <t>The Analysis of Synonymy and Antonymy in Discourse Relations: An Interpretable Modeling Approach</t>
  </si>
  <si>
    <t>apidianaki-2023-word</t>
  </si>
  <si>
    <t>From Word Types to Tokens and Back: A Survey of Approaches to Word Meaning Representation and Interpretation</t>
  </si>
  <si>
    <t>atanasova-etal-2023-faithfulness</t>
  </si>
  <si>
    <t>Faithfulness Tests for Natural Language Explanations</t>
  </si>
  <si>
    <t>an-rudinger-2023-nichelle</t>
  </si>
  <si>
    <t>Nichelle and Nancy: The Influence of Demographic Attributes and Tokenization Length on First Name Biases</t>
  </si>
  <si>
    <t>valentini-etal-2023-interpretability</t>
  </si>
  <si>
    <t>On the Interpretability and Significance of Bias Metrics in Texts: a {PMI}-based Approach</t>
  </si>
  <si>
    <t>vishnubhotla-etal-2023-improving</t>
  </si>
  <si>
    <t>Improving Automatic Quotation Attribution in Literary Novels</t>
  </si>
  <si>
    <t>li-etal-2023-counterfactual</t>
  </si>
  <si>
    <t>Counterfactual reasoning: Testing language models' understanding of hypothetical scenarios</t>
  </si>
  <si>
    <t>steen-etal-2023-little</t>
  </si>
  <si>
    <t>With a Little Push, {NLI} Models can Robustly and Efficiently Predict Faithfulness</t>
  </si>
  <si>
    <t>mu-li-2023-enhancing</t>
  </si>
  <si>
    <t>Enhancing Event Causality Identification with Counterfactual Reasoning</t>
  </si>
  <si>
    <t>nguyen-duc-etal-2023-class</t>
  </si>
  <si>
    <t>Class based Influence Functions for Error Detection</t>
  </si>
  <si>
    <t>sarti-etal-2023-ramp</t>
  </si>
  <si>
    <t>{RAMP}: Retrieval and Attribute-Marking Enhanced Prompting for Attribute-Controlled Translation</t>
  </si>
  <si>
    <t>agnew-etal-2023-mechanical</t>
  </si>
  <si>
    <t>The Mechanical Bard: An Interpretable Machine Learning Approach to {S}hakespearean Sonnet Generation</t>
  </si>
  <si>
    <t>zhang-etal-2023-safeconv</t>
  </si>
  <si>
    <t>{S}afe{C}onv: Explaining and Correcting Conversational Unsafe Behavior</t>
  </si>
  <si>
    <t>cheng-etal-2023-explainable</t>
  </si>
  <si>
    <t>Explainable Recommendation with Personalized Review Retrieval and Aspect Learning</t>
  </si>
  <si>
    <t>chronis-etal-2023-method</t>
  </si>
  <si>
    <t>A Method for Studying Semantic Construal in Grammatical Constructions with Interpretable Contextual Embedding Spaces</t>
  </si>
  <si>
    <t>clarke-etal-2023-rule</t>
  </si>
  <si>
    <t>Rule By Example: Harnessing Logical Rules for Explainable Hate Speech Detection</t>
  </si>
  <si>
    <t>yang-etal-2023-tailor</t>
  </si>
  <si>
    <t>Tailor: A Soft-Prompt-Based Approach to Attribute-Based Controlled Text Generation</t>
  </si>
  <si>
    <t>chen-etal-2023-causal</t>
  </si>
  <si>
    <t>Causal Intervention and Counterfactual Reasoning for Multi-modal Fake News Detection</t>
  </si>
  <si>
    <t>lin-etal-2023-techs</t>
  </si>
  <si>
    <t>{TECHS}: Temporal Logical Graph Networks for Explainable Extrapolation Reasoning</t>
  </si>
  <si>
    <t>chen-etal-2023-rev</t>
  </si>
  <si>
    <t>{REV}: Information-Theoretic Evaluation of Free-Text Rationales</t>
  </si>
  <si>
    <t>li-etal-2023-attgen</t>
  </si>
  <si>
    <t>{A}t{TG}en: Attribute Tree Generation for Real-World Attribute Joint Extraction</t>
  </si>
  <si>
    <t>zhang-etal-2023-extractive</t>
  </si>
  <si>
    <t>Extractive is not Faithful: An Investigation of Broad Unfaithfulness Problems in Extractive Summarization</t>
  </si>
  <si>
    <t>modarressi-etal-2023-decompx</t>
  </si>
  <si>
    <t>{D}ecomp{X}: Explaining Transformers Decisions by Propagating Token Decomposition</t>
  </si>
  <si>
    <t>wang-etal-2023-faithful</t>
  </si>
  <si>
    <t>Faithful Low-Resource Data-to-Text Generation through Cycle Training</t>
  </si>
  <si>
    <t>giulianelli-etal-2023-interpretable</t>
  </si>
  <si>
    <t>Interpretable Word Sense Representations via Definition Generation: The Case of Semantic Change Analysis</t>
  </si>
  <si>
    <t>hong-etal-2023-faithful</t>
  </si>
  <si>
    <t>Faithful Question Answering with {M}onte-{C}arlo Planning</t>
  </si>
  <si>
    <t>zhou-etal-2023-improving</t>
  </si>
  <si>
    <t>Improving Self-training for Cross-lingual Named Entity Recognition with Contrastive and Prototype Learning</t>
  </si>
  <si>
    <t>parcalabescu-frank-2023-mm</t>
  </si>
  <si>
    <t>{MM}-{SHAP}: A Performance-agnostic Metric for Measuring Multimodal Contributions in Vision and Language Models {\&amp;} Tasks</t>
  </si>
  <si>
    <t>guo-etal-2023-counterfactual</t>
  </si>
  <si>
    <t>Counterfactual Multihop {QA}: A Cause-Effect Approach for Reducing Disconnected Reasoning</t>
  </si>
  <si>
    <t>deng-etal-2023-towards</t>
  </si>
  <si>
    <t>Towards Faithful Dialogues via Focus Learning</t>
  </si>
  <si>
    <t>liu-etal-2023-dimongen</t>
  </si>
  <si>
    <t>{D}imon{G}en: Diversified Generative Commonsense Reasoning for Explaining Concept Relationships</t>
  </si>
  <si>
    <t>zhao-aletras-2023-incorporating</t>
  </si>
  <si>
    <t>Incorporating Attribution Importance for Improving Faithfulness Metrics</t>
  </si>
  <si>
    <t>ferrando-etal-2023-explaining</t>
  </si>
  <si>
    <t>Explaining How Transformers Use Context to Build Predictions</t>
  </si>
  <si>
    <t>chen-etal-2023-disco</t>
  </si>
  <si>
    <t>{DISCO}: Distilling Counterfactuals with Large Language Models</t>
  </si>
  <si>
    <t>tang-etal-2023-daam</t>
  </si>
  <si>
    <t>What the {DAAM}: Interpreting Stable Diffusion Using Cross Attention</t>
  </si>
  <si>
    <t>huang-etal-2023-zero</t>
  </si>
  <si>
    <t>Zero-shot Faithful Factual Error Correction</t>
  </si>
  <si>
    <t>xu-etal-2023-counterfactual</t>
  </si>
  <si>
    <t>Counterfactual Debiasing for Fact Verification</t>
  </si>
  <si>
    <t>zhang-etal-2023-interpretable</t>
  </si>
  <si>
    <t>Interpretable Math Word Problem Solution Generation via Step-by-step Planning</t>
  </si>
  <si>
    <t>joshi-etal-2023-machine</t>
  </si>
  <si>
    <t>Are Machine Rationales (Not) Useful to Humans? Measuring and Improving Human Utility of Free-text Rationales</t>
  </si>
  <si>
    <t>singh-etal-2023-peeking</t>
  </si>
  <si>
    <t>Peeking inside the black box: A Commonsense-aware Generative Framework for Explainable Complaint Detection</t>
  </si>
  <si>
    <t>chen-etal-2023-consistent</t>
  </si>
  <si>
    <t>Consistent Prototype Learning for Few-Shot Continual Relation Extraction</t>
  </si>
  <si>
    <t>foley-etal-2023-matching</t>
  </si>
  <si>
    <t>Matching Pairs: Attributing Fine-Tuned Models to their Pre-Trained Large Language Models</t>
  </si>
  <si>
    <t>whitehouse-etal-2023-webie</t>
  </si>
  <si>
    <t>{W}eb{IE}: Faithful and Robust Information Extraction on the Web</t>
  </si>
  <si>
    <t>wu-etal-2023-ad</t>
  </si>
  <si>
    <t>{AD}-{KD}: Attribution-Driven Knowledge Distillation for Language Model Compression</t>
  </si>
  <si>
    <t>hosking-etal-2023-attributable</t>
  </si>
  <si>
    <t>Attributable and Scalable Opinion Summarization</t>
  </si>
  <si>
    <t>yang-etal-2023-efficient</t>
  </si>
  <si>
    <t>Efficient Shapley Values Estimation by Amortization for Text Classification</t>
  </si>
  <si>
    <t>xilong-etal-2023-interpreting</t>
  </si>
  <si>
    <t>Interpreting Positional Information in Perspective of Word Order</t>
  </si>
  <si>
    <t>zhu-etal-2023-paed</t>
  </si>
  <si>
    <t>{PAED}: Zero-Shot Persona Attribute Extraction in Dialogues</t>
  </si>
  <si>
    <t>neeman-etal-2023-disentqa</t>
  </si>
  <si>
    <t>{D}isent{QA}: Disentangling Parametric and Contextual Knowledge with Counterfactual Question Answering</t>
  </si>
  <si>
    <t>kwak-etal-2023-language</t>
  </si>
  <si>
    <t>Language Detoxification with Attribute-Discriminative Latent Space</t>
  </si>
  <si>
    <t>yang-etal-2023-local</t>
  </si>
  <si>
    <t>Local Interpretation of Transformer Based on Linear Decomposition</t>
  </si>
  <si>
    <t>jing-etal-2023-multi</t>
  </si>
  <si>
    <t>Multi-source Semantic Graph-based Multimodal Sarcasm Explanation Generation</t>
  </si>
  <si>
    <t>deng-etal-2023-counterfactual</t>
  </si>
  <si>
    <t>Counterfactual Active Learning for Out-of-Distribution Generalization</t>
  </si>
  <si>
    <t>ladhak-etal-2023-contrastive</t>
  </si>
  <si>
    <t>Contrastive Error Attribution for Finetuned Language Models</t>
  </si>
  <si>
    <t>bansal-etal-2023-rethinking</t>
  </si>
  <si>
    <t>Rethinking the Role of Scale for In-Context Learning: An Interpretability-based Case Study at 66 Billion Scale</t>
  </si>
  <si>
    <t>du-etal-2023-generalizing</t>
  </si>
  <si>
    <t>Generalizing Backpropagation for Gradient-Based Interpretability</t>
  </si>
  <si>
    <t>xu-etal-2023-towards</t>
  </si>
  <si>
    <t>Towards Open-World Product Attribute Mining: A Lightly-Supervised Approach</t>
  </si>
  <si>
    <t>storek-etal-2023-unsupervised</t>
  </si>
  <si>
    <t>Unsupervised Selective Rationalization with Noise Injection</t>
  </si>
  <si>
    <t>liu-etal-2023-mgr</t>
  </si>
  <si>
    <t>{MGR}: Multi-generator Based Rationalization</t>
  </si>
  <si>
    <t>ma-etal-2023-bump</t>
  </si>
  <si>
    <t>{BUMP}: A Benchmark of Unfaithful Minimal Pairs for Meta-Evaluation of Faithfulness Metrics</t>
  </si>
  <si>
    <t>kim-etal-2023-explainmeetsum</t>
  </si>
  <si>
    <t>{E}xplain{M}eet{S}um: A Dataset for Explainable Meeting Summarization Aligned with Human Intent</t>
  </si>
  <si>
    <t>yamasaki-etal-2023-holistic</t>
  </si>
  <si>
    <t>Holistic Prediction on a Time-Evolving Attributed Graph</t>
  </si>
  <si>
    <t>liscio-etal-2023-text</t>
  </si>
  <si>
    <t>What does a Text Classifier Learn about Morality? An Explainable Method for Cross-Domain Comparison of Moral Rhetoric</t>
  </si>
  <si>
    <t>zeng-etal-2023-seen</t>
  </si>
  <si>
    <t>Seen to Unseen: Exploring Compositional Generalization of Multi-Attribute Controllable Dialogue Generation</t>
  </si>
  <si>
    <t>zhang-etal-2023-reasoning</t>
  </si>
  <si>
    <t>Reasoning over Hierarchical Question Decomposition Tree for Explainable Question Answering</t>
  </si>
  <si>
    <t>nourbakhsh-etal-2023-using</t>
  </si>
  <si>
    <t>Using counterfactual contrast to improve compositional generalization for multi-step quantitative reasoning</t>
  </si>
  <si>
    <t>treviso-etal-2023-crest</t>
  </si>
  <si>
    <t>{CREST}: A Joint Framework for Rationalization and Counterfactual Text Generation</t>
  </si>
  <si>
    <t>wu-etal-2023-estimating</t>
  </si>
  <si>
    <t>Estimating the Uncertainty in Emotion Attributes using Deep Evidential Regression</t>
  </si>
  <si>
    <t>ramshetty-etal-2023-cross</t>
  </si>
  <si>
    <t>Cross-Modal Attribute Insertions for Assessing the Robustness of Vision-and-Language Learning</t>
  </si>
  <si>
    <t>yang-etal-2023-prototype</t>
  </si>
  <si>
    <t>Prototype-Guided Pseudo Labeling for Semi-Supervised Text Classification</t>
  </si>
  <si>
    <t>chakrabarty-etal-2022-rocket</t>
  </si>
  <si>
    <t>It{'}s not Rocket Science: Interpreting Figurative Language in Narratives</t>
  </si>
  <si>
    <t>dziri-etal-2022-evaluating</t>
  </si>
  <si>
    <t>Evaluating Attribution in Dialogue Systems: The {BEGIN} Benchmark</t>
  </si>
  <si>
    <t>thayaparan-etal-2022-diff</t>
  </si>
  <si>
    <t>Diff-Explainer: Differentiable Convex Optimization for Explainable Multi-hop Inference</t>
  </si>
  <si>
    <t>feder-etal-2022-causal</t>
  </si>
  <si>
    <t>Causal Inference in Natural Language Processing: Estimation, Prediction, Interpretation and Beyond</t>
  </si>
  <si>
    <t>sajjad-etal-2022-neuron</t>
  </si>
  <si>
    <t>Neuron-level Interpretation of Deep {NLP} Models: A Survey</t>
  </si>
  <si>
    <t>calabrese-etal-2022-explainable</t>
  </si>
  <si>
    <t>Explainable Abuse Detection as Intent Classification and Slot Filling</t>
  </si>
  <si>
    <t>dziri-etal-2022-faithdial</t>
  </si>
  <si>
    <t>{F}aith{D}ial: A Faithful Benchmark for Information-Seeking Dialogue</t>
  </si>
  <si>
    <t>modarressi-etal-2022-globenc</t>
  </si>
  <si>
    <t>{G}lob{E}nc: Quantifying Global Token Attribution by Incorporating the Whole Encoder Layer in Transformers</t>
  </si>
  <si>
    <t>sullivan-etal-2022-explaining</t>
  </si>
  <si>
    <t>Explaining Why: How Instructions and User Interfaces Impact Annotator Rationales When Labeling Text Data</t>
  </si>
  <si>
    <t>sridhar-yang-2022-explaining</t>
  </si>
  <si>
    <t>Explaining Toxic Text via Knowledge Enhanced Text Generation</t>
  </si>
  <si>
    <t>kim-etal-2022-cosim</t>
  </si>
  <si>
    <t>{C}o{SI}m: Commonsense Reasoning for Counterfactual Scene Imagination</t>
  </si>
  <si>
    <t>adewoyin-etal-2022-rstgen</t>
  </si>
  <si>
    <t>{RSTG}en: Imbuing Fine-Grained Interpretable Control into Long-{F}orm{T}ext Generators</t>
  </si>
  <si>
    <t>zhang-etal-2022-locally</t>
  </si>
  <si>
    <t>Locally Aggregated Feature Attribution on Natural Language Model Understanding</t>
  </si>
  <si>
    <t>balkir-etal-2022-necessity</t>
  </si>
  <si>
    <t>Necessity and Sufficiency for Explaining Text Classifiers: A Case Study in Hate Speech Detection</t>
  </si>
  <si>
    <t>qu-etal-2022-interpretable</t>
  </si>
  <si>
    <t>Interpretable Proof Generation via Iterative Backward Reasoning</t>
  </si>
  <si>
    <t>wang-etal-2022-rely</t>
  </si>
  <si>
    <t>Should We Rely on Entity Mentions for Relation Extraction? Debiasing Relation Extraction with Counterfactual Analysis</t>
  </si>
  <si>
    <t>kasai-etal-2022-transparent</t>
  </si>
  <si>
    <t>Transparent Human Evaluation for Image Captioning</t>
  </si>
  <si>
    <t>khashabi-etal-2022-prompt</t>
  </si>
  <si>
    <t>Prompt Waywardness: The Curious Case of Discretized Interpretation of Continuous Prompts</t>
  </si>
  <si>
    <t>iv-etal-2022-fruit</t>
  </si>
  <si>
    <t>{FRUIT}: Faithfully Reflecting Updated Information in Text</t>
  </si>
  <si>
    <t>chen-etal-2022-rationalization</t>
  </si>
  <si>
    <t>Can Rationalization Improve Robustness?</t>
  </si>
  <si>
    <t>sen-etal-2022-counterfactually</t>
  </si>
  <si>
    <t>Counterfactually Augmented Data and Unintended Bias: The Case of Sexism and Hate Speech Detection</t>
  </si>
  <si>
    <t>sun-etal-2022-semantically</t>
  </si>
  <si>
    <t>Semantically Informed Slang Interpretation</t>
  </si>
  <si>
    <t>wang-etal-2022-automatic</t>
  </si>
  <si>
    <t>Automatic Multi-Label Prompting: Simple and Interpretable Few-Shot Classification</t>
  </si>
  <si>
    <t>tang-etal-2022-confit</t>
  </si>
  <si>
    <t>{CONFIT}: Toward Faithful Dialogue Summarization with Linguistically-Informed Contrastive Fine-tuning</t>
  </si>
  <si>
    <t>khalid-lee-2022-explaining</t>
  </si>
  <si>
    <t>Explaining Dialogue Evaluation Metrics using Adversarial Behavioral Analysis</t>
  </si>
  <si>
    <t>yamada-etal-2022-annotation</t>
  </si>
  <si>
    <t>Annotation Study of {J}apanese Judgments on Tort for Legal Judgment Prediction with Rationales</t>
  </si>
  <si>
    <t>LREC</t>
  </si>
  <si>
    <t>przybyl-etal-2022-epic</t>
  </si>
  <si>
    <t>{EPIC} {U}d{S} - Creation and Applications of a Simultaneous Interpreting Corpus</t>
  </si>
  <si>
    <t>hladka-etal-2022-annotating</t>
  </si>
  <si>
    <t>Annotating Attribution in {C}zech News Server Articles</t>
  </si>
  <si>
    <t>frohberg-binder-2022-crass</t>
  </si>
  <si>
    <t>{CRASS}: A Novel Data Set and Benchmark to Test Counterfactual Reasoning of Large Language Models</t>
  </si>
  <si>
    <t>mertz-etal-2022-low</t>
  </si>
  <si>
    <t>A Low-Cost Motion Capture Corpus in {F}rench {S}ign {L}anguage for Interpreting Iconicity and Spatial Referencing Mechanisms</t>
  </si>
  <si>
    <t>mendez-guzman-etal-2022-rafola</t>
  </si>
  <si>
    <t>{R}a{F}o{L}a: A Rationale-Annotated Corpus for Detecting Indicators of Forced Labour</t>
  </si>
  <si>
    <t>bhattarai-etal-2022-convtexttm</t>
  </si>
  <si>
    <t>{C}onv{T}ext{TM}: An Explainable Convolutional Tsetlin Machine Framework for Text Classification</t>
  </si>
  <si>
    <t>cambria-etal-2022-senticnet</t>
  </si>
  <si>
    <t>{S}entic{N}et 7: A Commonsense-based Neurosymbolic {AI} Framework for Explainable Sentiment Analysis</t>
  </si>
  <si>
    <t>coeckelbergs-2022-pattern</t>
  </si>
  <si>
    <t>From Pattern to Interpretation. Using Colibri Core to Detect Translation Patterns in the Peshitta.</t>
  </si>
  <si>
    <t>prouteau-etal-2022-embedding</t>
  </si>
  <si>
    <t>Are Embedding Spaces Interpretable? Results of an Intrusion Detection Evaluation on a Large {F}rench Corpus</t>
  </si>
  <si>
    <t>luo-surdeanu-2022-step</t>
  </si>
  <si>
    <t>A {STEP} towards Interpretable Multi-Hop Reasoning:Bridge Phrase Identification and Query Expansion</t>
  </si>
  <si>
    <t>bhattarai-etal-2022-explainable</t>
  </si>
  <si>
    <t>Explainable Tsetlin Machine Framework for Fake News Detection with Credibility Score Assessment</t>
  </si>
  <si>
    <t>vishnubhotla-etal-2022-project</t>
  </si>
  <si>
    <t>The Project Dialogism Novel Corpus: A Dataset for Quotation Attribution in Literary Texts</t>
  </si>
  <si>
    <t>wang-riddell-2022-cctaa</t>
  </si>
  <si>
    <t>{CCTAA}: A Reproducible Corpus for {C}hinese Authorship Attribution Research</t>
  </si>
  <si>
    <t>lertvittayakumjorn-etal-2022-grasp</t>
  </si>
  <si>
    <t>{G}r{ASP}: A Library for Extracting and Exploring Human-Interpretable Textual Patterns</t>
  </si>
  <si>
    <t>wood-etal-2022-bayesian</t>
  </si>
  <si>
    <t>A {B}ayesian Topic Model for Human-Evaluated Interpretability</t>
  </si>
  <si>
    <t>le-etal-2022-vimqa</t>
  </si>
  <si>
    <t>{VIMQA}: A {V}ietnamese Dataset for Advanced Reasoning and Explainable Multi-hop Question Answering</t>
  </si>
  <si>
    <t>zhang-liu-2022-directquote</t>
  </si>
  <si>
    <t>{D}irect{Q}uote: A Dataset for Direct Quotation Extraction and Attribution in News Articles</t>
  </si>
  <si>
    <t>marasovic-etal-2022-shot</t>
  </si>
  <si>
    <t>Few-Shot Self-Rationalization with Natural Language Prompts</t>
  </si>
  <si>
    <t>hossain-etal-2022-question</t>
  </si>
  <si>
    <t>A Question-Answer Driven Approach to Reveal Affirmative Interpretations from Verbal Negations</t>
  </si>
  <si>
    <t>zhang-etal-2022-improving-faithfulness</t>
  </si>
  <si>
    <t>Improving the Faithfulness of Abstractive Summarization via Entity Coverage Control</t>
  </si>
  <si>
    <t>liu-etal-2022-learn</t>
  </si>
  <si>
    <t>Learn from Relation Information: Towards Prototype Representation Rectification for Few-Shot Relation Extraction</t>
  </si>
  <si>
    <t>xu-zhao-2022-jointly</t>
  </si>
  <si>
    <t>Jointly Learning Guidance Induction and Faithful Summary Generation via Conditional Variational Autoencoders</t>
  </si>
  <si>
    <t>yang-etal-2022-logicsolver</t>
  </si>
  <si>
    <t>{L}ogic{S}olver: Towards Interpretable Math Word Problem Solving with Logical Prompt-enhanced Learning</t>
  </si>
  <si>
    <t>chen-etal-2022-salient</t>
  </si>
  <si>
    <t>Salient Phrase Aware Dense Retrieval: Can a Dense Retriever Imitate a Sparse One?</t>
  </si>
  <si>
    <t>wang-etal-2022-smartave</t>
  </si>
  <si>
    <t>{SMARTAVE}: Structured Multimodal Transformer for Product Attribute Value Extraction</t>
  </si>
  <si>
    <t>liu-etal-2022-improve</t>
  </si>
  <si>
    <t>Improve Interpretability of Neural Networks via Sparse Contrastive Coding</t>
  </si>
  <si>
    <t>li-etal-2022-systematicity</t>
  </si>
  <si>
    <t>Systematicity in {GPT}-3{'}s Interpretation of Novel {E}nglish Noun Compounds</t>
  </si>
  <si>
    <t>jain-etal-2022-influence</t>
  </si>
  <si>
    <t>Influence Functions for Sequence Tagging Models</t>
  </si>
  <si>
    <t>dong-etal-2022-faithful</t>
  </si>
  <si>
    <t>Faithful to the Document or to the World? Mitigating Hallucinations via Entity-Linked Knowledge in Abstractive Summarization</t>
  </si>
  <si>
    <t>el-zini-awad-2022-beyond</t>
  </si>
  <si>
    <t>Beyond Model Interpretability: On the Faithfulness and Adversarial Robustness of Contrastive Textual Explanations</t>
  </si>
  <si>
    <t>madsen-etal-2022-evaluating</t>
  </si>
  <si>
    <t>Evaluating the Faithfulness of Importance Measures in {NLP} by Recursively Masking Allegedly Important Tokens and Retraining</t>
  </si>
  <si>
    <t>lee-goldwasser-2022-towards</t>
  </si>
  <si>
    <t>Towards Explaining Subjective Ground of Individuals on Social Media</t>
  </si>
  <si>
    <t>wen-etal-2022-autocad</t>
  </si>
  <si>
    <t>{A}uto{CAD}: Automatically Generate Counterfactuals for Mitigating Shortcut Learning</t>
  </si>
  <si>
    <t>palaskar-etal-2022-advances</t>
  </si>
  <si>
    <t>On Advances in Text Generation from Images Beyond Captioning: A Case Study in Self-Rationalization</t>
  </si>
  <si>
    <t>dixit-etal-2022-core</t>
  </si>
  <si>
    <t>{CORE}: A Retrieve-then-Edit Framework for Counterfactual Data Generation</t>
  </si>
  <si>
    <t>gunaratna-etal-2022-explainable</t>
  </si>
  <si>
    <t>Explainable Slot Type Attentions to Improve Joint Intent Detection and Slot Filling</t>
  </si>
  <si>
    <t>wu-etal-2022-frsum</t>
  </si>
  <si>
    <t>{FRSUM}: Towards Faithful Abstractive Summarization via Enhancing Factual Robustness</t>
  </si>
  <si>
    <t>adams-etal-2022-learning</t>
  </si>
  <si>
    <t>Learning to Revise References for Faithful Summarization</t>
  </si>
  <si>
    <t>geng-etal-2022-inducing</t>
  </si>
  <si>
    <t>Inducing Generalizable and Interpretable Lexica</t>
  </si>
  <si>
    <t>lamarre-etal-2022-attention</t>
  </si>
  <si>
    <t>Attention weights accurately predict language representations in the brain</t>
  </si>
  <si>
    <t>zhang-etal-2022-moba</t>
  </si>
  <si>
    <t>{MOBA}-{E}2{C}: Generating {MOBA} Game Commentaries via Capturing Highlight Events from the Meta-Data</t>
  </si>
  <si>
    <t>engler-etal-2022-sensepolar</t>
  </si>
  <si>
    <t>{S}ense{POLAR}: Word sense aware interpretability for pre-trained contextual word embeddings</t>
  </si>
  <si>
    <t>howard-etal-2022-neurocounterfactuals</t>
  </si>
  <si>
    <t>{N}euro{C}ounterfactuals: Beyond Minimal-Edit Counterfactuals for Richer Data Augmentation</t>
  </si>
  <si>
    <t>he-etal-2022-controlling</t>
  </si>
  <si>
    <t>Controlling Bias Exposure for Fair Interpretable Predictions</t>
  </si>
  <si>
    <t>sun-etal-2022-investigating</t>
  </si>
  <si>
    <t>Investigating the Benefits of Free-Form Rationales</t>
  </si>
  <si>
    <t>fang-zhang-2022-data</t>
  </si>
  <si>
    <t>Data-Efficient Concept Extraction from Pre-trained Language Models for Commonsense Explanation Generation</t>
  </si>
  <si>
    <t>qasemi-etal-2022-paco</t>
  </si>
  <si>
    <t>{P}a{C}o: Preconditions Attributed to Commonsense Knowledge</t>
  </si>
  <si>
    <t>zeng-etal-2022-contrastive</t>
  </si>
  <si>
    <t>Contrastive Learning with Prompt-derived Virtual Semantic Prototypes for Unsupervised Sentence Embedding</t>
  </si>
  <si>
    <t>cai-etal-2022-multi</t>
  </si>
  <si>
    <t>Multi-Scale Distribution Deep Variational Autoencoder for Explanation Generation</t>
  </si>
  <si>
    <t>xie-etal-2022-eider</t>
  </si>
  <si>
    <t>Eider: Empowering Document-level Relation Extraction with Efficient Evidence Extraction and Inference-stage Fusion</t>
  </si>
  <si>
    <t>mo-etal-2022-towards</t>
  </si>
  <si>
    <t>Towards Transparent Interactive Semantic Parsing via Step-by-Step Correction</t>
  </si>
  <si>
    <t>tuan-etal-2022-towards</t>
  </si>
  <si>
    <t>Towards Large-Scale Interpretable Knowledge Graph Reasoning for Dialogue Systems</t>
  </si>
  <si>
    <t>gupta-etal-2022-mitigating</t>
  </si>
  <si>
    <t>Mitigating Gender Bias in Distilled Language Models via Counterfactual Role Reversal</t>
  </si>
  <si>
    <t>su-etal-2022-read</t>
  </si>
  <si>
    <t>Read before Generate! Faithful Long Form Question Answering with Machine Reading</t>
  </si>
  <si>
    <t>li-etal-2022-using</t>
  </si>
  <si>
    <t>Using Interactive Feedback to Improve the Accuracy and Explainability of Question Answering Systems Post-Deployment</t>
  </si>
  <si>
    <t>ronnqvist-etal-2022-explaining</t>
  </si>
  <si>
    <t>Explaining Classes through Stable Word Attributions</t>
  </si>
  <si>
    <t>carton-etal-2022-learn</t>
  </si>
  <si>
    <t>What to Learn, and How: {T}oward Effective Learning from Rationales</t>
  </si>
  <si>
    <t>wang-etal-2022-novel</t>
  </si>
  <si>
    <t>A Novel Framework Based on Medical Concept Driven Attention for Explainable Medical Code Prediction via External Knowledge</t>
  </si>
  <si>
    <t>pezeshkpour-etal-2022-combining</t>
  </si>
  <si>
    <t>Combining Feature and Instance Attribution to Detect Artifacts</t>
  </si>
  <si>
    <t>wang-etal-2022-ranking</t>
  </si>
  <si>
    <t>Ranking-Constrained Learning with Rationales for Text Classification</t>
  </si>
  <si>
    <t>zhan-etal-2022-mitigating</t>
  </si>
  <si>
    <t>Mitigating the Inconsistency Between Word Saliency and Model Confidence with Pathological Contrastive Training</t>
  </si>
  <si>
    <t>liu-etal-2022-novel</t>
  </si>
  <si>
    <t>A Novel Perspective to Look At Attention: Bi-level Attention-based Explainable Topic Modeling for News Classification</t>
  </si>
  <si>
    <t>luo-etal-2022-interpretable</t>
  </si>
  <si>
    <t>Interpretable Research Replication Prediction via Variational Contextual Consistency Sentence Masking</t>
  </si>
  <si>
    <t>chen-etal-2022-e</t>
  </si>
  <si>
    <t>{E}-{KAR}: A Benchmark for Rationalizing Natural Language Analogical Reasoning</t>
  </si>
  <si>
    <t>zhang-etal-2022-interpreting</t>
  </si>
  <si>
    <t>Interpreting the Robustness of Neural {NLP} Models to Textual Perturbations</t>
  </si>
  <si>
    <t>zhang-etal-2022-focus</t>
  </si>
  <si>
    <t>Focus on the Action: Learning to Highlight and Summarize Jointly for Email To-Do Items Summarization</t>
  </si>
  <si>
    <t>fomicheva-etal-2022-translation</t>
  </si>
  <si>
    <t>Translation Error Detection as Rationale Extraction</t>
  </si>
  <si>
    <t>landsman-etal-2022-beamr</t>
  </si>
  <si>
    <t>{B}eam{R}: Beam Reweighing with Attribute Discriminators for Controllable Text Generation</t>
  </si>
  <si>
    <t>yin-neubig-2022-interpreting</t>
  </si>
  <si>
    <t>Interpreting Language Models with Contrastive Explanations</t>
  </si>
  <si>
    <t>mao-etal-2022-lightea</t>
  </si>
  <si>
    <t>{L}ight{EA}: A Scalable, Robust, and Interpretable Entity Alignment Framework via Three-view Label Propagation</t>
  </si>
  <si>
    <t>bastings-etal-2022-will</t>
  </si>
  <si>
    <t>``Will You Find These Shortcuts?'' A Protocol for Evaluating the Faithfulness of Input Salience Methods for Text Classification</t>
  </si>
  <si>
    <t>zaman-belinkov-2022-multilingual</t>
  </si>
  <si>
    <t>A Multilingual Perspective Towards the Evaluation of Attribution Methods in Natural Language Inference</t>
  </si>
  <si>
    <t>ou-etal-2022-counterfactual</t>
  </si>
  <si>
    <t>Counterfactual Data Augmentation via Perspective Transition for Open-Domain Dialogues</t>
  </si>
  <si>
    <t>tafjord-etal-2022-entailer</t>
  </si>
  <si>
    <t>Entailer: Answering Questions with Faithful and Truthful Chains of Reasoning</t>
  </si>
  <si>
    <t>he-etal-2022-cpl</t>
  </si>
  <si>
    <t>{CPL}: Counterfactual Prompt Learning for Vision and Language Models</t>
  </si>
  <si>
    <t>blevins-zettlemoyer-2022-language</t>
  </si>
  <si>
    <t>Language Contamination Helps Explains the Cross-lingual Capabilities of {E}nglish Pretrained Models</t>
  </si>
  <si>
    <t>mcinerney-etal-2022-thats</t>
  </si>
  <si>
    <t>That{'}s the Wrong Lung! Evaluating and Improving the Interpretability of Unsupervised Multimodal Encoders for Medical Data</t>
  </si>
  <si>
    <t>stacey-etal-2022-logical</t>
  </si>
  <si>
    <t>Logical Reasoning with Span-Level Predictions for Interpretable and Robust {NLI} Models</t>
  </si>
  <si>
    <t>currey-etal-2022-mt</t>
  </si>
  <si>
    <t>{MT}-{G}en{E}val: A Counterfactual and Contextual Dataset for Evaluating Gender Accuracy in Machine Translation</t>
  </si>
  <si>
    <t>wu-etal-2022-towards</t>
  </si>
  <si>
    <t>Towards Interactivity and Interpretability: A Rationale-based Legal Judgment Prediction Framework</t>
  </si>
  <si>
    <t>wang-etal-2022-analyzing</t>
  </si>
  <si>
    <t>Analyzing and Evaluating Faithfulness in Dialogue Summarization</t>
  </si>
  <si>
    <t>mao-etal-2022-explainable</t>
  </si>
  <si>
    <t>Explainable Question Answering based on Semantic Graph by Global Differentiable Learning and Dynamic Adaptive Reasoning</t>
  </si>
  <si>
    <t>lin-etal-2022-seen</t>
  </si>
  <si>
    <t>{SEEN}: Structured Event Enhancement Network for Explainable Need Detection of Information Recall Assistance</t>
  </si>
  <si>
    <t>cho-etal-2022-rethinking</t>
  </si>
  <si>
    <t>Rethinking Style Transformer with Energy-based Interpretation: Adversarial Unsupervised Style Transfer using a Pretrained Model</t>
  </si>
  <si>
    <t>liu-etal-2022-investigating</t>
  </si>
  <si>
    <t>Investigating the Robustness of Natural Language Generation from Logical Forms via Counterfactual Samples</t>
  </si>
  <si>
    <t>hossain-blanco-2022-leveraging</t>
  </si>
  <si>
    <t>Leveraging Affirmative Interpretations from Negation Improves Natural Language Understanding</t>
  </si>
  <si>
    <t>gangi-reddy-etal-2022-newsclaims</t>
  </si>
  <si>
    <t>{N}ews{C}laims: A New Benchmark for Claim Detection from News with Attribute Knowledge</t>
  </si>
  <si>
    <t>huang-etal-2022-deer</t>
  </si>
  <si>
    <t>{DEER}: Descriptive Knowledge Graph for Explaining Entity Relationships</t>
  </si>
  <si>
    <t>wu-etal-2022-precisely</t>
  </si>
  <si>
    <t>Precisely the Point: Adversarial Augmentations for Faithful and Informative Text Generation</t>
  </si>
  <si>
    <t>liu-etal-2022-rlet</t>
  </si>
  <si>
    <t>{RLET}: A Reinforcement Learning Based Approach for Explainable {QA} with Entailment Trees</t>
  </si>
  <si>
    <t>chemmengath-etal-2022-cat</t>
  </si>
  <si>
    <t>Let the {CAT} out of the bag: Contrastive Attributed explanations for Text</t>
  </si>
  <si>
    <t>liu-etal-2022-counterfactual</t>
  </si>
  <si>
    <t>Counterfactual Recipe Generation: Exploring Compositional Generalization in a Realistic Scenario</t>
  </si>
  <si>
    <t>ross-etal-2022-self</t>
  </si>
  <si>
    <t>Does Self-Rationalization Improve Robustness to Spurious Correlations?</t>
  </si>
  <si>
    <t>haghighatkhah-etal-2022-better</t>
  </si>
  <si>
    <t>Better Hit the Nail on the Head than Beat around the Bush: Removing Protected Attributes with a Single Projection</t>
  </si>
  <si>
    <t>ferrando-etal-2022-towards</t>
  </si>
  <si>
    <t>Towards Opening the Black Box of Neural Machine Translation: Source and Target Interpretations of the Transformer</t>
  </si>
  <si>
    <t>jain-etal-2022-extending</t>
  </si>
  <si>
    <t>Extending Logic Explained Networks to Text Classification</t>
  </si>
  <si>
    <t>patel-etal-2022-cripp</t>
  </si>
  <si>
    <t>{CRIPP}-{VQA}: Counterfactual Reasoning about Implicit Physical Properties via Video Question Answering</t>
  </si>
  <si>
    <t>zhang-etal-2022-symptom</t>
  </si>
  <si>
    <t>Symptom Identification for Interpretable Detection of Multiple Mental Disorders on Social Media</t>
  </si>
  <si>
    <t>zhao-etal-2022-towards</t>
  </si>
  <si>
    <t>Towards Efficient Dialogue Pre-training with Transferable and Interpretable Latent Structure</t>
  </si>
  <si>
    <t>li-etal-2022-human</t>
  </si>
  <si>
    <t>Human Guided Exploitation of Interpretable Attention Patterns in Summarization and Topic Segmentation</t>
  </si>
  <si>
    <t>kolluru-etal-2022-covid</t>
  </si>
  <si>
    <t>``Covid vaccine is against Covid but {O}xford vaccine is made at {O}xford!'' Semantic Interpretation of Proper Noun Compounds</t>
  </si>
  <si>
    <t>aglionby-teufel-2022-faithful</t>
  </si>
  <si>
    <t>Faithful Knowledge Graph Explanations in Commonsense Question Answering</t>
  </si>
  <si>
    <t>jiang-etal-2022-im2</t>
  </si>
  <si>
    <t>{IM}2: an Interpretable and Multi-category Integrated Metric Framework for Automatic Dialogue Evaluation</t>
  </si>
  <si>
    <t>udomcharoenchaikit-etal-2022-mitigating</t>
  </si>
  <si>
    <t>Mitigating Spurious Correlation in Natural Language Understanding with Counterfactual Inference</t>
  </si>
  <si>
    <t>de-raedt-etal-2022-robustifying</t>
  </si>
  <si>
    <t>Robustifying Sentiment Classification by Maximally Exploiting Few Counterfactuals</t>
  </si>
  <si>
    <t>wang-etal-2022-improving</t>
  </si>
  <si>
    <t>Improving Faithfulness by Augmenting Negative Summaries from Fake Documents</t>
  </si>
  <si>
    <t>han-etal-2022-hierarchical</t>
  </si>
  <si>
    <t>Hierarchical Attention Network for Explainable Depression Detection on {T}witter Aided by Metaphor Concept Mappings</t>
  </si>
  <si>
    <t>wachsmuth-alshomary-2022-mama</t>
  </si>
  <si>
    <t>``Mama Always Had a Way of Explaining Things So {I} Could Understand'': A Dialogue Corpus for Learning to Construct Explanations</t>
  </si>
  <si>
    <t>bashier-etal-2022-locally</t>
  </si>
  <si>
    <t>Locally Distributed Activation Vectors for Guided Feature Attribution</t>
  </si>
  <si>
    <t>ge-etal-2022-e</t>
  </si>
  <si>
    <t>{E}-{V}ar{M}: Enhanced Variational Word Masks to Improve the Interpretability of Text Classification Models</t>
  </si>
  <si>
    <t>amplayo-etal-2022-attribute</t>
  </si>
  <si>
    <t>Attribute Injection for Pretrained Language Models: A New Benchmark and an Efficient Method</t>
  </si>
  <si>
    <t>park-lee-2022-lime</t>
  </si>
  <si>
    <t>{LIME}: Weakly-Supervised Text Classification without Seeds</t>
  </si>
  <si>
    <t>alghanmi-etal-2022-self</t>
  </si>
  <si>
    <t>Self-Supervised Intermediate Fine-Tuning of Biomedical Language Models for Interpreting Patient Case Descriptions</t>
  </si>
  <si>
    <t>wang-etal-2022-locate</t>
  </si>
  <si>
    <t>Locate Then Ask: Interpretable Stepwise Reasoning for Multi-hop Question Answering</t>
  </si>
  <si>
    <t>ji-etal-2022-shot</t>
  </si>
  <si>
    <t>Few-shot Named Entity Recognition with Entity-level Prototypical Network Enhanced by Dispersedly Distributed Prototypes</t>
  </si>
  <si>
    <t>yu-etal-2022-dependency</t>
  </si>
  <si>
    <t>Dependency-aware Prototype Learning for Few-shot Relation Classification</t>
  </si>
  <si>
    <t>yang-etal-2022-coarse</t>
  </si>
  <si>
    <t>A Coarse-to-fine Cascaded Evidence-Distillation Neural Network for Explainable Fake News Detection</t>
  </si>
  <si>
    <t>igamberdiev-etal-2022-dp</t>
  </si>
  <si>
    <t>{DP}-Rewrite: Towards Reproducibility and Transparency in Differentially Private Text Rewriting</t>
  </si>
  <si>
    <t>lymperaiou-etal-2022-towards</t>
  </si>
  <si>
    <t>Towards Explainable Evaluation of Language Models on the Semantic Similarity of Visual Concepts</t>
  </si>
  <si>
    <t>poelman-etal-2022-transparent</t>
  </si>
  <si>
    <t>Transparent Semantic Parsing with {U}niversal {D}ependencies Using Graph Transformations</t>
  </si>
  <si>
    <t>mosca-etal-2022-shap</t>
  </si>
  <si>
    <t>{SHAP}-Based Explanation Methods: A Review for {NLP} Interpretability</t>
  </si>
  <si>
    <t>wachowiak-gromann-2022-systematic</t>
  </si>
  <si>
    <t>Systematic Analysis of Image Schemas in Natural Language through Explainable Multilingual Neural Language Processing</t>
  </si>
  <si>
    <t>li-etal-2022-tip</t>
  </si>
  <si>
    <t>A-{TIP}: Attribute-aware Text Infilling via Pre-trained Language Model</t>
  </si>
  <si>
    <t>liu-etal-2022-multi-attribute</t>
  </si>
  <si>
    <t>Multi-Attribute Controlled Text Generation with Contrastive-Generator and External-Discriminator</t>
  </si>
  <si>
    <t>aich-etal-2022-demystifying</t>
  </si>
  <si>
    <t>Demystifying Neural Fake News via Linguistic Feature-Based Interpretation</t>
  </si>
  <si>
    <t>kim-etal-2022-hate</t>
  </si>
  <si>
    <t>Why Is It Hate Speech? Masked Rationale Prediction for Explainable Hate Speech Detection</t>
  </si>
  <si>
    <t>zhang-etal-2022-sentiment</t>
  </si>
  <si>
    <t>Sentiment Interpretable Logic Tensor Network for Aspect-Term Sentiment Analysis</t>
  </si>
  <si>
    <t>yan-etal-2022-hierarchical</t>
  </si>
  <si>
    <t>Hierarchical Interpretation of Neural Text Classification</t>
  </si>
  <si>
    <t>chrysostomou-2022-explainable</t>
  </si>
  <si>
    <t>Explainable Natural Language Processing</t>
  </si>
  <si>
    <t>zhang-ma-2022-dual</t>
  </si>
  <si>
    <t>Dual Attention Model for Citation Recommendation with Analyses on Explainability of Attention Mechanisms and Qualitative Experiments</t>
  </si>
  <si>
    <t>paperno-2022-learning</t>
  </si>
  <si>
    <t>On Learning Interpreted Languages with Recurrent Models</t>
  </si>
  <si>
    <t>shen-etal-2022-shortest</t>
  </si>
  <si>
    <t>Are Shortest Rationales the Best Explanations for Human Understanding?</t>
  </si>
  <si>
    <t>tolkachev-etal-2022-counterfactual</t>
  </si>
  <si>
    <t>Counterfactual Explanations for Natural Language Interfaces</t>
  </si>
  <si>
    <t>shinzato-etal-2022-simple</t>
  </si>
  <si>
    <t>Simple and Effective Knowledge-Driven Query Expansion for {QA}-Based Product Attribute Extraction</t>
  </si>
  <si>
    <t>li-etal-2022-learning</t>
  </si>
  <si>
    <t>Learning to Imagine: Integrating Counterfactual Thinking in Neural Discrete Reasoning</t>
  </si>
  <si>
    <t>geng-etal-2022-improving</t>
  </si>
  <si>
    <t>Improving Personalized Explanation Generation through Visualization</t>
  </si>
  <si>
    <t>du-etal-2022-e</t>
  </si>
  <si>
    <t>e-{CARE}: a New Dataset for Exploring Explainable Causal Reasoning</t>
  </si>
  <si>
    <t>sanyal-etal-2022-fairr</t>
  </si>
  <si>
    <t>{F}ai{RR}: Faithful and Robust Deductive Reasoning over Natural Language</t>
  </si>
  <si>
    <t>ladhak-etal-2022-faithful</t>
  </si>
  <si>
    <t>Faithful or Extractive? On Mitigating the Faithfulness-Abstractiveness Trade-off in Abstractive Summarization</t>
  </si>
  <si>
    <t>paranjape-etal-2022-retrieval</t>
  </si>
  <si>
    <t>Retrieval-guided Counterfactual Generation for {QA}</t>
  </si>
  <si>
    <t>yin-etal-2022-sensitivity</t>
  </si>
  <si>
    <t>On the Sensitivity and Stability of Model Interpretations in {NLP}</t>
  </si>
  <si>
    <t>das-etal-2022-prototex</t>
  </si>
  <si>
    <t>{P}roto{TE}x: Explaining Model Decisions with Prototype Tensors</t>
  </si>
  <si>
    <t>majumder-etal-2022-achieving</t>
  </si>
  <si>
    <t>Achieving Conversational Goals with Unsupervised Post-hoc Knowledge Injection</t>
  </si>
  <si>
    <t>gupta-etal-2022-right</t>
  </si>
  <si>
    <t>Right for the Right Reason: Evidence Extraction for Trustworthy Tabular Reasoning</t>
  </si>
  <si>
    <t>joshi-he-2022-investigation</t>
  </si>
  <si>
    <t>An Investigation of the (In)effectiveness of Counterfactually Augmented Data</t>
  </si>
  <si>
    <t>liu-etal-2022-saliency</t>
  </si>
  <si>
    <t>Saliency as Evidence: Event Detection with Trigger Saliency Attribution</t>
  </si>
  <si>
    <t>yang-etal-2022-interpretable</t>
  </si>
  <si>
    <t>An Interpretable Neuro-Symbolic Reasoning Framework for Task-Oriented Dialogue Generation</t>
  </si>
  <si>
    <t>chan-etal-2022-comparative</t>
  </si>
  <si>
    <t>A Comparative Study of Faithfulness Metrics for Model Interpretability Methods</t>
  </si>
  <si>
    <t>park-caragea-2022-calibration</t>
  </si>
  <si>
    <t>On the Calibration of Pre-trained Language Models using Mixup Guided by Area Under the Margin and Saliency</t>
  </si>
  <si>
    <t>cuesta-lazaro-etal-2022-sea</t>
  </si>
  <si>
    <t>What does the sea say to the shore? A {BERT} based {DST} style approach for speaker to dialogue attribution in novels</t>
  </si>
  <si>
    <t>ju-etal-2022-logic</t>
  </si>
  <si>
    <t>Logic Traps in Evaluating Attribution Scores</t>
  </si>
  <si>
    <t>lee-etal-2022-toward</t>
  </si>
  <si>
    <t>Toward Interpretable Semantic Textual Similarity via Optimal Transport-based Contrastive Sentence Learning</t>
  </si>
  <si>
    <t>boldsen-etal-2022-interpreting</t>
  </si>
  <si>
    <t>Interpreting Character Embeddings With Perceptual Representations: The Case of Shape, Sound, and Color</t>
  </si>
  <si>
    <t>lu-etal-2022-rationale</t>
  </si>
  <si>
    <t>A Rationale-Centric Framework for Human-in-the-loop Machine Learning</t>
  </si>
  <si>
    <t>liu-etal-2022-mpii</t>
  </si>
  <si>
    <t>{MPII}: Multi-Level Mutual Promotion for Inference and Interpretation</t>
  </si>
  <si>
    <t>kaneko-etal-2022-interpretability</t>
  </si>
  <si>
    <t>Interpretability for Language Learners Using Example-Based Grammatical Error Correction</t>
  </si>
  <si>
    <t>zhai-etal-2022-adversarial</t>
  </si>
  <si>
    <t>Adversarial Authorship Attribution for Deobfuscation</t>
  </si>
  <si>
    <t>calderon-etal-2022-docogen</t>
  </si>
  <si>
    <t>{D}o{C}o{G}en: {D}omain Counterfactual Generation for Low Resource Domain Adaptation</t>
  </si>
  <si>
    <t>mosca-etal-2022-suspicious</t>
  </si>
  <si>
    <t>``That Is a Suspicious Reaction!'': Interpreting Logits Variation to Detect {NLP} Adversarial Attacks</t>
  </si>
  <si>
    <t>pham-etal-2022-double</t>
  </si>
  <si>
    <t>Double Trouble: How to not Explain a Text Classifier{'}s Decisions Using Counterfactuals Synthesized by Masked Language Models?</t>
  </si>
  <si>
    <t>van-aken-etal-2022-patient</t>
  </si>
  <si>
    <t>This Patient Looks Like That Patient: Prototypical Networks for Interpretable Diagnosis Prediction from Clinical Text</t>
  </si>
  <si>
    <t>hudecek-dusek-2022-learning</t>
  </si>
  <si>
    <t>Learning Interpretable Latent Dialogue Actions With Less Supervision</t>
  </si>
  <si>
    <t>opitz-frank-2022-sbert</t>
  </si>
  <si>
    <t>{SBERT} studies Meaning Representations: Decomposing Sentence Embeddings into Explainable Semantic Features</t>
  </si>
  <si>
    <t>ai-etal-2022-whodunit</t>
  </si>
  <si>
    <t>Whodunit? Learning to Contrast for Authorship Attribution</t>
  </si>
  <si>
    <t>elazar-etal-2021-amnesic</t>
  </si>
  <si>
    <t>Amnesic Probing: Behavioral Explanation with Amnesic Counterfactuals</t>
  </si>
  <si>
    <t>jacovi-goldberg-2021-aligning</t>
  </si>
  <si>
    <t>Aligning Faithful Interpretations with their Social Attribution</t>
  </si>
  <si>
    <t>lyu-etal-2021-neural</t>
  </si>
  <si>
    <t>Neural {OCR} Post-Hoc Correction of Historical Corpora</t>
  </si>
  <si>
    <t>lamm-etal-2021-qed</t>
  </si>
  <si>
    <t>{QED}: A Framework and Dataset for Explanations in Question Answering</t>
  </si>
  <si>
    <t>liu-etal-2021-counterfactual</t>
  </si>
  <si>
    <t>Counterfactual Data Augmentation for Neural Machine Translation</t>
  </si>
  <si>
    <t>chalkidis-etal-2021-paragraph</t>
  </si>
  <si>
    <t>Paragraph-level Rationale Extraction through Regularization: A case study on {E}uropean Court of Human Rights Cases</t>
  </si>
  <si>
    <t>du-etal-2021-towards</t>
  </si>
  <si>
    <t>Towards Interpreting and Mitigating Shortcut Learning Behavior of {NLU} models</t>
  </si>
  <si>
    <t>pezeshkpour-etal-2021-empirical</t>
  </si>
  <si>
    <t>An Empirical Comparison of Instance Attribution Methods for {NLP}</t>
  </si>
  <si>
    <t>liang-etal-2021-explainable</t>
  </si>
  <si>
    <t>Explainable Multi-hop Verbal Reasoning Through Internal Monologue</t>
  </si>
  <si>
    <t>porada-etal-2021-modeling</t>
  </si>
  <si>
    <t>Modeling Event Plausibility with Consistent Conceptual Abstraction</t>
  </si>
  <si>
    <t>wu-etal-2021-counterfactual</t>
  </si>
  <si>
    <t>Counterfactual Supporting Facts Extraction for Explainable Medical Record Based Diagnosis with Graph Network</t>
  </si>
  <si>
    <t>khanehzar-etal-2021-framing</t>
  </si>
  <si>
    <t>Framing Unpacked: A Semi-Supervised Interpretable Multi-View Model of Media Frames</t>
  </si>
  <si>
    <t>patel-etal-2021-game</t>
  </si>
  <si>
    <t>Game-theoretic Vocabulary Selection via the Shapley Value and Banzhaf Index</t>
  </si>
  <si>
    <t>turcan-etal-2021-emotion</t>
  </si>
  <si>
    <t>Emotion-Infused Models for Explainable Psychological Stress Detection</t>
  </si>
  <si>
    <t>zhu-etal-2021-faithfully</t>
  </si>
  <si>
    <t>Faithfully Explainable Recommendation via Neural Logic Reasoning</t>
  </si>
  <si>
    <t>chen-li-2021-zs</t>
  </si>
  <si>
    <t>{ZS}-{BERT}: Towards Zero-Shot Relation Extraction with Attribute Representation Learning</t>
  </si>
  <si>
    <t>saha-etal-2021-multiprover</t>
  </si>
  <si>
    <t>multi{PR}over: Generating Multiple Proofs for Improved Interpretability in Rule Reasoning</t>
  </si>
  <si>
    <t>verga-etal-2021-adaptable</t>
  </si>
  <si>
    <t>Adaptable and Interpretable Neural {M}emory{O}ver Symbolic Knowledge</t>
  </si>
  <si>
    <t>doogan-buntine-2021-topic</t>
  </si>
  <si>
    <t>Topic Model or Topic Twaddle? Re-evaluating Semantic Interpretability Measures</t>
  </si>
  <si>
    <t>zhang-etal-2021-double</t>
  </si>
  <si>
    <t>Double Perturbation: On the Robustness of Robustness and Counterfactual Bias Evaluation</t>
  </si>
  <si>
    <t>chen-etal-2021-explaining</t>
  </si>
  <si>
    <t>Explaining Neural Network Predictions on Sentence Pairs via Learning Word-Group Masks</t>
  </si>
  <si>
    <t>montariol-etal-2021-scalable</t>
  </si>
  <si>
    <t>Scalable and Interpretable Semantic Change Detection</t>
  </si>
  <si>
    <t>ding-koehn-2021-evaluating</t>
  </si>
  <si>
    <t>Evaluating Saliency Methods for Neural Language Models</t>
  </si>
  <si>
    <t>chen-etal-2021-improving</t>
  </si>
  <si>
    <t>Improving Faithfulness in Abstractive Summarization with Contrast Candidate Generation and Selection</t>
  </si>
  <si>
    <t>mehta-etal-2021-latex</t>
  </si>
  <si>
    <t>{LATEX}-Numeric: Language Agnostic Text Attribute Extraction for Numeric Attributes</t>
  </si>
  <si>
    <t>samarinas-etal-2021-improving</t>
  </si>
  <si>
    <t>Improving Evidence Retrieval for Automated Explainable Fact-Checking</t>
  </si>
  <si>
    <t>kokalj-etal-2021-bert</t>
  </si>
  <si>
    <t>{BERT} meets Shapley: Extending {SHAP} Explanations to Transformer-based Classifiers</t>
  </si>
  <si>
    <t>xie-etal-2021-factual-consistency</t>
  </si>
  <si>
    <t>Factual Consistency Evaluation for Text Summarization via Counterfactual Estimation</t>
  </si>
  <si>
    <t>fu-etal-2021-decomposing-complex</t>
  </si>
  <si>
    <t>Decomposing Complex Questions Makes Multi-Hop {QA} Easier and More Interpretable</t>
  </si>
  <si>
    <t>ferrando-costa-jussa-2021-attention-weights</t>
  </si>
  <si>
    <t>Attention Weights in Transformer {NMT} Fail Aligning Words Between Sequences but Largely Explain Model Predictions</t>
  </si>
  <si>
    <t>lai-etal-2021-saliency-based</t>
  </si>
  <si>
    <t>Saliency-based Multi-View Mixed Language Training for Zero-shot Cross-lingual Classification</t>
  </si>
  <si>
    <t>su-etal-2021-shot-table</t>
  </si>
  <si>
    <t>Few-Shot Table-to-Text Generation with Prototype Memory</t>
  </si>
  <si>
    <t>tian-etal-2021-hypogen-hyperbole</t>
  </si>
  <si>
    <t>{H}ypo{G}en: Hyperbole Generation with Commonsense and Counterfactual Knowledge</t>
  </si>
  <si>
    <t>yu-etal-2021-attribute-alignment</t>
  </si>
  <si>
    <t>Attribute Alignment: Controlling Text Generation from Pre-trained Language Models</t>
  </si>
  <si>
    <t>beloucif-biemann-2021-probing-pre</t>
  </si>
  <si>
    <t>Probing Pre-trained Language Models for Semantic Attributes and their Values</t>
  </si>
  <si>
    <t>mishra-etal-2021-modeling-users</t>
  </si>
  <si>
    <t>Modeling Users and Online Communities for Abuse Detection: A Position on Ethics and Explainability</t>
  </si>
  <si>
    <t>jin-etal-2021-msd-saliency</t>
  </si>
  <si>
    <t>{MSD}: Saliency-aware Knowledge Distillation for Multimodal Understanding</t>
  </si>
  <si>
    <t>robeer-etal-2021-generating-realistic</t>
  </si>
  <si>
    <t>Generating Realistic Natural Language Counterfactuals</t>
  </si>
  <si>
    <t>zhao-etal-2021-attend-memorize</t>
  </si>
  <si>
    <t>Attend, Memorize and Generate: Towards Faithful Table-to-Text Generation in Few Shots</t>
  </si>
  <si>
    <t>zhang-etal-2021-noahqa-numerical</t>
  </si>
  <si>
    <t>{NOAHQA}: Numerical Reasoning with Interpretable Graph Question Answering Dataset</t>
  </si>
  <si>
    <t>altakrori-etal-2021-topic-confusion</t>
  </si>
  <si>
    <t>The Topic Confusion Task: A Novel Evaluation Scenario for Authorship Attribution</t>
  </si>
  <si>
    <t>lee-etal-2021-micromodels-efficient</t>
  </si>
  <si>
    <t>Micromodels for Efficient, Explainable, and Reusable Systems: A Case Study on Mental Health</t>
  </si>
  <si>
    <t>han-tsvetkov-2021-influence-tuning</t>
  </si>
  <si>
    <t>Influence Tuning: Demoting Spurious Correlations via Instance Attribution and Instance-Driven Updates</t>
  </si>
  <si>
    <t>wang-etal-2021-counterfactual-adversarial</t>
  </si>
  <si>
    <t>Counterfactual Adversarial Learning with Representation Interpolation</t>
  </si>
  <si>
    <t>thayaparan-etal-2021-explainable</t>
  </si>
  <si>
    <t>Explainable Inference Over Grounding-Abstract Chains for Science Questions</t>
  </si>
  <si>
    <t>zhang-etal-2021-improving</t>
  </si>
  <si>
    <t>From What to Why: Improving Relation Extraction with Rationale Graph</t>
  </si>
  <si>
    <t>ren-etal-2021-prediction</t>
  </si>
  <si>
    <t>Prediction or Comparison: Toward Interpretable Qualitative Reasoning</t>
  </si>
  <si>
    <t>li-etal-2021-meet</t>
  </si>
  <si>
    <t>Meet The Truth: Leverage Objective Facts and Subjective Views for Interpretable Rumor Detection</t>
  </si>
  <si>
    <t>antognini-faltings-2021-rationalization</t>
  </si>
  <si>
    <t>Rationalization through Concepts</t>
  </si>
  <si>
    <t>tucker-etal-2021-modified</t>
  </si>
  <si>
    <t>What if This Modified That? Syntactic Interventions with Counterfactual Embeddings</t>
  </si>
  <si>
    <t>xu-etal-2021-dynamic</t>
  </si>
  <si>
    <t>Dynamic Semantic Graph Construction and Reasoning for Explainable Multi-hop Science Question Answering</t>
  </si>
  <si>
    <t>tan-etal-2021-gcrc</t>
  </si>
  <si>
    <t>{GCRC}: A New Challenging {MRC} Dataset from {G}aokao {C}hinese for Explainable Evaluation</t>
  </si>
  <si>
    <t>wan-etal-2021-enhancing</t>
  </si>
  <si>
    <t>Enhancing Metaphor Detection by Gloss-based Interpretations</t>
  </si>
  <si>
    <t>feng-etal-2021-empowering</t>
  </si>
  <si>
    <t>Empowering Language Understanding with Counterfactual Reasoning</t>
  </si>
  <si>
    <t>zhang-etal-2021-ma</t>
  </si>
  <si>
    <t>{MA}-{BERT}: Learning Representation by Incorporating Multi-Attribute Knowledge in Transformers</t>
  </si>
  <si>
    <t>ponkiya-etal-2021-framenet</t>
  </si>
  <si>
    <t>{F}rame{N}et-assisted Noun Compound Interpretation</t>
  </si>
  <si>
    <t>yoon-etal-2021-ssmix</t>
  </si>
  <si>
    <t>{SSM}ix: Saliency-Based Span Mixup for Text Classification</t>
  </si>
  <si>
    <t>garcia-olano-etal-2021-biomedical</t>
  </si>
  <si>
    <t>Biomedical Interpretable Entity Representations</t>
  </si>
  <si>
    <t>zafar-etal-2021-lack</t>
  </si>
  <si>
    <t>On the Lack of Robust Interpretability of Neural Text Classifiers</t>
  </si>
  <si>
    <t>ross-etal-2021-explaining</t>
  </si>
  <si>
    <t>Explaining {NLP} Models via Minimal Contrastive Editing ({M}i{CE})</t>
  </si>
  <si>
    <t>sun-marasovic-2021-effective</t>
  </si>
  <si>
    <t>Effective Attention Sheds Light On Interpretability</t>
  </si>
  <si>
    <t>paranjape-etal-2021-prompting</t>
  </si>
  <si>
    <t>Prompting Contrastive Explanations for Commonsense Reasoning Tasks</t>
  </si>
  <si>
    <t>dawkins-2021-marked</t>
  </si>
  <si>
    <t>Marked Attribute Bias in Natural Language Inference</t>
  </si>
  <si>
    <t>wang-etal-2021-sketch</t>
  </si>
  <si>
    <t>Sketch and Refine: Towards Faithful and Informative Table-to-Text Generation</t>
  </si>
  <si>
    <t>liu-etal-2021-highlight</t>
  </si>
  <si>
    <t>Highlight-Transformer: Leveraging Key Phrase Aware Attention to Improve Abstractive Multi-Document Summarization</t>
  </si>
  <si>
    <t>srikanth-li-2021-elaborative</t>
  </si>
  <si>
    <t>Elaborative Simplification: Content Addition and Explanation Generation in Text Simplification</t>
  </si>
  <si>
    <t>chen-etal-2021-reinforced</t>
  </si>
  <si>
    <t>Reinforced Counterfactual Data Augmentation for Dual Sentiment Classification</t>
  </si>
  <si>
    <t>sen-etal-2021-counterfactually</t>
  </si>
  <si>
    <t>How Does Counterfactually Augmented Data Impact Models for Social Computing Constructs?</t>
  </si>
  <si>
    <t>rajagopal-etal-2021-selfexplain</t>
  </si>
  <si>
    <t>{SELFEXPLAIN}: A Self-Explaining Architecture for Neural Text Classifiers</t>
  </si>
  <si>
    <t>falke-lehnen-2021-feedback</t>
  </si>
  <si>
    <t>Feedback Attribution for Counterfactual Bandit Learning in Multi-Domain Spoken Language Understanding</t>
  </si>
  <si>
    <t>jacovi-etal-2021-contrastive</t>
  </si>
  <si>
    <t>Contrastive Explanations for Model Interpretability</t>
  </si>
  <si>
    <t>bursztyn-etal-2021-doesnt</t>
  </si>
  <si>
    <t>``It doesn{'}t look good for a date'': Transforming Critiques into Preferences for Conversational Recommendation Systems</t>
  </si>
  <si>
    <t>saxon-etal-2021-modeling</t>
  </si>
  <si>
    <t>Modeling Disclosive Transparency in {NLP} Application Descriptions</t>
  </si>
  <si>
    <t>situ-etal-2021-lifelong</t>
  </si>
  <si>
    <t>Lifelong Explainer for Lifelong Learners</t>
  </si>
  <si>
    <t>zhang-etal-2021-abstract</t>
  </si>
  <si>
    <t>Abstract, Rationale, Stance: A Joint Model for Scientific Claim Verification</t>
  </si>
  <si>
    <t>ju-etal-2021-enhancing</t>
  </si>
  <si>
    <t>Enhancing Multiple-choice Machine Reading Comprehension by Punishing Illogical Interpretations</t>
  </si>
  <si>
    <t>shi-etal-2021-neural</t>
  </si>
  <si>
    <t>Neural Natural Logic Inference for Interpretable Question Answering</t>
  </si>
  <si>
    <t>lakhotia-etal-2021-fid</t>
  </si>
  <si>
    <t>{F}i{D}-Ex: Improving Sequence-to-Sequence Models for Extractive Rationale Generation</t>
  </si>
  <si>
    <t>shi-etal-2021-transfernet</t>
  </si>
  <si>
    <t>{T}ransfer{N}et: An Effective and Transparent Framework for Multi-hop Question Answering over Relation Graph</t>
  </si>
  <si>
    <t>balashankar-etal-2021-improve</t>
  </si>
  <si>
    <t>Can We Improve Model Robustness through Secondary Attribute Counterfactuals?</t>
  </si>
  <si>
    <t>lai-etal-2021-learning</t>
  </si>
  <si>
    <t>Learning Prototype Representations Across Few-Shot Tasks for Event Detection</t>
  </si>
  <si>
    <t>ye-etal-2021-connecting</t>
  </si>
  <si>
    <t>Connecting Attributions and {QA} Model Behavior on Realistic Counterfactuals</t>
  </si>
  <si>
    <t>jayaram-allaway-2021-human</t>
  </si>
  <si>
    <t>Human Rationales as Attribution Priors for Explainable Stance Detection</t>
  </si>
  <si>
    <t>fern-pope-2021-text</t>
  </si>
  <si>
    <t>Text Counterfactuals via Latent Optimization and {S}hapley-Guided Search</t>
  </si>
  <si>
    <t>guerreiro-martins-2021-spectra</t>
  </si>
  <si>
    <t>{SPECTRA}: Sparse Structured Text Rationalization</t>
  </si>
  <si>
    <t>cao-wang-2021-cliff</t>
  </si>
  <si>
    <t>{CLIFF}: Contrastive Learning for Improving Faithfulness and Factuality in Abstractive Summarization</t>
  </si>
  <si>
    <t>schioppa-etal-2021-controlling</t>
  </si>
  <si>
    <t>Controlling Machine Translation for Multiple Attributes with Additive Interventions</t>
  </si>
  <si>
    <t>zhao-etal-2021-good</t>
  </si>
  <si>
    <t>It Is Not As Good As You Think! Evaluating Simultaneous Machine Translation on Interpretation Data</t>
  </si>
  <si>
    <t>oneill-etal-2021-wish</t>
  </si>
  <si>
    <t>{I} Wish {I} Would Have Loved This One, But {I} Didn{'}t {--} A Multilingual Dataset for Counterfactual Detection in Product Review</t>
  </si>
  <si>
    <t>dalvi-etal-2021-explaining</t>
  </si>
  <si>
    <t>Explaining Answers with Entailment Trees</t>
  </si>
  <si>
    <t>chrysostomou-aletras-2021-enjoy</t>
  </si>
  <si>
    <t>Enjoy the Salience: Towards Better Transformer-based Faithful Explanations with Word Salience</t>
  </si>
  <si>
    <t>bhardwaj-etal-2021-adversarial</t>
  </si>
  <si>
    <t>Adversarial Attacks on Knowledge Graph Embeddings via Instance Attribution Methods</t>
  </si>
  <si>
    <t>lv-etal-2021-multi</t>
  </si>
  <si>
    <t>Is Multi-Hop Reasoning Really Explainable? Towards Benchmarking Reasoning Interpretability</t>
  </si>
  <si>
    <t>kaster-etal-2021-global</t>
  </si>
  <si>
    <t>Global Explainability of {BERT}-Based Evaluation Metrics by Disentangling along Linguistic Factors</t>
  </si>
  <si>
    <t>wiegreffe-etal-2021-measuring</t>
  </si>
  <si>
    <t>{M}easuring Association Between Labels and Free-Text Rationales</t>
  </si>
  <si>
    <t>sanyal-ren-2021-discretized</t>
  </si>
  <si>
    <t>Discretized Integrated Gradients for Explaining Language Models</t>
  </si>
  <si>
    <t>vafa-etal-2021-rationales</t>
  </si>
  <si>
    <t>Rationales for Sequential Predictions</t>
  </si>
  <si>
    <t>guo-etal-2021-fastif</t>
  </si>
  <si>
    <t>{F}ast{IF}: Scalable Influence Functions for Efficient Model Interpretation and Debugging</t>
  </si>
  <si>
    <t>bhat-etal-2021-self</t>
  </si>
  <si>
    <t>Self-training with Few-shot Rationalization</t>
  </si>
  <si>
    <t>wang-etal-2021-mode</t>
  </si>
  <si>
    <t>Mode Effects' Challenge to Authorship Attribution</t>
  </si>
  <si>
    <t>opitz-frank-2021-towards</t>
  </si>
  <si>
    <t>Towards a Decomposable Metric for Explainable Evaluation of Text Generation from {AMR}</t>
  </si>
  <si>
    <t>munir-etal-2021-looking</t>
  </si>
  <si>
    <t>Through the Looking Glass: Learning to Attribute Synthetic Text Generated by Language Models</t>
  </si>
  <si>
    <t>fu-grishman-2021-learning</t>
  </si>
  <si>
    <t>Learning Relatedness between Types with Prototypes for Relation Extraction</t>
  </si>
  <si>
    <t>li-etal-2021-scientific</t>
  </si>
  <si>
    <t>Scientific Discourse Tagging for Evidence Extraction</t>
  </si>
  <si>
    <t>moradi-etal-2021-measuring</t>
  </si>
  <si>
    <t>Measuring and Improving Faithfulness of Attention in Neural Machine Translation</t>
  </si>
  <si>
    <t>bashier-etal-2021-disk</t>
  </si>
  <si>
    <t>{DISK}-{CSV}: Distilling Interpretable Semantic Knowledge with a Class Semantic Vector</t>
  </si>
  <si>
    <t>ruzsics-etal-2021-interpretability</t>
  </si>
  <si>
    <t>Interpretability for Morphological Inflection: from Character-level Predictions to Subword-level Rules</t>
  </si>
  <si>
    <t>feder-etal-2021-causalm</t>
  </si>
  <si>
    <t>{C}ausa{LM}: Causal Model Explanation Through Counterfactual Language Models</t>
  </si>
  <si>
    <t>agarwal-etal-2021-interpretability</t>
  </si>
  <si>
    <t>Interpretability Analysis for Named Entity Recognition to Understand System Predictions and How They Can Improve</t>
  </si>
  <si>
    <t>nangi-etal-2021-counterfactuals</t>
  </si>
  <si>
    <t>Counterfactuals to Control Latent Disentangled Text Representations for Style Transfer</t>
  </si>
  <si>
    <t>ethayarajh-jurafsky-2021-attention</t>
  </si>
  <si>
    <t>Attention Flows are Shapley Value Explanations</t>
  </si>
  <si>
    <t>meister-etal-2021-sparse</t>
  </si>
  <si>
    <t>Is Sparse Attention more Interpretable?</t>
  </si>
  <si>
    <t>wang-etal-2021-quotation</t>
  </si>
  <si>
    <t>Quotation Recommendation and Interpretation Based on Transformation from Queries to Quotations</t>
  </si>
  <si>
    <t>wu-etal-2021-unified</t>
  </si>
  <si>
    <t>Unified Dual-view Cognitive Model for Interpretable Claim Verification</t>
  </si>
  <si>
    <t>cui-etal-2021-refining</t>
  </si>
  <si>
    <t>Refining Sample Embeddings with Relation Prototypes to Enhance Continual Relation Extraction</t>
  </si>
  <si>
    <t>yang-etal-2021-exploring</t>
  </si>
  <si>
    <t>Exploring the Efficacy of Automatically Generated Counterfactuals for Sentiment Analysis</t>
  </si>
  <si>
    <t>sevastjanova-etal-2021-explaining</t>
  </si>
  <si>
    <t>Explaining Contextualization in Language Models using Visual Analytics</t>
  </si>
  <si>
    <t>chrysostomou-aletras-2021-improving</t>
  </si>
  <si>
    <t>Improving the Faithfulness of Attention-based Explanations with Task-specific Information for Text Classification</t>
  </si>
  <si>
    <t>jiang-wilson-2021-structurizing</t>
  </si>
  <si>
    <t>Structurizing Misinformation Stories via Rationalizing Fact-Checks</t>
  </si>
  <si>
    <t>rashkin-etal-2021-increasing</t>
  </si>
  <si>
    <t>Increasing Faithfulness in Knowledge-Grounded Dialogue with Controllable Features</t>
  </si>
  <si>
    <t>balashankar-subramanian-2021-learning</t>
  </si>
  <si>
    <t>Learning Faithful Representations of Causal Graphs</t>
  </si>
  <si>
    <t>sikdar-etal-2021-integrated</t>
  </si>
  <si>
    <t>Integrated Directional Gradients: Feature Interaction Attribution for Neural {NLP} Models</t>
  </si>
  <si>
    <t>wang-etal-2021-voxpopuli</t>
  </si>
  <si>
    <t>{V}ox{P}opuli: A Large-Scale Multilingual Speech Corpus for Representation Learning, Semi-Supervised Learning and Interpretation</t>
  </si>
  <si>
    <t>garbacea-etal-2021-explainable</t>
  </si>
  <si>
    <t>Explainable Prediction of Text Complexity: The Missing Preliminaries for Text Simplification</t>
  </si>
  <si>
    <t>luu-etal-2021-explaining</t>
  </si>
  <si>
    <t>Explaining Relationships Between Scientific Documents</t>
  </si>
  <si>
    <t>cao-etal-2021-irene</t>
  </si>
  <si>
    <t>{I}r{E}ne: Interpretable Energy Prediction for Transformers</t>
  </si>
  <si>
    <t>du-etal-2021-excar</t>
  </si>
  <si>
    <t>{E}x{CAR}: Event Graph Knowledge Enhanced Explainable Causal Reasoning</t>
  </si>
  <si>
    <t>samanta-etal-2021-hierarchical</t>
  </si>
  <si>
    <t>A Hierarchical {VAE} for Calibrating Attributes while Generating Text using Normalizing Flow</t>
  </si>
  <si>
    <t>chen-etal-2021-kace</t>
  </si>
  <si>
    <t>{KACE}: Generating Knowledge Aware Contrastive Explanations for Natural Language Inference</t>
  </si>
  <si>
    <t>yao-etal-2021-interpretable</t>
  </si>
  <si>
    <t>Interpretable and Low-Resource Entity Matching via Decoupling Feature Learning from Decision Making</t>
  </si>
  <si>
    <t>kanwatchara-etal-2021-rational</t>
  </si>
  <si>
    <t>Rational {LAMOL}: A Rationale-based Lifelong Learning Framework</t>
  </si>
  <si>
    <t>pugoy-kao-2021-unsupervised</t>
  </si>
  <si>
    <t>Unsupervised Extractive Summarization-Based Representations for Accurate and Explainable Collaborative Filtering</t>
  </si>
  <si>
    <t>hofmann-etal-2021-superbizarre</t>
  </si>
  <si>
    <t>Superbizarre Is Not Superb: Derivational Morphology Improves {BERT}{'}s Interpretation of Complex Words</t>
  </si>
  <si>
    <t>chen-etal-2021-cross-language</t>
  </si>
  <si>
    <t>Cross-language Sentence Selection via Data Augmentation and Rationale Training</t>
  </si>
  <si>
    <t>chang-etal-2021-convolutions</t>
  </si>
  <si>
    <t>Convolutions and Self-Attention: {R}e-interpreting Relative Positions in Pre-trained Language Models</t>
  </si>
  <si>
    <t>yan-etal-2021-adatag</t>
  </si>
  <si>
    <t>{A}da{T}ag: Multi-Attribute Value Extraction from Product Profiles with Adaptive Decoding</t>
  </si>
  <si>
    <t>hu-etal-2021-r2d2</t>
  </si>
  <si>
    <t>{R}2{D}2: Recursive Transformer based on Differentiable Tree for Interpretable Hierarchical Language Modeling</t>
  </si>
  <si>
    <t>li-etal-2021-personalized</t>
  </si>
  <si>
    <t>Personalized Transformer for Explainable Recommendation</t>
  </si>
  <si>
    <t>jiang-etal-2021-alignment</t>
  </si>
  <si>
    <t>Alignment Rationale for Natural Language Inference</t>
  </si>
  <si>
    <t>zhang-etal-2021-sample</t>
  </si>
  <si>
    <t>On Sample Based Explanation Methods for {NLP}: Faithfulness, Efficiency and Semantic Evaluation</t>
  </si>
  <si>
    <t>qian-etal-2021-counterfactual</t>
  </si>
  <si>
    <t>Counterfactual Inference for Text Classification Debiasing</t>
  </si>
  <si>
    <t>kamigaito-hayashi-2021-unified</t>
  </si>
  <si>
    <t>Unified Interpretation of Softmax Cross-Entropy and Negative Sampling: With Case Study for Knowledge Graph Embedding</t>
  </si>
  <si>
    <t>huang-etal-2021-exploring</t>
  </si>
  <si>
    <t>Exploring Distantly-Labeled Rationales in Neural Network Models</t>
  </si>
  <si>
    <t>aralikatte-etal-2021-focus</t>
  </si>
  <si>
    <t>Focus Attention: Promoting Faithfulness and Diversity in Summarization</t>
  </si>
  <si>
    <t>wu-etal-2021-polyjuice</t>
  </si>
  <si>
    <t>Polyjuice: Generating Counterfactuals for Explaining, Evaluating, and Improving Models</t>
  </si>
  <si>
    <t>lu-etal-2021-inter</t>
  </si>
  <si>
    <t>{I}nter-{GPS}: Interpretable Geometry Problem Solving with Formal Language and Symbolic Reasoning</t>
  </si>
  <si>
    <t>xu-durrett-2021-dissecting</t>
  </si>
  <si>
    <t>Dissecting Generation Modes for Abstractive Summarization Models via Ablation and Attribution</t>
  </si>
  <si>
    <t>wong-etal-2021-cross</t>
  </si>
  <si>
    <t>Cross-replication Reliability - An Empirical Approach to Interpreting Inter-rater Reliability</t>
  </si>
  <si>
    <t>emami-etal-2021-adept</t>
  </si>
  <si>
    <t>{ADEPT}: An Adjective-Dependent Plausibility Task</t>
  </si>
  <si>
    <t>aghajanyan-etal-2021-intrinsic</t>
  </si>
  <si>
    <t>Intrinsic Dimensionality Explains the Effectiveness of Language Model Fine-Tuning</t>
  </si>
  <si>
    <t>lin-etal-2020-adjusting</t>
  </si>
  <si>
    <t>Adjusting Image Attributes of Localized Regions with Low-level Dialogue</t>
  </si>
  <si>
    <t>wu-etal-2020-getting</t>
  </si>
  <si>
    <t>Getting To Know You: User Attribute Extraction from Dialogues</t>
  </si>
  <si>
    <t>chaturvedi-etal-2020-development</t>
  </si>
  <si>
    <t>Development of a Corpus Annotated with Medications and their Attributes in Psychiatric Health Records</t>
  </si>
  <si>
    <t>lee-etal-2020-squad2</t>
  </si>
  <si>
    <t>{SQ}u{AD}2-{CR}: Semi-supervised Annotation for Cause and Rationales for Unanswerability in {SQ}u{AD} 2.0</t>
  </si>
  <si>
    <t>zayed-etal-2020-figure</t>
  </si>
  <si>
    <t>Figure Me Out: A Gold Standard Dataset for Metaphor Interpretation</t>
  </si>
  <si>
    <t>hasegawa-etal-2020-word</t>
  </si>
  <si>
    <t>Word Attribute Prediction Enhanced by Lexical Entailment Tasks</t>
  </si>
  <si>
    <t>huang-etal-2020-reducing</t>
  </si>
  <si>
    <t>Reducing Sentiment Bias in Language Models via Counterfactual Evaluation</t>
  </si>
  <si>
    <t>russo-etal-2020-control</t>
  </si>
  <si>
    <t>Control, Generate, Augment: A Scalable Framework for Multi-Attribute Text Generation</t>
  </si>
  <si>
    <t>onoe-durrett-2020-interpretable</t>
  </si>
  <si>
    <t>Interpretable Entity Representations through Large-Scale Typing</t>
  </si>
  <si>
    <t>mrini-etal-2020-rethinking</t>
  </si>
  <si>
    <t>Rethinking Self-Attention: Towards Interpretability in Neural Parsing</t>
  </si>
  <si>
    <t>filippova-2020-controlled</t>
  </si>
  <si>
    <t>Controlled Hallucinations: Learning to Generate Faithfully from Noisy Data</t>
  </si>
  <si>
    <t>glockner-etal-2020-think</t>
  </si>
  <si>
    <t>Why do you think that? Exploring Faithful Sentence-Level Rationales Without Supervision</t>
  </si>
  <si>
    <t>wu-etal-2020-improving-knowledge</t>
  </si>
  <si>
    <t>Improving Knowledge-Aware Dialogue Response Generation by Using Human-Written Prototype Dialogues</t>
  </si>
  <si>
    <t>chen-etal-2020-knowledge</t>
  </si>
  <si>
    <t>A Knowledge-Driven Approach to Classifying Object and Attribute Coreferences in Opinion Mining</t>
  </si>
  <si>
    <t>yang-etal-2020-robust</t>
  </si>
  <si>
    <t>Robust and Interpretable Grounding of Spatial References with Relation Networks</t>
  </si>
  <si>
    <t>kung-etal-2020-zero</t>
  </si>
  <si>
    <t>Zero-Shot Rationalization by Multi-Task Transfer Learning from Question Answering</t>
  </si>
  <si>
    <t>shnarch-etal-2020-unsupervised</t>
  </si>
  <si>
    <t>Unsupervised Expressive Rules Provide Explainability and Assist Human Experts Grasping New Domains</t>
  </si>
  <si>
    <t>marasovic-etal-2020-natural</t>
  </si>
  <si>
    <t>Natural Language Rationales with Full-Stack Visual Reasoning: From Pixels to Semantic Frames to Commonsense Graphs</t>
  </si>
  <si>
    <t>shin-etal-2020-neutralizing</t>
  </si>
  <si>
    <t>Neutralizing Gender Bias in Word Embeddings with Latent Disentanglement and Counterfactual Generation</t>
  </si>
  <si>
    <t>rajagopal-etal-2020-ask</t>
  </si>
  <si>
    <t>What-if {I} ask you to explain: Explaining the effects of perturbations in procedural text</t>
  </si>
  <si>
    <t>kim-etal-2020-arramon</t>
  </si>
  <si>
    <t>{A}rra{M}on: A Joint Navigation-Assembly Instruction Interpretation Task in Dynamic Environments</t>
  </si>
  <si>
    <t>pruthi-etal-2020-weakly</t>
  </si>
  <si>
    <t>Weakly- and Semi-supervised Evidence Extraction</t>
  </si>
  <si>
    <t>huang-etal-2020-generalizable</t>
  </si>
  <si>
    <t>Generalizable and Explainable Dialogue Generation via Explicit Action Learning</t>
  </si>
  <si>
    <t>hu-yang-2020-privnet</t>
  </si>
  <si>
    <t>{P}riv{N}et: Safeguarding Private Attributes in Transfer Learning for Recommendation</t>
  </si>
  <si>
    <t>saha-etal-2020-prover</t>
  </si>
  <si>
    <t>{PR}over: Proof Generation for Interpretable Reasoning over Rules</t>
  </si>
  <si>
    <t>zanzotto-etal-2020-kermit</t>
  </si>
  <si>
    <t>{KERMIT}: Complementing Transformer Architectures with Encoders of Explicit Syntactic Interpretations</t>
  </si>
  <si>
    <t>qin-etal-2020-back</t>
  </si>
  <si>
    <t>Back to the Future: Unsupervised Backprop-based Decoding for Counterfactual and Abductive Commonsense Reasoning</t>
  </si>
  <si>
    <t>sarkar-etal-2020-social</t>
  </si>
  <si>
    <t>Social Media Attributions in the Context of Water Crisis</t>
  </si>
  <si>
    <t>feng-etal-2020-explainable</t>
  </si>
  <si>
    <t>Explainable Clinical Decision Support from Text</t>
  </si>
  <si>
    <t>tsai-etal-2020-multimodal</t>
  </si>
  <si>
    <t>Multimodal Routing: Improving Local and Global Interpretability of Multimodal Language Analysis</t>
  </si>
  <si>
    <t>paranjape-etal-2020-information</t>
  </si>
  <si>
    <t>An Information Bottleneck Approach for Controlling Conciseness in Rationale Extraction</t>
  </si>
  <si>
    <t>chen-qian-2020-enhancing</t>
  </si>
  <si>
    <t>Enhancing Aspect Term Extraction with Soft Prototypes</t>
  </si>
  <si>
    <t>zhu-etal-2020-multimodal</t>
  </si>
  <si>
    <t>Multimodal Joint Attribute Prediction and Value Extraction for {E}-commerce Product</t>
  </si>
  <si>
    <t>chen-li-2020-henin</t>
  </si>
  <si>
    <t>{HENIN}: Learning Heterogeneous Neural Interaction Networks for Explainable Cyberbullying Detection on Social Media</t>
  </si>
  <si>
    <t>weng-etal-2020-towards</t>
  </si>
  <si>
    <t>Towards Enhancing Faithfulness for Neural Machine Translation</t>
  </si>
  <si>
    <t>kim-etal-2020-interpretation</t>
  </si>
  <si>
    <t>Interpretation of {NLP} models through input marginalization</t>
  </si>
  <si>
    <t>jiang-etal-2020-cold</t>
  </si>
  <si>
    <t>Cold-Start and Interpretability: Turning Regular Expressions into Trainable Recurrent Neural Networks</t>
  </si>
  <si>
    <t>ramnath-etal-2020-towards</t>
  </si>
  <si>
    <t>Towards Interpreting {BERT} for Reading Comprehension Based {QA}</t>
  </si>
  <si>
    <t>de-cao-etal-2020-decisions</t>
  </si>
  <si>
    <t>How do Decisions Emerge across Layers in Neural Models? Interpretation with Differentiable Masking</t>
  </si>
  <si>
    <t>atanasova-etal-2020-diagnostic</t>
  </si>
  <si>
    <t>A Diagnostic Study of Explainability Techniques for Text Classification</t>
  </si>
  <si>
    <t>liang-etal-2020-learning</t>
  </si>
  <si>
    <t>Learning to Contrast the Counterfactual Samples for Robust Visual Question Answering</t>
  </si>
  <si>
    <t>zhu-etal-2020-counterfactual</t>
  </si>
  <si>
    <t>Counterfactual Off-Policy Training for Neural Dialogue Generation</t>
  </si>
  <si>
    <t>sen-etal-2020-learning</t>
  </si>
  <si>
    <t>Learning Explainable Linguistic Expressions with Neural Inductive Logic Programming for Sentence Classification</t>
  </si>
  <si>
    <t>chen-ji-2020-learning</t>
  </si>
  <si>
    <t>Learning Variational Word Masks to Improve the Interpretability of Neural Text Classifiers</t>
  </si>
  <si>
    <t>fu-etal-2020-sscr</t>
  </si>
  <si>
    <t>{SSCR}: Iterative Language-Based Image Editing via Self-Supervised Counterfactual Reasoning</t>
  </si>
  <si>
    <t>ethayarajh-jurafsky-2020-utility</t>
  </si>
  <si>
    <t>Utility is in the Eye of the User: A Critique of {NLP} Leaderboards</t>
  </si>
  <si>
    <t>tigunova-etal-2020-charm</t>
  </si>
  <si>
    <t>{CHARM}: Inferring Personal Attributes from Conversations</t>
  </si>
  <si>
    <t>fu-etal-2020-interpretable</t>
  </si>
  <si>
    <t>Interpretable Multi-dataset Evaluation for Named Entity Recognition</t>
  </si>
  <si>
    <t>pasca-2020-interpreting</t>
  </si>
  <si>
    <t>Interpreting Open-Domain Modifiers: Decomposition of {W}ikipedia Categories into Disambiguated Property-Value Pairs</t>
  </si>
  <si>
    <t>desai-etal-2020-compressive</t>
  </si>
  <si>
    <t>Compressive Summarization with Plausibility and Salience Modeling</t>
  </si>
  <si>
    <t>cho-etal-2020-better</t>
  </si>
  <si>
    <t>Better Highlighting: Creating Sub-Sentence Summary Highlights</t>
  </si>
  <si>
    <t>liu-etal-2020-exploring</t>
  </si>
  <si>
    <t>Exploring and Evaluating Attributes, Values, and Structures for Entity Alignment</t>
  </si>
  <si>
    <t>choi-etal-2020-less</t>
  </si>
  <si>
    <t>Less is More: Attention Supervision with Counterfactuals for Text Classification</t>
  </si>
  <si>
    <t>ren-etal-2020-towards</t>
  </si>
  <si>
    <t>Towards Interpretable Reasoning over Paragraph Effects in Situation</t>
  </si>
  <si>
    <t>zeng-etal-2020-counterfactual</t>
  </si>
  <si>
    <t>Counterfactual Generator: A Weakly-Supervised Method for Named Entity Recognition</t>
  </si>
  <si>
    <t>kotonya-toni-2020-explainable-automated</t>
  </si>
  <si>
    <t>Explainable Automated Fact-Checking for Public Health Claims</t>
  </si>
  <si>
    <t>pratapa-etal-2020-constrained</t>
  </si>
  <si>
    <t>{C}onstrained {F}act {V}erification for {FEVER}</t>
  </si>
  <si>
    <t>uchendu-etal-2020-authorship</t>
  </si>
  <si>
    <t>Authorship Attribution for Neural Text Generation</t>
  </si>
  <si>
    <t>liu-etal-2020-knowledge</t>
  </si>
  <si>
    <t>Knowledge-guided Open Attribute Value Extraction with Reinforcement Learning</t>
  </si>
  <si>
    <t>kim-linzen-2020-cogs</t>
  </si>
  <si>
    <t>{COGS}: A Compositional Generalization Challenge Based on Semantic Interpretation</t>
  </si>
  <si>
    <t>carton-etal-2020-evaluating</t>
  </si>
  <si>
    <t>Evaluating and Characterizing Human Rationales</t>
  </si>
  <si>
    <t>jindal-etal-2020-killed</t>
  </si>
  <si>
    <t>Is Killed More Significant than Fled? A Contextual Model for Salient Event Detection</t>
  </si>
  <si>
    <t>boenninghoff-etal-2020-variational</t>
  </si>
  <si>
    <t>Variational Autoencoder with Embedded Student-t Mixture Model for Authorship Attribution</t>
  </si>
  <si>
    <t>sen-etal-2020-schema</t>
  </si>
  <si>
    <t>Schema Aware Semantic Reasoning for Interpreting Natural Language Queries in Enterprise Settings</t>
  </si>
  <si>
    <t>le-zuidema-2020-dolfin</t>
  </si>
  <si>
    <t>{D}o{LFI}n: Distributions over Latent Features for Interpretability</t>
  </si>
  <si>
    <t>bashier-etal-2020-rancc</t>
  </si>
  <si>
    <t>{RANCC}: Rationalizing Neural Networks via Concept Clustering</t>
  </si>
  <si>
    <t>aloui-etal-2020-slice</t>
  </si>
  <si>
    <t>{SLICE}: Supersense-based Lightweight Interpretable Contextual Embeddings</t>
  </si>
  <si>
    <t>branco-etal-2020-comparative</t>
  </si>
  <si>
    <t>Comparative Probing of Lexical Semantics Theories for Cognitive Plausibility and Technological Usefulness</t>
  </si>
  <si>
    <t>donatelli-etal-2020-two</t>
  </si>
  <si>
    <t>A Two-Level Interpretation of Modality in Human-Robot Dialogue</t>
  </si>
  <si>
    <t>sarathy-etal-2020-reasoning</t>
  </si>
  <si>
    <t>Reasoning Requirements for Indirect Speech Act Interpretation</t>
  </si>
  <si>
    <t>tran-etal-2020-explain</t>
  </si>
  <si>
    <t>Explain by Evidence: An Explainable Memory-based Neural Network for Question Answering</t>
  </si>
  <si>
    <t>kotonya-toni-2020-explainable</t>
  </si>
  <si>
    <t>Explainable Automated Fact-Checking: A Survey</t>
  </si>
  <si>
    <t>yuan-etal-2020-faithfulness</t>
  </si>
  <si>
    <t>On the Faithfulness for {E}-commerce Product Summarization</t>
  </si>
  <si>
    <t>yang-etal-2020-generating</t>
  </si>
  <si>
    <t>Generating Plausible Counterfactual Explanations for Deep Transformers in Financial Text Classification</t>
  </si>
  <si>
    <t>liao-etal-2020-explainable</t>
  </si>
  <si>
    <t>Explainable and Sparse Representations of Academic Articles for Knowledge Exploration</t>
  </si>
  <si>
    <t>yu-etal-2020-bridging</t>
  </si>
  <si>
    <t>Bridging Text and Knowledge with Multi-Prototype Embedding for Few-Shot Relational Triple Extraction</t>
  </si>
  <si>
    <t>xu-etal-2020-embedding</t>
  </si>
  <si>
    <t>Embedding Dynamic Attributed Networks by Modeling the Evolution Processes</t>
  </si>
  <si>
    <t>pedinotti-lenci-2020-dont</t>
  </si>
  <si>
    <t>Don{'}t Invite {BERT} to Drink a Bottle: Modeling the Interpretation of Metonymies Using {BERT} and Distributional Representations</t>
  </si>
  <si>
    <t>sarkhel-etal-2020-interpretable</t>
  </si>
  <si>
    <t>Interpretable Multi-headed Attention for Abstractive Summarization at Controllable Lengths</t>
  </si>
  <si>
    <t>lu-li-2020-gcan</t>
  </si>
  <si>
    <t>{GCAN}: Graph-aware Co-Attention Networks for Explainable Fake News Detection on Social Media</t>
  </si>
  <si>
    <t>gonen-etal-2020-simple</t>
  </si>
  <si>
    <t>Simple, Interpretable and Stable Method for Detecting Words with Usage Change across Corpora</t>
  </si>
  <si>
    <t>zhou-etal-2020-interpretable</t>
  </si>
  <si>
    <t>Interpretable Operational Risk Classification with Semi-Supervised Variational Autoencoder</t>
  </si>
  <si>
    <t>zhong-etal-2020-interpreting</t>
  </si>
  <si>
    <t>Interpreting {T}witter User Geolocation</t>
  </si>
  <si>
    <t>wu-etal-2020-dtca</t>
  </si>
  <si>
    <t>{DTCA}: Decision Tree-based Co-Attention Networks for Explainable Claim Verification</t>
  </si>
  <si>
    <t>wang-etal-2020-towards</t>
  </si>
  <si>
    <t>Towards Faithful Neural Table-to-Text Generation with Content-Matching Constraints</t>
  </si>
  <si>
    <t>maynez-etal-2020-faithfulness</t>
  </si>
  <si>
    <t>On Faithfulness and Factuality in Abstractive Summarization</t>
  </si>
  <si>
    <t>chen-etal-2020-towards</t>
  </si>
  <si>
    <t>Towards Interpretable Clinical Diagnosis with {B}ayesian Network Ensembles Stacked on Entity-Aware {CNN}s</t>
  </si>
  <si>
    <t>niu-etal-2020-self</t>
  </si>
  <si>
    <t>A Self-Training Method for Machine Reading Comprehension with Soft Evidence Extraction</t>
  </si>
  <si>
    <t>wu-etal-2020-perturbed</t>
  </si>
  <si>
    <t>Perturbed Masking: Parameter-free Probing for Analyzing and Interpreting {BERT}</t>
  </si>
  <si>
    <t>jacovi-goldberg-2020-towards</t>
  </si>
  <si>
    <t>Towards Faithfully Interpretable {NLP} Systems: How Should We Define and Evaluate Faithfulness?</t>
  </si>
  <si>
    <t>mohankumar-etal-2020-towards</t>
  </si>
  <si>
    <t>Towards Transparent and Explainable Attention Models</t>
  </si>
  <si>
    <t>deyoung-etal-2020-eraser</t>
  </si>
  <si>
    <t>{ERASER}: {A} Benchmark to Evaluate Rationalized {NLP} Models</t>
  </si>
  <si>
    <t>jain-etal-2020-learning</t>
  </si>
  <si>
    <t>{L}earning to Faithfully Rationalize by Construction</t>
  </si>
  <si>
    <t>durmus-etal-2020-feqa</t>
  </si>
  <si>
    <t>{FEQA}: A Question Answering Evaluation Framework for Faithfulness Assessment in Abstractive Summarization</t>
  </si>
  <si>
    <t>kennedy-etal-2020-contextualizing</t>
  </si>
  <si>
    <t>Contextualizing Hate Speech Classifiers with Post-hoc Explanation</t>
  </si>
  <si>
    <t>hase-bansal-2020-evaluating</t>
  </si>
  <si>
    <t>Evaluating Explainable {AI}: Which Algorithmic Explanations Help Users Predict Model Behavior?</t>
  </si>
  <si>
    <t>han-etal-2020-explaining</t>
  </si>
  <si>
    <t>Explaining Black Box Predictions and Unveiling Data Artifacts through Influence Functions</t>
  </si>
  <si>
    <t>subramanian-etal-2020-obtaining</t>
  </si>
  <si>
    <t>Obtaining Faithful Interpretations from Compositional Neural Networks</t>
  </si>
  <si>
    <t>swanson-etal-2020-rationalizing</t>
  </si>
  <si>
    <t>Rationalizing Text Matching: {L}earning Sparse Alignments via Optimal Transport</t>
  </si>
  <si>
    <t>ravfogel-etal-2020-null</t>
  </si>
  <si>
    <t>Null It Out: Guarding Protected Attributes by Iterative Nullspace Projection</t>
  </si>
  <si>
    <t>rajani-etal-2020-esprit</t>
  </si>
  <si>
    <t>{ESPRIT}: Explaining Solutions to Physical Reasoning Tasks</t>
  </si>
  <si>
    <t>zhang-etal-2020-learning-interpretable</t>
  </si>
  <si>
    <t>Learning Interpretable Relationships between Entities, Relations and Concepts via {B}ayesian Structure Learning on Open Domain Facts</t>
  </si>
  <si>
    <t>wang-etal-2020-rationalizing</t>
  </si>
  <si>
    <t>Rationalizing Medical Relation Prediction from Corpus-level Statistics</t>
  </si>
  <si>
    <t>kumar-talukdar-2020-nile</t>
  </si>
  <si>
    <t>{NILE} : Natural Language Inference with Faithful Natural Language Explanations</t>
  </si>
  <si>
    <t>rambelli-etal-2020-comparing</t>
  </si>
  <si>
    <t>Comparing Probabilistic, Distributional and Transformer-Based Models on Logical Metonymy Interpretation</t>
  </si>
  <si>
    <t>danilevsky-etal-2020-survey</t>
  </si>
  <si>
    <t>A Survey of the State of Explainable {AI} for Natural Language Processing</t>
  </si>
  <si>
    <t>liao-etal-2020-explaining</t>
  </si>
  <si>
    <t>Explaining Word Embeddings via Disentangled Representation</t>
  </si>
  <si>
    <t>kanouchi-etal-2020-may</t>
  </si>
  <si>
    <t>You May Like This Hotel Because ...: Identifying Evidence for Explainable Recommendations</t>
  </si>
  <si>
    <t>explanation interpretability using the F1 score between the Predictor’s predictions and the TRUE feature activations</t>
  </si>
  <si>
    <t>Transparency at the Source: Evaluating and Interpreting Language Models With Access to the TRUE Distribution</t>
  </si>
  <si>
    <t>gemini pdf output {
"is_xai_interpretable": TRUE,
"has_explanation_evaluation": TRUE,
"has_significance_testing": FALSE,
"tests": [],
"p_values": [],
"evidence": ["incorporate critiques in natural language format", "integrating the interpretability and structured critique of LLM-as-the-judge", "validate the effectiveness of generated critiques in rectifying flawed reasoning steps"],
"confidence": 1.0
}</t>
  </si>
  <si>
    <t>Identifying and Answering Questions with FALSE Assumptions: An Interpretable Approach</t>
  </si>
  <si>
    <t>gradient-based data attribution and show they
agree in identifying influential training data
for in-domain target tasks.</t>
  </si>
  <si>
    <t>We evaluated the similarity of the
generated rationales using ROUGE-L (Lin, 2004)
on a sample of 100 essays to analyze the diver-
sity in how LLMs generate them. Additionally,
we measured the faithfulness of LLM-generated rationales to the predicted multi-trait scores, using
a proxy method from prior studies (Wiegreffe et al.,
2020; Jain et al., 2020; Li et al., 2023)</t>
  </si>
  <si>
    <t xml:space="preserve"> we employ BLEU
and ROUGE to assess the quality of our method’s
outputs. The BLEU scores, akin to the “Precision",
evaluates the overlap of k-grams between generated
and reference sentences, while the ROUGE scores,</t>
  </si>
  <si>
    <t>Significance only on performance not explanation : evaluation * denote that MPRF significantly outperforms baselines with the p-value &lt; 0.05.</t>
  </si>
  <si>
    <t>VLAS offers several advantages compared with traditional IoU-based metrics: (i) it captures the binary nature of human judgments by measuring whether an explanation is acceptable rather than rewarding incremental overlap;</t>
  </si>
  <si>
    <t>patching effect (PE), Information
Flow Routes.  Mechanistic Interpretability</t>
  </si>
  <si>
    <t xml:space="preserve">We look at two aspects: the average citation quality (Figure 5) and the citation F1 score (Figure6), </t>
  </si>
  <si>
    <t>we observe that while the attribution rate of the object entity, AR(o)</t>
  </si>
  <si>
    <t>Standard performance benchmark and ablation</t>
  </si>
  <si>
    <t xml:space="preserve">Human Attribution Evaluation, Our model demonstrates a strong Pearson cor-
relation with the clinician MOS (r = 0.866,
p &lt; 0.001), indicating close alignment with av-
erage expert judgment. </t>
  </si>
  <si>
    <t xml:space="preserve"> Human Annotation and Evaluation. We begin our failure case analysis with a human an-
notation study that evaluates the correctness of the generated SCEs. Our goal was to test if the SCE validity correlates with its correctness. We report the correlation results as (coefficient, p-value), where r denotes Pearson correlation, ρ denotes Spearman correlation, and p is the associated two-tailed significance level.</t>
  </si>
  <si>
    <t>Word Selection Quality Analysis</t>
  </si>
  <si>
    <t>We deploy the faithfulness evaluation protocol de-
scribed in §3, where we prompt M∗ and M to
answer directly, without reasoning, and then com-
pute how often their answers differ. Scatter plot of correlation between efficacy
and faithfulness. Scores reported are averages over 30 instances used for LR selection,</t>
  </si>
  <si>
    <t>Plausibility NLE, evaluate plausibility and faithfulness Pearson’s correlation but no p-value</t>
  </si>
  <si>
    <t>counterfactual is assessed using an LLM-
as-a-judge framework</t>
  </si>
  <si>
    <t>(1) Unlearning Accuracy (UA), (2) Extended Unlearning Accuracy (UA‡): The accuracy for the Paraphrased QA set to evaluate the generalized unlearning performance. (4) Same-answer Test Accuracy (SA): The accuracy for the Same-answer QA set to analyze shortcut unlearning.</t>
  </si>
  <si>
    <t>In automated evaluation of the C-IMHI dataset,
we focused on two key aspects: correctness and
consistency: 1) Correctness: the generated predic-
tion should be correct compare with the ground
truth (Yang et al., 2024b); 2) Consistency: the
generated explanations should provide a reason-
ing process that explains the decision basis and is
consistent with the prediction , We randomly selected one hundred generated ex-
planations for subsequent expert evaluation</t>
  </si>
  <si>
    <t>Only evaluate downstream performance, no ablation on faithfulness or plausibility. Proposed feature akin to plausible explanation</t>
  </si>
  <si>
    <t>Evaluate free-text explanation such as Informativeness</t>
  </si>
  <si>
    <t>Assessment for generated rationales using gpt 3.5</t>
  </si>
  <si>
    <t>Entailment-based Evaluation, Rubrics-based LLM Evaluation</t>
  </si>
  <si>
    <t>We use BERTScore (Zhang* et al., 2020), which
uses contextual embeddings to capture the semantic similarity between the generated reasoning and the ground truth reasoning</t>
  </si>
  <si>
    <t>5.3 Human Evaluation</t>
  </si>
  <si>
    <t>Bias Analysis, Protected attribute</t>
  </si>
  <si>
    <t>COUNT EVAL_XAI</t>
  </si>
  <si>
    <t>COUNT HAS_SIG_EVAL_XAI</t>
  </si>
  <si>
    <t>COUNT XAI</t>
  </si>
  <si>
    <t>COUNT VERIFIED</t>
  </si>
  <si>
    <t>COUNT EVAL_XAI AND XAI</t>
  </si>
  <si>
    <t>Human Evaluation of Concept Representations. As part of our method, concepts are annotated by
an LLM. We recruited six human annotators to
validate this step and asked each to annotate 400
concepts. Prediction Strength Our explanations rely on a white-box model trained to imitate preference decisions. Hacking Judges with Explanations To test whether our explanations identify concepts that
truly matter to LLM judges, we use them to guide
response generation &lt;faithfulness&gt;. Improving Judges with Explanations We apply
our explanations to resolve tie cases where LLM-
as-a-Judge models give inconsistent predictions de-
pending on response order. &lt;utility&gt;. sig-test: is statistically significant after Bonferroni correction (α &lt; .006).</t>
  </si>
  <si>
    <t>Using this idea, we adopt a simulatability-
based explanation faithfulness evaluation method. † indicates results that are significantly higher than those of the SFT model, with
p &lt; 0.05 as determined by a two-related-sample t-test. §A.5 shows confidence intervals across training passes.
Takeaway: optimizing PEX consistency improves explanation faithfulness.</t>
  </si>
  <si>
    <t>We systematically evaluate the im-
pact of editing each identified key attention head on the sampled GQA data. Table 18: Performance difference ∆(pp) between the attention head rescaling method and baselines. Statistical
significance is indicated with asterisks. *** indicates p &lt; 0.001 (extremely significant).</t>
  </si>
  <si>
    <t>White-box Evaluation: Controlled synthetic evaluation</t>
  </si>
  <si>
    <t>1 - Normalized Spearman’s Footrule
Distance (1-SFD). One minus the average abso-
lute difference between predicted and true ranks
across all agents, measuring how close the pre-
dicted ranking is to the ground truth</t>
  </si>
  <si>
    <t>An annotator manually annotated ground-truth attributions for the selected samples. We used the train set to train FlowMask2Former for this domain.</t>
  </si>
  <si>
    <t>Integration-Augmentation. The aspect counter-
factual candidate serves primarily as an augmentation. Table 4: The performance of DPCI with different numbers of augmented samples.</t>
  </si>
  <si>
    <t>Measuring Faithfulness</t>
  </si>
  <si>
    <t xml:space="preserve">Validity and Minimality </t>
  </si>
  <si>
    <t>each AD in CAVE
is paired with a single explanation. We evaluate a
model’s ability to generate the correct explanation
when provided with the ground-truth AD using
an LLM judge. Anomaly Justification (AJ). Since there can be more than one correct anomaly justification, we evaluate a justification quality along three criteria: (1) Plausibility—whether the justification makes sense for the anomaly; (2) Relevance—how well it aligns with the image context; and (3) Creativity—the depth and novelty of the reasoning, beyond generic or trivial explanations. We also performed a bootstrap test on 5k different random samples of CAVE to assess significance for prompting strategies over the vanilla baseline. statsig for performance not explanation</t>
  </si>
  <si>
    <t>Feature Representation Confidence (FRC), Feature Intervention Confidence (FIC)</t>
  </si>
  <si>
    <t>Faithfulness, Simulatability. These improvements are statistically significant (paired t-test, p &lt; 0.01)</t>
  </si>
  <si>
    <t>Recovered Accuracy</t>
  </si>
  <si>
    <t>Automatic Metrics for Similarity between
NLEs and Golden explanations. Table 3: Faithfulness evaluation for different types of highlight explanations on the T5 model, e-SNLI dataset could analyze the significance between highlight and random</t>
  </si>
  <si>
    <t>Simulatability, Corrupting CoT , CC-SHAP. Sigtest:  Underlined numbers show the diagnosticity
scores that are significantly higher than 0.5 (one-sample t-test, p &lt; 0.05). Comparison of diagnosticity scores between continuous and binary variants of CoT corruption-based
metrics using qwen-2.5-7b. Differences are statistically significant (Wilcoxon signed-rank test, p &lt; 0.05)</t>
  </si>
  <si>
    <t xml:space="preserve">dataset-level faithfulness as the conditional mean faithfulness generation (cMFG) score. Overall,
Gemini-2.0-Flash with our decisiveness prompt
achieved the highest correlations of 0.665 (p =
0.000) and 0.643 (p = 0.000), respectively, con-
firming the quality of our LLM-based decisiveness
scores. In contrast, use of the original decisive-
ness scoring setup in Yona et al. (2024) achieved
correlations of only 0.210 (p = 0.000) and 0.063
(p = 0.03), respectively. Our final scoring paradigm yielded the highest Pearson and Spearman correlations of 0.680 (p = 0.000) and 0.663 (p = 0.000), respectively, and the lowest MSE of 0.635, </t>
  </si>
  <si>
    <t>Faithfulness score, Average confidence trajectories</t>
  </si>
  <si>
    <t xml:space="preserve">To test the sensitivity of X-CoT to imperfect anno-
tations, we perturb 20% of tags in the structured
annotations </t>
  </si>
  <si>
    <t>Faithfulness: interp.? indicates whether interpretability is preserved despite the changes,
with ✗ indicating no interpretability, and ✓(↑ / ↓) indicating interpretability at a higher or lower level of detail. Plausibility: We manually assigned binary labels (acceptable/unacceptable) to 30 explanations per model. The top performing combination of model and prompt, which we ended up using, produced a score of 28/30 acceptable explanations.</t>
  </si>
  <si>
    <t>Key Attribution Pattern changes (∆) across
experimental conditions. No sigtest but could be: Comparison of standard (δstd) and masked
(δmask) text-based classifiers’ normalized difference scores, and their differences (∆text) across different aggregation methods and span levels</t>
  </si>
  <si>
    <t>FINDINGS</t>
  </si>
  <si>
    <t>MAIN_VENUE</t>
  </si>
  <si>
    <t>Pearson r represents the agreement between the AA model’s predictions in the latent and interpretable spaces. Usefulness for Explainability. No mention of p-value</t>
  </si>
  <si>
    <t>Human Evaluation- Subjective Ratings: Perceived Faithfulness (Binary), Coherence (5-point Likert), Insightfulness (5-point Likert)</t>
  </si>
  <si>
    <t>Predictive Performance Evaluation</t>
  </si>
  <si>
    <t>Evaluating Faithfulness using Sensitivity
Analysis. Expert Evaluation</t>
  </si>
  <si>
    <t>Human Evaluations: validity and coverage</t>
  </si>
  <si>
    <t xml:space="preserve">Alignment: Sparsity, Sufficiency. Relevance. </t>
  </si>
  <si>
    <t xml:space="preserve">Faithfulness, We perform a paired permutation test to test the
hypothesis H0: NMN w/ Graph-count + decont. +
pretraining has the same inherent faithfulness as
NMN w/ Layer-count. </t>
  </si>
  <si>
    <t>Removal type Avg. ∆ in prediction confidence</t>
  </si>
  <si>
    <t>Improving Forward Test Design. Simulatability, CI</t>
  </si>
  <si>
    <t>Question generation. Answer verification. Pearson (P) and Spearman (S) correlation between human-annotated faithfulness scores and ROUGE scores of content selection (computed between the reference and the output sentence). Pearson (P) and Spearman (S) correlation between human-annotated faithfulness scores and the metric scores</t>
  </si>
  <si>
    <t>We also ran a t-test to determine if global
heuristics provided results significantly different
from instance-level methods, finding that they did
not.</t>
  </si>
  <si>
    <t>faihtfulness: comprehensiveness and sufficiency, agreement rationale</t>
  </si>
  <si>
    <t>attention Comparison with Rationales, attention Comparison with attribution methods, Human Evaluations</t>
  </si>
  <si>
    <t>Survey paper</t>
  </si>
  <si>
    <t>position paper</t>
  </si>
  <si>
    <t>Syntactic Probe</t>
  </si>
  <si>
    <t>Table 4: Human Evaluation of various aspects of generated text.</t>
  </si>
  <si>
    <t>Human Evaluation for the Explanation: Qualitative, We randomly sample 100 examples from the testing set for 5 participants to answer (20 examples per person). By combining the REP-SCD, RM-SCD, INS-SCD together, our method achieves significantly higher ranking score compared to HotFlip, more specifically, 2.35 score improvements (4.35/2.00) were made regarding plausibility while 0.85 score improvements (4.00/3.15) were made on reasonableness, showing a p-value less than 0.001 and 0.05, respectively.
Hence, there is compelling evidence that our method can generate counterfactual explanations which are more plausible and reasonable.</t>
  </si>
  <si>
    <t>survey paper</t>
  </si>
  <si>
    <t>ERASER evaluation methods</t>
  </si>
  <si>
    <t>ROGUE scores for explanations generated via our
two explanation models. Evaluation of Explanation Quality: Global Coherence , Local Coherence</t>
  </si>
  <si>
    <t>We design an index to evaluate the Relative Im-
portance (RI) between entity E and context C,</t>
  </si>
  <si>
    <t>Local interpretability: AOPC, proxy agreement Table 11 shows the Pearson correlation coefficients between word frequency and global word importance of VMASK-based models.</t>
  </si>
  <si>
    <t xml:space="preserve">Diagnostic property performance, Agreement with human rationales. Table 9: Dataset Consistency results with Spearman ρ. The estimated p-value for the correlation is provided in the brackets. Dataset Consistency (DC). ataset Consistency compares explana-
tions for pairs of instances on the same model. </t>
  </si>
  <si>
    <t>Ground-truth for hidden-state attribution</t>
  </si>
  <si>
    <t>Probing layers: QA functionality, We quantify and visualize a layer’s function as its distribution of importance over the passage words Il.</t>
  </si>
  <si>
    <t>Input Removal</t>
  </si>
  <si>
    <t>Number of mistranslations and categorised in human evaluation</t>
  </si>
  <si>
    <t xml:space="preserve">Task, Rationale IOU F1 </t>
  </si>
  <si>
    <t>Feature correlation, an attention threshold score, explanation utility in the rating
task:</t>
  </si>
  <si>
    <t xml:space="preserve">(1) Node Accuracy (NA): (2) Edge Accuracy (EA) and (3) Proof Accuracy (PA):
Fraction of examples where the generated proof
matches exactly with the gold proof. For examples
with multiple gold proofs, we give credit if the prediction matches exactly with any one of the proofs. We also evaluate Full Accuracy (FA), </t>
  </si>
  <si>
    <t xml:space="preserve">Input Addition and Removal </t>
  </si>
  <si>
    <t>Preference Estimation, correlation ranking but no p-value reported</t>
  </si>
  <si>
    <t>Plausibility and Faithfulness</t>
  </si>
  <si>
    <t xml:space="preserve">We complement the quantitative evaluation based on the standard FLUTE and text generation metrics (see Section 5.4) by conducting an A/B test supervised by the GPT-4o model </t>
  </si>
  <si>
    <t>Explanation Generation Results</t>
  </si>
  <si>
    <t>paired bootstrap test, with different significant test value.</t>
  </si>
  <si>
    <t>4.1 Human Response Replication, t-tests, z-test Comparing human participants' binary choices (e.g., assigning round vs. spiky shapes, or female vs. male gender) against a baseline or between conditions.</t>
  </si>
  <si>
    <t>Only perform ablation of counterfactual explanation which focused on performance.</t>
  </si>
  <si>
    <t>define maximum duplication (MD) as the
largest possible subset of words between</t>
  </si>
  <si>
    <t xml:space="preserve">contrast set, consistency, error rates per condition </t>
  </si>
  <si>
    <t xml:space="preserve">Faithfulness metrics meta-analysis </t>
  </si>
  <si>
    <t>Relative Success, Z test</t>
  </si>
  <si>
    <t xml:space="preserve">Human evaluation results of vague concept
interpretations. </t>
  </si>
  <si>
    <t xml:space="preserve"> 95% confidence interval, Due to the small sample
size of features, we used bootstrap (9999 resamples of the data with replacements, 95% confidence</t>
  </si>
  <si>
    <t>Rationales perturbation</t>
  </si>
  <si>
    <t>Label agreement, Re-training Accuracy Loss</t>
  </si>
  <si>
    <t>Faithfulness, Human eval readability</t>
  </si>
  <si>
    <t>Human Assessment of Explanations</t>
  </si>
  <si>
    <t>Table 2: Human evaluation of contrastive and baseline explanations on 100 SNLI test samples. Average score of two annotators (%).</t>
  </si>
  <si>
    <t>Table 2: Prediction accuracy (%) after adversary attack. 4.6 Stability Analysis. 4.7. Human Evaluation for Explainability</t>
  </si>
  <si>
    <t>Theoritical paper without empirical evaluation on explanation evaluation</t>
  </si>
  <si>
    <t>Human Quality Ratings, indicates that this result is significantly different from the best result in
that column (bolded) with p-value &lt; 0.05, &lt; 0.01, &lt; 0.001 respectively.</t>
  </si>
  <si>
    <t>5.2 Faithfulness Metrics</t>
  </si>
  <si>
    <t>Table 6: Ablation study on the influence of the edit-distance controlled by the threshold of MoverScore.</t>
  </si>
  <si>
    <t>Correlation between the attention distribution and gradient-based FI measures. Table 2: Correlation between sparsegen parameter2 
and entropy of gradient-based input FI ˜H(g ˆy (x)).</t>
  </si>
  <si>
    <t>For comparison, we also conduct
another study to assess the success of humans in using just the word to infer entity type.</t>
  </si>
  <si>
    <t>We compare
TReATE(O, CF) to the ground truth ATEgt (O) and the baseline CONEXP(O). Confidence
intervals ([CI]), computed using the standard deviations of ITEgt (O), TReITE(O, CF), and
CONEXP, are provided in square brackets.</t>
  </si>
  <si>
    <t>Table 1: Faithfulness metric for the generated content and function words through different objectives. Columns are different stress-tests included in the Eq.(1). Table 3: BLEU score of the baseline and the model
trained with Fall. Pairwise bootstrap resampling
(Koehn, 2004) resulted in a p-value &lt; 0.01 which indicates the statistical significance of the observed difference.</t>
  </si>
  <si>
    <t>The results are shown in Table 2 (columns la-
belled GPLA, TTSA and GSII). All variants tend
to agree in the majority of their rankings11 (e.g.,
RESMATCH GP LA vs. RESMATCH GSII F1: Spear-
man’s ρ = 0.95, Pearson’s ρ = 0.96, p&lt;0.001).
When considering MFβ=0.5, the agreement fur-
ther increases (e.g., MFGP LA 0.5 vs. MFGSII 0.5 : Spearman’s ρ = 0.95, Pearson’s ρ = 0.99, p&lt;0.001).</t>
  </si>
  <si>
    <t>Performance evaluation</t>
  </si>
  <si>
    <t>Here we will mainly focus on the concept of simulatability. We can observe from
Fig. 4 that, when the prediction is correct, finetun-
ing on helpful data-points improves the simulator’s
ability to predict the task model’s behavior. Simi-
larly, when the prediction is incorrect, finetuning
on data-points that are harmful (to the task model’s
loss on ground-truth labels) improves the simula-
tor’s predictions of the task model.</t>
  </si>
  <si>
    <t>Language modeling plausibility on rationale-
annotated Lambada. ranslation faithfulness with distractors. “Mean crossovers” refers to the average number of crossovers per rationale, and “Crossover rate” refers to the fraction of rationales that contain at least one crossover.</t>
  </si>
  <si>
    <t>Comp, Suff, word-approximation error. We find
that DIG has a significantly lower mean rank com-
pared to IG (p &lt; .001 on both SST2 and Rotten
Tomatoes 5).</t>
  </si>
  <si>
    <t>Table 3: Regression results for reference-based metrics. Coefficient values for linguistic regressors and R2 values.* denotes p ≥ 0.05 (non-significance). Intercept coefficients are small values and we omit them for clarity.</t>
  </si>
  <si>
    <t>Table 3. evaluate the model improvement over saliency regularization, however the significant test is more on evaluating performance not explanation evaluation. Table 2: Average fraction of tokens required to cause a decision flip across datasets and feature attribution metrics (lower is better). Bold denotes the best method in each dataset. † denotes a significant difference compared to BASELINE using the same attribution metric (Wilcoxon Rank Sum, p &lt; .05)</t>
  </si>
  <si>
    <t xml:space="preserve">Predictive Performance. </t>
  </si>
  <si>
    <t>Failure rate (%F), Fraction of tokens changed (%C), Human and Qualitative Evaluation. Human evaluators ranked CLOSS competitively with BERT-Attack and Hot-Flip, assigning average ranks of 1.54 to CLOSS, 1.68 to Bert-Attack and 2.50 to HotFlip. The difference between CLOSS and HotFlip is statistically significant (one-sided sign test, p-value&lt; 0.0001).</t>
  </si>
  <si>
    <t xml:space="preserve"> Human quality judgements of model rationales and comparison with oracle attributions. Table 8: √λLp for MAW and GI on the VAST test set, with λ = 16384 for all settings. * indicates statistical
significance (p &lt; .05). </t>
  </si>
  <si>
    <t>Table 2. Explanation evaluation using simulation accuracy. We perform significance tests on accuracy
via bootstrap resampling for the comparisons between LATATTR and other approaches. A dagger indicates a method for which our approach outperforms it by a statistically significant margin (p &lt; 0.05).</t>
  </si>
  <si>
    <t>Rationale extraction evaluation using token overlap</t>
  </si>
  <si>
    <t>Figure 7: Relationship between illogical score and
model performance. SROCC, KROCC are correlation
coefficients in which the closer the absolute value is to 1, the stronger the correlation. We scaled the illogical score of BERT proportionally to draw on the same graph with ALBERT.</t>
  </si>
  <si>
    <t>Faithfulness, stability, Log-odds evaluation. Footnote 5. 5We use paired t-test with Holm-Bonferroni correction (Holm, 1979) in all our significance tests, with α &lt; 0.05.</t>
  </si>
  <si>
    <t>human judges8 annotated 50 samples from the</t>
  </si>
  <si>
    <t>et al., 2013).</t>
  </si>
  <si>
    <t>Evaluate plausibility by 14 human judges on 50 annotated samples from SST2 validation set: Adequate Justification, Understandability, and trustability. They computed the
SELFEXPLAIN-XLNet classifier’s accuracy on the
same input and the accuracy dropped and test the performance dropped Statistically significant by Wilson interval test (type of faithfulness significant test).</t>
  </si>
  <si>
    <t>Workshop</t>
  </si>
  <si>
    <t>* indicates significant results (p &lt; 0.01) in McNemar’s Test. CF models outperform nCF models in out-of-domain data, while the opposite is true for in-domain data. This significant is on model generalizability not on the explanation evaluation.</t>
  </si>
  <si>
    <t xml:space="preserve">We evaluated the novel visualization method using
an online survey. </t>
  </si>
  <si>
    <t>Construct various plausibility and faithfulness benchmark on number agreement and gender agreement test</t>
  </si>
  <si>
    <t>Faithfulness AOPC</t>
  </si>
  <si>
    <t>Not an XAI Paper</t>
  </si>
  <si>
    <t xml:space="preserve">Topic Model Interpretability. We measure the strength of the association between
variables using Pearson’s r correlation coefficient
in evaluation 1 (see section 4.1) and Spearman’s ρ
correlation coefficient in evaluations 2–5. </t>
  </si>
  <si>
    <t>Test model performance improvement statistical significant. Proof F1 measures the overlap between the generated proof nodes/edges and the ground truth explanation. Iterative-MultiPRover’s improvement in Full Accuracy over Multilabel-MultiPRover is statistically significant with p &lt; 0.001"</t>
  </si>
  <si>
    <t>we de-fine the faithfulness to be the Jensen–Shannon (JS) divergence of rule-related distributions from train-
ing and test sets</t>
  </si>
  <si>
    <t>Human Evaluation: each
evaluate model to extract the top 3 supporting facts respectively for all 100 EMR samples in the testset, and randomly shuffled the order of the results. Then we invited 3 evaluators with medical backgrounds and having read the guide to determine whether the results conform to medical knowledge. We focus on the comprehensiveness and trustworthiness of
each model.</t>
  </si>
  <si>
    <t>Risk</t>
  </si>
  <si>
    <t>Instance Attribution study</t>
  </si>
  <si>
    <t>Instance Attribution study. They report the Spearman correlation between trained and random models, but do not report the p-value</t>
  </si>
  <si>
    <t>Gold Rationales</t>
  </si>
  <si>
    <t>Rater Study.5.3 Effectiveness of explanations. log-odds of rater accuracy by 0.25,
with a posterior predictive p-value of 0.015</t>
  </si>
  <si>
    <t>Position paper</t>
  </si>
  <si>
    <t>Finally, the probe accuracy does not correlate with task importance as measured by our method (Spearman correlation of 8.5, with a p-value of 0.871).</t>
  </si>
  <si>
    <t>High Risk Domain</t>
  </si>
  <si>
    <t>Figure 5: Evaluating faithfulness of highlighted tokens.</t>
  </si>
  <si>
    <t>Table2. ROAR. 2-sample t-test; p = 0.037</t>
  </si>
  <si>
    <t>Table 1: Human evaluation score. The † and ‡ indicate statistically significant differences of EB-GEC according to McNemar’s test (p &lt; 0.05) against Token-based retrieval and BERT-based retrieval, respectively.</t>
  </si>
  <si>
    <t>Fidelity evaluation and Human evaluation. Table 6. Human evaluation results on Fidelity-C(fidelity
between correct prediction and corresponding interpretation)</t>
  </si>
  <si>
    <t>logits-based metric called Word-level Differential Reaction (WDR). Table 3: 95% CI  we average the performance across 30 different data-splits of the training configuration. Additionally, we report the corresponding 95% confidence intervals.</t>
  </si>
  <si>
    <t>RQ2 human judgements</t>
  </si>
  <si>
    <t xml:space="preserve"> the BART-large
encoder representation outperformed BERT-large
significantly (p &lt; 0.05, bootstrap test. Our sample size of 540 exceeds the necessary
70 to holds a statistical power for between-subject
studies (Bojko, 2013) .</t>
  </si>
  <si>
    <t>The paper does not generate or evaluate "explanations" as defined in the field of XAI. It treats the summarization system as a black box and proposes a "selector" to pick the best output from several options. Picking the "most faithful" output is a selection/ranking task, not an explanation task.</t>
  </si>
  <si>
    <t>Table 4: Manual evaluation performance between METER and baselines.</t>
  </si>
  <si>
    <t>Correctness of Explanations and Usefulness of Explanations. Confidence intervals (indicated by ± values in Table 1.</t>
  </si>
  <si>
    <t>4.2 Results: There is a significant difference in human predicted labels (i.e., “positive”=1,“negative”=2) be-
tween LimitedInk (M=1.24,SD=0.71) and Random (M=1.32,SD=0.54); t(1169)=2.27, p=0.02.</t>
  </si>
  <si>
    <t>HINT (Hierarchical Interpretable Neural Text classifier), produces hierarchical explanations.. There is a statistical significant but on model performance.</t>
  </si>
  <si>
    <t xml:space="preserve">MRP, it performs hate speech detection robustly in
terms of bias and explainability. </t>
  </si>
  <si>
    <t>explainable ranking evaluation metrics that decompose and quantify the conceptual differences between ground truth and retrieved instances in local and global level.</t>
  </si>
  <si>
    <t>table 2 veracity prediction t-test is about model performance not explanation evaluation</t>
  </si>
  <si>
    <t>The AOPC accuracy(%) comparison of different methods</t>
  </si>
  <si>
    <t>ERASER metrics</t>
  </si>
  <si>
    <t xml:space="preserve">ATIE and accuracy of each syntactic heuristic in the HANS dataset. </t>
  </si>
  <si>
    <t>Almost Stochastic Dominance test on model performance on hans</t>
  </si>
  <si>
    <t>Explanation Eval and Significant testing</t>
  </si>
  <si>
    <t>Explanation Eval</t>
  </si>
  <si>
    <t xml:space="preserve"> Interpretation here refers to making the final scores of a metric easier to understand (e.g., knowing that a score of 0.86 means a translation has no major errors).</t>
  </si>
  <si>
    <t>Use GraphMask. When both ablations are applied,
three of the four models have a significant differ-
ence in accuracy between the regular and shuffled
scenarios (p &lt; 0.001), and the shuffled performance is at or below random chance.</t>
  </si>
  <si>
    <t>Plausibility, Human Survey, calculate 95% CI in Figure 3</t>
  </si>
  <si>
    <t>Table 1. Features found to have statistically significant correlations with labels in training datasets</t>
  </si>
  <si>
    <t>Table 4. We evaluate CAT on three metrics: i) Dist(distance), ii) Fluency, iii) Cont (content preservation). We report p-values from a pairwise t-test of the difference of means between GYC with CAT and MICE with CAT for all metrics.</t>
  </si>
  <si>
    <t>entailment trees as QA explanation. Intermediates (BLEURT, AllCorrect) evaluate the generation quality of the intermediate conclusions</t>
  </si>
  <si>
    <t>Plausibility: We recruit two human annotators from a professional data annotation team to evaluate our generated text in both informativeness and faithfulness. The significant test is on performance metrics not explanation evaluation</t>
  </si>
  <si>
    <t>Significant test on performance evaluation. Not on  Span-level performance of SLR-NLI-eSNLI compared to SLR-NLI Table 5.</t>
  </si>
  <si>
    <t>Quote: "However, a -.30 correlation with IOU@10% and a -.47 correlation with whether an image contains an abnormality are significant." But there is no explicit mention of significant test or p-value</t>
  </si>
  <si>
    <t>For our second question of evaluating the quality of Entailer’s proofs, we compare against explanations generated by Macaw,10 a public, state-of-the-art QA system with explanation capability</t>
  </si>
  <si>
    <t xml:space="preserve">Average correlations measured, they report for one </t>
  </si>
  <si>
    <t>Statistically significant Pearson’s r values (p &lt; 0.05) are in bold. imulation accuracy (%) in predicting GPT-2 outputs and subjective usefulness of explanations for various explanation methods.</t>
  </si>
  <si>
    <t>Does not use known quantitative explanation evaluation, it only provide analysis</t>
  </si>
  <si>
    <t>Experiment 4 (explanations): We evaluate the ca-
pacity of our method to provide post-hoc expla-
nations for the situations when an answer exists
or is provided by another method. In this experi-
ment, we manually evaluate the quality of the ex-
planations provided by our method for a sample of
questions using the gold answers from the dataset</t>
  </si>
  <si>
    <t>interpretability of embedding spaces. two approaches: SPINE, a k-sparse auto-encoder, and SINr, a graph-based method.", "This evaluation is based on a Word Intrusion Task with human annotators."</t>
  </si>
  <si>
    <t>Self Explanation, 4.2 Robustness Evaluation</t>
  </si>
  <si>
    <t xml:space="preserve">conduct counterfactual analysis on our causal graph to distill and mitigate the entity bias. Table 5: Experimental results (unfairness; %) of Relation Extraction </t>
  </si>
  <si>
    <t>Table 2: The mean and standard deviation of necessity and sufficiency scores for target tokens in explicitly hateful case</t>
  </si>
  <si>
    <t>text explanation generation. Measures the explanation with text generation metric ROUGE or BERTSCore. Statistical significant test on this text generation metrics using Wilcoxon’s signed rank test (Table 3 and Table 4)</t>
  </si>
  <si>
    <t>In Phase 3, we varied both the task and inter-
face, which significantly impacted the fraction of
words selected as rationales (Welch’s t = −7.367,
p &lt; .001).</t>
  </si>
  <si>
    <t>Furthermore, to evaluate feature attribution methods in NLP, we consider two situations. For datasets with golden labels of feature score, we use the Area Under Curve (AUC) or Pearson correlation as the performance metric. However no p-value reported in pearson correlation</t>
  </si>
  <si>
    <t>Spearman’s rank correlation of attribution based importance (aggregated by rollout). Figure 3. The
99% confidence intervals are shown as (narrow) shaded areas around each line.</t>
  </si>
  <si>
    <t>Table 7: Human evaluation on 1600 generated FAITH DIAL responses (200 × 8) from different models on the test data. ∗ and ∗∗ indicates that the results are significantly different from the best result in
that column (bolded) with p-value &lt; 0.05, &lt; 0.01 respectively. ‘Coop.’, ‘Abst.’, and ‘Enga.’ means
cooperativeness, abstractiveness, and engagingness, respectively.</t>
  </si>
  <si>
    <t>Explanation as retrieval "Table 4: F1 score for explanation selection in
WorldTree dev-set. "</t>
  </si>
  <si>
    <t>This paper evaluate the attribution metrics and provide boxplot but this is not enough. What could be done: Group Comparison Tests, Post-hoc Pairwise Comparisons, Confidence Intervals</t>
  </si>
  <si>
    <t>4.3 Human Study</t>
  </si>
  <si>
    <t>Summarization rationale. Evidence extraction</t>
  </si>
  <si>
    <t>Again, our noise injection training strategy
achieves statistically significant improvements in
rationale alignment with human annotations (p &lt;
0.01 on the MultiRC and USR Movies, p &lt; 0.05
on the FEVER, and p &lt; 0.1 on ERASER Movies)</t>
  </si>
  <si>
    <t xml:space="preserve"> evaluate the method via a crowd study, a series of cross-domain moral classification comparisons. They perform statistics test, shapiro-wilk test for normality diagnostic only. But do not report rank correlation p-value. Probably because it is average rank correlation</t>
  </si>
  <si>
    <t>evaluation subject–verb number
agreement probing task. Figure 7: spearman rank correlation and its p-value</t>
  </si>
  <si>
    <t>"For Yelp-Polarity, R = −0.41 and p &lt; 0.05, so the correlation is not significant)." Why Is it not significant? Is it a typo</t>
  </si>
  <si>
    <t>Report significant metric but on GLUE metric. No quantitative explanation evaluation metrics. Consistency/Fidelity (MSE):</t>
  </si>
  <si>
    <t>Table 2: Results of the ablation studies performed on the proposed framework, C2D’s key components in terms of macro-F1 score (F1) and Accuracy (A) values. The maximum scores attained are represented by bold-faced values. The † denotes statistically significant findings.</t>
  </si>
  <si>
    <t xml:space="preserve">Human Utility of Machine Rationales. </t>
  </si>
  <si>
    <t>"Table 2: Ablation results for different components of our approach. Most components contribute significantly." But there are no statistical significant</t>
  </si>
  <si>
    <t>Table 1. contain statistical significant test. Table 4: Correlation between automatic metrics and human judgments on the FEVER and SCIFACT datasets computed using Kendall’s Tau.</t>
  </si>
  <si>
    <t>Table 2: Head–dependent DAAM map overlap statistics across the ten most common relations in COCO. Bolded are the dominant maps, where the absolute difference ∆ between mIoD and mIoH exceeds 10 points. All bolded numbers are statistically significant (p &lt; 0.01), with the
Holm–Bonferroni correction applied.</t>
  </si>
  <si>
    <t>Table 2. denotes a significant difference compared to its counterpart on the same FA, p &lt; .01.and Table 3. denotes a significant difference compared to
its counterpart on the same task, p &lt; .01.</t>
  </si>
  <si>
    <t>Correlation between accuracy and
MM-SHAP</t>
  </si>
  <si>
    <t>Table 1: Human-metric correlations. The negative sign (-) before metrics means that their scores are negated to
retain the feature that the higher the scores are the more unfaithful the summaries are.</t>
  </si>
  <si>
    <t>Table 5: Results of the fluency evaluation.</t>
  </si>
  <si>
    <t>Free-text rationales</t>
  </si>
  <si>
    <t>5 Explainable Safety Checking. three aspects of the rewritten utterances</t>
  </si>
  <si>
    <t>Table 2: AUC differences for individual modifications of Base. Small numbers: 95% CIs (bootstrap resampling).</t>
  </si>
  <si>
    <t>Results for the input reconstruction test.
“% Reconst” shows the percentage of instances for
which we managed to form a reconstructed input.
“% Total Unfaith” shows the total percentage of unfaith-
ful NLEs found among all instances in the test set of
each dataset. The highest detected percentage of un-
faithful NLEs for each dataset is in bold.</t>
  </si>
  <si>
    <t>Table 3-5</t>
  </si>
  <si>
    <t>Table 3: The results for sufficiency test on the ORIGINAL and OOD data show the F1 scores on top-k words. IG stands for integrated gradient. Figure 4: Human evaluation results. X-axis is the per-
centage of explanations preferred by human judges.</t>
  </si>
  <si>
    <t>Model Pruning and performance change metric: "Table 2: Accuracy for UDPOS and XNLI after pruning according to importance metrics. For all metrics, we remove the Bottom-K heads (K = |{Hi | φi &lt; 0}|) according to that metric. + and − indicate significant (P &lt; 0.05)
improvement and harm by a pairwise bootstrap test. Model parameters remain fixed for all methods."</t>
  </si>
  <si>
    <t>A guideline and survey paper. Faithfulness refer to information factuality not model consistency</t>
  </si>
  <si>
    <t>Table 4: Rationale selection performance broken down by different types of reasoning no statistical significant</t>
  </si>
  <si>
    <t>Bias analysis for explanation evaluation on counterfactual reasoning</t>
  </si>
  <si>
    <t>Table 3: Comprehensiveness (Comp.), Sufficiency (Suff.), and Accuracy results on the movie review dataset, including bootstrapped 95% confidence intervals of the test set in gray.</t>
  </si>
  <si>
    <t xml:space="preserve">Table 3: Faithfulness and simulatability when executing different explanations for three datasets. Results are from 100 runs but there are confidence intervals or significant test performed. Human eval Results in Fig. 5 indicate that workers struggled
to comprehend attribution scores from LIME com-
pared to MaNtLE. A paired-sample t-test for over-
all preference revealed significance (2.16 vs. 3.44;
p-value &lt; 0.001). </t>
  </si>
  <si>
    <t>Expert Human Evaluation: Preference
Judgments</t>
  </si>
  <si>
    <t>Table 3: User study measuring the quality of the generated NL profiles. We report the average number of satisfactory samples out of 50 samples per domain.</t>
  </si>
  <si>
    <t>able 7: Comparison of chain generation performance on ESD-CoT test set with different fine-tuned backbone models.</t>
  </si>
  <si>
    <t>Table 6: Number of losses, ties, and wins for answers generated based on the user-modified plan compared to the original answers. We use the 77 QTSUMM examples marked as errors attributable to the content planner
for evaluation. The display order of the two answers is randomly shuffled to evaluators during the evaluation.</t>
  </si>
  <si>
    <t>Explainable Metrics not Explainable AI</t>
  </si>
  <si>
    <t>Faithful here refers to data instead of model explanation</t>
  </si>
  <si>
    <t>Causal Tracing, Information Flow Divergence</t>
  </si>
  <si>
    <t>Interchange Interventions, Table 2: The disentanglement score on RAVEL for each interpretability method.</t>
  </si>
  <si>
    <t>Discourse explanation, evaluation: 3.3 DISQ Score</t>
  </si>
  <si>
    <t>status of faithfulness tests in view of
model explainability, characterising them as
self-consistency tests instead</t>
  </si>
  <si>
    <t>FLEUR, an explainable reference-free metric to introduce explainability into image captioning evaluation metrics.</t>
  </si>
  <si>
    <t>Table A.2: Average Kendall-Tau and Spearman’s rank correlations (τ ) and their 95% confidence intervals (CI) for tested evaluation metrics against human judgment. CI Found in Appendix</t>
  </si>
  <si>
    <t>Table 2: Statistical significance of performance dif-
ference with different trainsets. We conduct Mann-Whitney U test on different settings and use Fisher’s method to merge corresponding p-values (see details in Appendix I). Table 4: Pearson Correlation between our Attributability
Score, Human Annotation, and GPT-4 Annotation. By ∗∗, we denote a p-value smaller than 0.001.</t>
  </si>
  <si>
    <t>Human Evaluation We conduct a human evalua-
tion for free-text rationales on Amazon Mechanical
Turk. Figure 2 provide linear regression and 95% CI</t>
  </si>
  <si>
    <t>Proposed Correlational Counterfactual Test
(CCT). There is no significant test performed. Table 6: Values for CCT plus two variants: CCT (Jensen-Shannon) using Jennsen-Shannon divergence in place of TVD, and CCT (Spearman) using Spearman’s rank correlation in place of Pearson.</t>
  </si>
  <si>
    <t xml:space="preserve">We tested whether the explanations have a significant effect by testing whether the difference between the likelihood of these two models is significant using ANOVA. We used a z-test to compare individual performances across the settings (Figure 3). </t>
  </si>
  <si>
    <t>Table 2: Number of partial least squares regression components C [T ] required for a given goodness of fit T , found using the experimental setup described in §2. For example, the C [≥ 0.95R2] column shows the number of components required to reach 95 percent of the maximum goodness of fit for the respective property and model.</t>
  </si>
  <si>
    <t>Intervention-based Training, Negation Intervention</t>
  </si>
  <si>
    <t xml:space="preserve">Paralinguistic Attribution, 4.2 Quantitative Faithfulness Evaluation, 5. Plausibility User Study, Appendix: Table 8 user study visualization, Table 9 and 10 support table 8 statistical testing </t>
  </si>
  <si>
    <t>Agreement between Exact and Approximate Attributions. We apply this test on the distribution of squared errors between predictions and targets on the STS test set (MSE is used as a loss function
at training time). We set the tests ϵ-parameter to
the suggested value of ϵ = 0.3 and choose a sig-
nificance level of p &lt; 0.05, which is not an overly
strict criterion for superiority. This significant test is for performance evaluation not explanation evaluation</t>
  </si>
  <si>
    <t>Quantitative evaluation of fluency and correct-
ness of the CF instances generate. Quantitative evaluation of the diversity of generated counterfactuals with respect to the original questions</t>
  </si>
  <si>
    <t>This is more on data faithfulness rather than model faithfulness of explanation evaluation</t>
  </si>
  <si>
    <t>Figure 1: Bias score of Heritability of IQ over time.
Wikipedia ORES article quality scores are plotted for comparison. Spearman correlation: -0.27, p-value 0.008. Figure 2: Average bias score and ORES score of articles over time. The dark lines are the scores and the shaded area indicates the 95% confidence interval.</t>
  </si>
  <si>
    <t>Table 3: Fairness and quality based on human evaluations of explanations. Smaller Ind-CF means better fairness. * indicates p-value &lt;0.05 for paired t-test.</t>
  </si>
  <si>
    <t>Model and Human Explanations Agreement</t>
  </si>
  <si>
    <t>Table 3: LJP results on CAIL. Among them, the underline scores are the state-of-the-art performances in LJP but lacking explainability, and the results in bold perform second only to NeurJudge but with an explainable rationale.
Results of LJP baselines are quoted from (Yue et al., 2021). Table 4: Human evaluation on charge prediction.</t>
  </si>
  <si>
    <t>Proxy Evaluation we compute: 1. Agreement with Human Rationales: Precision, Recall, and F-1 scores
computed against human rationales; 2. Minimal-
ity: the length of the contrastive phrasal highlights,
measured as the number of highlighted tokens. Case Study 5 For the application-
grounded evaluation I, which contains a total of 150 annotations per language, the significance level is p = 0.1. Case Study 6: For this study, which
contains a total of 250 annotations, the significance level is p = 0.05.</t>
  </si>
  <si>
    <t>Table 13: Spearman correlation(%) of Vicuna-7B with
different prompts for faithfulness rating. The highest
correlation on each dataset is in bold.</t>
  </si>
  <si>
    <t>Dataset benchmark for Legal XAI NLP, No Model Explanation evaluation</t>
  </si>
  <si>
    <t>Evaluate model performance and uncertainty</t>
  </si>
  <si>
    <t>"Faithfulness" refers to Factuality, not Explanation Fidelity. The paper focused on decoding not explanation</t>
  </si>
  <si>
    <t>Faithfulness here refers to data factuality not model explanation evaluation</t>
  </si>
  <si>
    <t>Table 8: Correlation analysis between human evaluation and three faithfulness metrics.</t>
  </si>
  <si>
    <t>5.3 Quantitative Evaluation, Explanation accuracy, Relevance, Coverage and Overlap. Table 5: How often is PAS ’s explanations are more relevant compared to the baselines with P-value</t>
  </si>
  <si>
    <t>A major concern in using deep learning based generative models for document-grounded dialogs is the potential generation of responses that are not faithful to the underlying document.</t>
  </si>
  <si>
    <t>Table 2. Statistical testing on human data explanation agreement but not focused on model explanation evaluation. We report averaged κ between the models’ focus and the experts’ annotations across the case-allegation-article pairs Table 3 does not have significant testing, maybe because not the focus of the paper</t>
  </si>
  <si>
    <t>Table 2: Evaluation for task accuracy (Acc. (%) ↑), bias (F1 ↓), and faithfulness for task rationales: Comprehensiveness (Compre. ↑) and Sufficiency (Suff. ↓)</t>
  </si>
  <si>
    <t xml:space="preserve">Mechanistic interpretability, Relative importance (RI) measurements, Indirect effect </t>
  </si>
  <si>
    <t>Figure 5: Agreement between human rationales and model-based explanation</t>
  </si>
  <si>
    <t>Method-method agreement and Method-Human agreement</t>
  </si>
  <si>
    <t>Table 2: Fleiss’ Kappa and other statistics of human evaluations on ChatGPT and InstructGPT-3 results. Table 3: Pearson’s correlation coefficients between human evaluation and existing automatic evaluation results on ChatGPT explanations.</t>
  </si>
  <si>
    <t>Table 1: Probing scores for GPT-2 models on syn-
thetic reasoning tasks with different k. Table 3: Pearson correlation coefficient between our
probing scores and test accuracy for 4-shot LLaMA.</t>
  </si>
  <si>
    <t>This paper focus Knowledge Grounded Conversation (KGC), rather than model faithfulness</t>
  </si>
  <si>
    <t>Table 5. The p-values in this paper are primarily related to performance and utility evaluation. Table 7: Flan-T5 and Flan-T5Few-Shot ∆G performance across professions in En-Es and their difference (∆) but no statistical significant</t>
  </si>
  <si>
    <t>we measure the correlation strength between the probability of a situation belonging to a given topic against how likely norms will contradict for that given situation.</t>
  </si>
  <si>
    <t>Theoritical paper</t>
  </si>
  <si>
    <t>we use a method that is used for rater agreement, reporting two numbers: the raw agreement and Cohen’s kappa coefficient</t>
  </si>
  <si>
    <t>Table 4: Performances when the model gives higher
attribution scores to rationale words or not.</t>
  </si>
  <si>
    <t>automatic attribution detection techniques. We build upon previous work on grounding and factual consistency</t>
  </si>
  <si>
    <t>Rationale Alignment Task</t>
  </si>
  <si>
    <t>5.5 Evidence Extraction Results, Table 7 performance evaluation have significant testing but table 8 and 10 are not.</t>
  </si>
  <si>
    <t>Plausibility evaluation from bounding box annotation</t>
  </si>
  <si>
    <t>Evaluation Metrics For evaluation, we compute
the true positive rate (TPR) and false positive rate
(FPR) using the threshold-based detector’s classifi-
cation at different thresholds. Table 1: Human survey results comparing the Top-100
subsets selected using our influence function approach with Random-100 subsets. Significant portions of Top-100 samples are mislabeled compared to Random-100</t>
  </si>
  <si>
    <t>SHC (Self-harm Classification), CMSE
(Casual Mention Span Extraction), SISE (Serious Intent Span Extraction), RG (Rationale Generation). We conducted statistical evaluations compar-
ing SHC with CESM-100 to its ablated counter-
part (without CESM-100) across Llama, Mental-
Alpaca, and Mental-Llama configurations. Paired
t-tests (Dietterich, 1998) were chosen over Hoeffd-
ing inequality (Hoeffding, 1994) because the ag-
gregated F1 scores are derived from non-i.i.d. data,
making paired t-tests more suitable for capturing
dependent relationships across runs. Results from
10 runs confirmed statistically significant F1 im-
provements, with p-values below 0.05 (e.g., Llama:
p = 0.0198, Mental-Alpaca: p = 0.017, Mental-
Llama: p = 0.009). For other setups, our proposed
multitask model demonstrated substantial improve-
ments: +12% F1 over zero-shot, +7% F1 over few-
shot, and +4% F1 over fine-tuned setups (averaged
across models)</t>
  </si>
  <si>
    <t>1) Aspect Identification Accuracy (AIA) and (2) Aspect Explanation Validity (AEV).</t>
  </si>
  <si>
    <t>(a) Triplet-F1 ↑, (b) % ill triplet ↓</t>
  </si>
  <si>
    <t>Detection Rate, Average Area Detected</t>
  </si>
  <si>
    <t>Attributing Model component in MoE, Semantic-Driven Attention Head and
Expert Selection Mechanism. 
semantic-driven routing is validated through strong
temporal correlations between attention heads and
expert selection (r = 0.68, p &lt; 0.0014), indicat-
ing that attention mechanisms guide experts toward
task-relevant features.</t>
  </si>
  <si>
    <t>evaluate explanation faithfulness, we measure the change of model generation behavior from two perspectives. Word Frequency: BLEU, Semantic Similarity: SentenceBert, Probability Measurement: Probability Ratio (PR), and KL</t>
  </si>
  <si>
    <t>Benchmark Dataset contribution with empirical evaluation Figure 8</t>
  </si>
  <si>
    <t>AOPC, LogOdds. In this research, we conduct 500 independent runs for each method to perform comprehensive statistical tests, comparing the AOPC and LOdds metrics of our top-performing proposed method, AGF, against the top benchmark methods listed in Tab. 1 and Tab. 2, using τ = 0.5. As shown in
Tab. 4 and Tab. 5, the AGF method consistently
outperforms these benchmark techniques across all
datasets, except for the Yelp dataset.</t>
  </si>
  <si>
    <t>Figure 4: Top – The average faithfulness of the autoformalisation process across different LLMs</t>
  </si>
  <si>
    <t>Attribution Categorization, Gold rationale on KG</t>
  </si>
  <si>
    <t>This paper focus on evaluating performance for synthetic data in context attribution</t>
  </si>
  <si>
    <t xml:space="preserve">To this end, we engage human annotators to manually analyze 200 generations from selected methods across the following dimensions. Each generation is rated on a 5-point Likert scale for each dimension. </t>
  </si>
  <si>
    <t>Table 12: Perplexity Comparison of COLLATE and Baseline Methods for generating ground-truth (GT) answers
conditioned on rationales</t>
  </si>
  <si>
    <t>To evaluate LAQuer citations, we sample ten
facts from the facts extracted from the output, as
described in Section 5.1. We then calculate Au-
toAIS (Gao et al., 2023a), which is an entailment
metric commonly used for evaluating attribution.</t>
  </si>
  <si>
    <t>Interpretability is evaluated at
the label level from two complementary aspects:
truthfulness and distinguishability.</t>
  </si>
  <si>
    <t>Results are averaged over five runs,
with statistical significance determined at p &lt; 0.05
by t-test. However this significant is performed on performance evaluation not focused on evaluation explanation. we use GPT-4 to evaluate 1000 randomly selected samples. For human assessment, 15 professional postgraduates rate 100 samples, achieving moderate intra-class (0.637) and inter-class (0.608)agreement, indicating reasonable consistency despite the task’s subjectivity.</t>
  </si>
  <si>
    <t xml:space="preserve"> Intermediate Step Evaluation </t>
  </si>
  <si>
    <t>Table 1: Evaluation results of task performance (Acc) and normalized rationale faithfulness scores (Faith)</t>
  </si>
  <si>
    <t>We conduct a human evaluation for the interpretability of the transformed text from three aspects: (1) Clarity (2) Coherence: (3) Completeness:</t>
  </si>
  <si>
    <t>We define importance as the attention weights (α in Figure 3) between the head node and tail nodes learned by the model to test its explanation performance.</t>
  </si>
  <si>
    <t>Verification by Head Ablation Applying a two-sample Kolmogorov-Smirnov test to ascertain the differences in their distributions</t>
  </si>
  <si>
    <t>Rationale Accuracy (RA): The percentage of questions when the verifier selects the valid solution from the set of candidates.</t>
  </si>
  <si>
    <t xml:space="preserve">We investigate the variations in the model’s per-
formance as a function of attribution scores for relations or attributes. </t>
  </si>
  <si>
    <t>Comp, Suff</t>
  </si>
  <si>
    <t>We report two response-level metrics: faithfulness and informativeness.</t>
  </si>
  <si>
    <t xml:space="preserve">Faithfulness. Inspired by explainability evaluation metrics within the vision domain </t>
  </si>
  <si>
    <t>Table 5: Pearson correlation between response quality and position of annotated evidence. * indicates significance
(p &lt; 0.05). Table 6: System-level Pearson correlation between response quality and evidence quality for citation and reduced-citation (8 score pairs per dataset). For Avg, correlation was computed over the average scores (right most columns in Table 3).</t>
  </si>
  <si>
    <t>Not an XAI paper and explanation evaluation paper</t>
  </si>
  <si>
    <t>correctness, and fluency of self-citation and MIRAGE on ELI5 when using self-citation instruction and standard prompts of Table 9</t>
  </si>
  <si>
    <t>(3) Faithfulness of the Generated
Self-Reflective Rationales: We make the first ef-
fort to measure the faithfulness of the provided
self-reflective rationales. Table 3: The faithfulness evaluation results for self-reflective rationales. No significant test on table 3</t>
  </si>
  <si>
    <t>we use four metrics which are factuality (FA), faithfulness to Hate Speech (FH), faithfulness to Claim (FC) and faithfulness for Evidence (FE), and Diversity (D).</t>
  </si>
  <si>
    <t>Estimated effects of discovered latent topics with 95% CI. Table 2: Results of Validation Study 1, 2, and 3. For each study, win rates are calculated as the share of com- parisons with arguments of other origins that are won. Confidence intervals are calculated based on 500 bootstraps of the individual comparison outcomes. Table 4: Summary statistics of the causal effect estimation of the different topics discovered in the analysis of arguments for veganism and inferred using CVXPY.</t>
  </si>
  <si>
    <t>Table 1 contain significant test but for performance evaluation. Figure 5: Model performance w.r.t. Noise-to-Signal Ra-
tio (NSR) ratio.</t>
  </si>
  <si>
    <t>1 Intrinsic Evaluation: Hallucination Detection and Correction Suggestion. Table 2: User subjective ratings of systems after completing navigation sessions.  (Bonferroni correction for 12 tests comparing 4 systems with “No communication”) and p &lt; 0.05, respectively, as determined by a two-related-sample t-test.</t>
  </si>
  <si>
    <t>Benchmark dataset contribution</t>
  </si>
  <si>
    <t>Human Evaluation: To measure how often the
method generates true adversarial examples, we
perform a human evaluation in which the generated instances of each dataset are labelled.</t>
  </si>
  <si>
    <t>Reliability through Subset consistency and Inter-rater reliability, Validity through concurrent
validity and construct validity,</t>
  </si>
  <si>
    <t>Table 5: Analysis of Explainability using Occlusion - F1. Table 6: Analysis of Lower Court Bias using LCI - Results of Positive and Negative MES Scores, and
Label Flips across the three languages. Labels 0 and 1 indicates dismissal and approval respectively.
Lower scores indicate a less biased model. Subscript indicates the standard deviation values.</t>
  </si>
  <si>
    <t>to verify the effectiveness of
our framework in improving models’ interpretabil-
ity, following (Chen and Ji, 2020), we adopt the
area over the perturbation curve (AOPC)</t>
  </si>
  <si>
    <t xml:space="preserve">Answer and Question Token Co-occurences, Removing Subgraphs </t>
  </si>
  <si>
    <t>The tests confirm our initial observations
that most distributions from one group are significantly different from the other group (25/36 pairs, with p &lt; .05) and that no significant differences are found within groups. Table 6: Chi-Square test results for comparing different methods on their preference for stop words, punctuation and POS. Asterisk (*) indicates statistical significance at the 0.05 level. A dark background visually highlights the hypothesised Group 1 – Group 2 comparisons.</t>
  </si>
  <si>
    <t>Explainable AI focus on dataset construction, Figure 6: Agreement results for Approach 2. The figure is based on the results for BERTweet, but the
results are almost identical for T. RoBERTa. Note that human presents the IAA scores from Figure 3.</t>
  </si>
  <si>
    <t>To quantify the interpretability of the components, we use the word intruder test, performed both by humans and by large language models. We propose to use the automated version of the word intruder test as a fast and inexpensive way of quantifying vector interpretability without the need for human effort.</t>
  </si>
  <si>
    <t>Table 3: Plausibility (the higher the better) and
faithfulness (the lower the better. Figure 4 and Figure 5 NS stands for the no significant difference.
*, **, *** stand for p-value &lt;.05, .01 and .001.</t>
  </si>
  <si>
    <t>Figure 5 and 10: Comparison of gaze-based and rationale-
based ranking of explanation methods for English
(EN), Spanish (ES), and German (DE) – top to bot-
tom. Ranks 1 to 5 indicate model explanations most
to least aligned with human importance scores.
Spearman rank correlation rs at p ≤ 0.01 (∗∗),
p ≤ 0.05 (∗), or not significant (ns). Results are
based on text samples filtered by correct human
answers.</t>
  </si>
  <si>
    <t>2.2 Saliency Method Evaluation</t>
  </si>
  <si>
    <t>We evaluate the extracted rationales using auto-
matic (§5.4.1) and human measures (§5.4.2). Table 3: Human evaluation of rationales generated by
RATION and InstructGPT. Bold indicates significant differences (p&lt;0.05, paired bootstrap resampling).</t>
  </si>
  <si>
    <t>4.3 Evaluation of Explanations, Interaction Analysis, Perturbation Analysis. Appendix B Perturbation details We further test if BiLRP AUPC scores
are significantly lower than any of the other com-
parison methods and find this to be the case with
p ≤ 0.05 for all investigated models and datasets.</t>
  </si>
  <si>
    <t xml:space="preserve">Calculating Correlations. We report our results
in terms of Spearman’s ρ. By calculating the
influence score of every case in the training corpus
on every decision in the test corpus, we can
begin to quantify the use of precedent in neural
models of legal outcome prediction by studying
the correlation of the influence scores with our
taxonomy of precedent; </t>
  </si>
  <si>
    <t>Evidence Retrieval</t>
  </si>
  <si>
    <t>Table 10: Suff and Comp difference between multilingual BERT (mBERT) and monolingual BERT. Contain p-values of Faithfulness disparity on FAs and languages, but does not mention what statistical testing</t>
  </si>
  <si>
    <t>We tested correlation between the three metrics on seed-based dimensions for the Grand et al. (2022) data and obtained highly significant correlations (p ≪ 0.0001, r = 0.972 for pairwise rank accuracy, r = 0.971 for extended pairwise rank accuracy).</t>
  </si>
  <si>
    <t>Paper per year</t>
  </si>
  <si>
    <t>XAI and Eval XAI</t>
  </si>
  <si>
    <t>Use SigTest when Eval XAI</t>
  </si>
  <si>
    <t>High Risk Domain wo Statsig</t>
  </si>
  <si>
    <t>High Risk Domain w Statsig</t>
  </si>
  <si>
    <t>Appendix I. We use Student’s t test to exam the superior performance of the best robustness-based methods against previous methods. The double checkmark represents a confidence level of 95% and a single checkmark for a confidence level of 90%. Result in Table 10 and 11</t>
  </si>
  <si>
    <t xml:space="preserve">faithfulness </t>
  </si>
  <si>
    <t>plausibility</t>
  </si>
  <si>
    <t>Others</t>
  </si>
  <si>
    <t>Table 2: Statistical significance of performance difference with different trainsets. We conduct Mann-Whitney U test on different settings and use Fisher’s method to merge corresponding p-values (see details in Appendix I). Table 4: Pearson Correlation between our Attributability
Score, Human Annotation, and GPT-4 Annotation. By ∗∗, we denote a p-value smaller than 0.001.</t>
  </si>
  <si>
    <t>Utility</t>
  </si>
  <si>
    <t>Faithfulness</t>
  </si>
  <si>
    <t>Plausibility</t>
  </si>
  <si>
    <t>Bias Assessment, The attention-bias correlation remains significant (ρ &lt; 0.001, r = 0.43) after removing all length-related effects.</t>
  </si>
  <si>
    <t>The differences between all models were statistically significant under bootstrapping with a p-value threshold of 0.01</t>
  </si>
  <si>
    <t>Table 7: Transferability analyse for RD (Rationale
Distillation)  contain p-value. No mention what kind of statistical testing methods</t>
  </si>
  <si>
    <t>Table 1: The correlation coefficients between different metrics and model inference accuracy. The correlation coefficients averaged among various models in few-shot tasks. Multiplicity Barrier</t>
  </si>
  <si>
    <t>Table 1 and Table 3: : The following table presents the Pearson and Kendall Tau correlations between human annotator and SOTA evaluators for explanations in the combined dataset. All the p-values are less than 0.05.</t>
  </si>
  <si>
    <t>Figure 5: Spearman’s rank correlations between different semantic concepts.</t>
  </si>
  <si>
    <t>Table 1: Statistics of the experimental datasets. Pearson coeff and p-value. Not their proposed method</t>
  </si>
  <si>
    <t>Evaluated Models for CoT Faithfulness
in LLMs</t>
  </si>
  <si>
    <t xml:space="preserve">Figure 3: Main results from the logistic regression coefficient analysis, and perception disagreements. otted lines separate feature categories (Linguistic, Objective Interpretation, etc.). Significance
levels: * p &lt; 0.05; ** p &lt; 0.01; *** p &lt; 0.001. </t>
  </si>
  <si>
    <t>Influence functions</t>
  </si>
  <si>
    <t xml:space="preserve"> residualized similarity (RS) system</t>
  </si>
  <si>
    <t>Gender and Age prediction with Explanation, Our analysis focuses on two key aspects: demo-
graphic targeting and fairness. a binomial test assessing whether the
model’s gender predictions are significantly better
than random guessing (50%).</t>
  </si>
  <si>
    <t>Fine-Grained Attribution Evaluation</t>
  </si>
  <si>
    <t>stat test on performance evaluation: p &lt; .05 in a Wilcoxon rank-sum test. UpSet plots (Lex et al., 2014) of Shapley interactions for the global explanation games</t>
  </si>
  <si>
    <t>examine and mitigate these biases, we focus on the</t>
  </si>
  <si>
    <t>Natural Direct Effect (NDE) as a means to quantify</t>
  </si>
  <si>
    <t>the direct contributions of each modality.</t>
  </si>
  <si>
    <t>To systematically examine and mitigate these biases, we focus on the Natural Direct Effect (NDE) as a means to quantify the direct contributions of each modality.</t>
  </si>
  <si>
    <t>Figure 4: The effect sizes when the explanation-generating LLMs, the target models, and the datasets as the control variables, respectively.</t>
  </si>
  <si>
    <t>Table 1: The average ATE of positive and negative
sentiment words as treatments</t>
  </si>
  <si>
    <t>When the system
was correct, participant accuracy improved mod-
estly across all conditions. However, when the
system was incorrect, accuracy dropped in every
condition, especially in Condition 2 (Rewrite + Ra-
tionale), where the average accuracy decrease was
statistically significant (t = −4.23, p = 0.0003;
post-hoc t-test on accuracy deltas).</t>
  </si>
  <si>
    <t>flip verification</t>
  </si>
  <si>
    <t>average rating of the two human solvers against the ER for the same puzzles resulted in a Spearman’s Ranking Correlation Coefficient (ρ) of 0.86994. Multiplicity Barrier (or correlation without p-value mention)</t>
  </si>
  <si>
    <t>Figure 4: Scatter plot with a linear regression line fitting the relationship between QA - EM and Attribution - F1</t>
  </si>
  <si>
    <t>PROOF-Score, a new metric for evaluating domain models’ explainability,</t>
  </si>
  <si>
    <t>Table 1: Attribution Accuracy on QuoteSum dataset</t>
  </si>
  <si>
    <t>Statistical methods on performance evaluation. The Incomplete Rigour</t>
  </si>
  <si>
    <t>Calculating Memory Strength. Correlation between Context Faithfulness and Memory Strength</t>
  </si>
  <si>
    <t>Table 2: Spearman correlation analysis. We examine the relationship between F1 scores (pred-ans vs. gold-ans) and norm-entropy (generation distribution) under both w/o and w/ context settings (p ≪ 0.05 for all models).</t>
  </si>
  <si>
    <t xml:space="preserve">Figure 4: ECE of finetuned and base models. ∆F T −Base. The Pearson Coefficient and
p-value from the significance test are 0.9681 and
2.462e−10 respectively, portraying a very distinct
linear correlation. </t>
  </si>
  <si>
    <t>measure the similarity between model-generated explanations and the ground truth in the test set.</t>
  </si>
  <si>
    <t xml:space="preserve">Table 4: Analysis of the CR of reasoning paths over CWQ. To verify the faithfulness
of our step-wise method, we conduct an error anal-
ysis regarding the whole reasoning path generation
using RoG (Luo et al., 2024). </t>
  </si>
  <si>
    <t>Circuit ablation results for (a) correctness
and (b) robustness on the symbolic dataset</t>
  </si>
  <si>
    <t>Figure 4: Average logits (%) of key tokens faithful
to contextual knowledge, comparing base models and models aligned using our Context-DPO</t>
  </si>
  <si>
    <t>CoT Faithfulness Evaluation</t>
  </si>
  <si>
    <t>Results of appraisal concept modulation by intervening at layer 9 hidden states of Llama 3.2 1B. Table 3: Comparing the average appraisal values the LLM perceived for correctly classified vs misclassified samples with different emotion labels. All values re- ported here have p-value less than 0.001. Incomplete Rigour</t>
  </si>
  <si>
    <t>Figure 4: OEG task. Human expert evaluation of GPT4o-mini generated answers.</t>
  </si>
  <si>
    <t>Analysis of Model Explanations. Comparison of the supervised and unsupervised model regarding evidence match on the test set showing the numbers of empty, exact match, proximate match and no match.</t>
  </si>
  <si>
    <t xml:space="preserve">Figure 3: The comparisons between GenDiE and
GenDiEanswer-level across iterations. </t>
  </si>
  <si>
    <t>The alignment between each metric with human judgment in evaluation.</t>
  </si>
  <si>
    <t>Table 5: PPCs between individual α and two evaluators: (1) Our automatic evaluator and (2) Individual β.</t>
  </si>
  <si>
    <t>analyze the averaged
indirect effects (AIE) per (token, layer) position</t>
  </si>
  <si>
    <t>count the generated tokens to evaluate reasoning
efficiency while maintaining performance.</t>
  </si>
  <si>
    <t xml:space="preserve"> Table 2: Attribution sensitivity (CAS) results.</t>
  </si>
  <si>
    <t>Pearson, Kendall-Tau, Spearman correlation
coefficients on AttriData test dataset. Multiplicity barrier</t>
  </si>
  <si>
    <t xml:space="preserve"> (i) e∗ is in the
top two examples with the highest IA score (top-
2 accuracy), and (ii) e∗ gets the highest IA score
among the input examples (top-1 accuracy).</t>
  </si>
  <si>
    <t>Table 3 Spearman correlation, *: p &lt; .05, **: p &lt; .01, ***: p &lt; .001 and Table 4 Spearman correlation, *: p &lt; .05, **: p &lt; .01, ***:
p &lt; .001</t>
  </si>
  <si>
    <t>Through human evaluation, we compare the overall quality of explanations generated by EXPERT and FLEUR, the only two metrics that are both explainable and reference-free.</t>
  </si>
  <si>
    <t>Table 4: Human evaluation on NLI vs. Beam and HVM vs. Beam. Figure 4: Performance differences (∆) on quality (BLEU) and faithfulness (FactKB)</t>
  </si>
  <si>
    <t>Figure 5: Interpretability results for the 5 prompting techniques across 3 commonsense reasoning benchmarks</t>
  </si>
  <si>
    <t>ERASER Metrics</t>
  </si>
  <si>
    <t xml:space="preserve">We performed a user study aimed at studying
whether GrASPlite is viewed as interpretable by
human users. We focus on the question of lo-
cal explanation, namely when considering a spe-
cific instance, </t>
  </si>
  <si>
    <t>Accuracy of the explanation structure</t>
  </si>
  <si>
    <t>Extraction F1-scores</t>
  </si>
  <si>
    <t xml:space="preserve">Average confound influence difference (CID)
of different models in the TextLen task.Table 2: Test set performance (accuracy) of different deconfounding approaches. </t>
  </si>
  <si>
    <t xml:space="preserve">Table 4: The experimental results of different models,
including an ablation study for different RGNet vari-
ants. </t>
  </si>
  <si>
    <t xml:space="preserve">Fidelity and Perceptibility  A one-way ANOVA shows a significant difference between methods for HATESPEECH. A Tukey’s post-hoc
test (α = .05) indicates that our method signifi-
cantly outperforms Masked-LM and TextFooler </t>
  </si>
  <si>
    <t>Cosine similarity between encoder represen-
tations. Positive similarity (blue), negative (red).</t>
  </si>
  <si>
    <t>Table 5: Manual evaluation of evidence path</t>
  </si>
  <si>
    <t>QE task as a new benchmark for evaluating the plausibility of feature attribution explanations. Table 3: Statistics for MLQE-PE test sets: performance of sentence-level QE models (Pearson r). Multiplicity barrier</t>
  </si>
  <si>
    <t>Table 2: Average learnability. Figure 4: Linear regression plots of learnability vs. robustness vs. post data augmentation ∆ on IMDB dataset.
Each point in the plots represents a model-perturbation pair. ρ is Spearman correlation. ∗ indicates high significance (p-value &lt; 0.001). Table 3: Correlations of average learnability vs. robustness vs. post data augmentation ∆. ρ is Spearman correlation. ∗ indicates high significance (p-value &lt; 0.001).</t>
  </si>
  <si>
    <t>Interpretability Metrics: AOPC, Post-hoc Accuracy</t>
  </si>
  <si>
    <t>Quantitative Analysis of Interpretability</t>
  </si>
  <si>
    <t xml:space="preserve">evaluate use of different attribution methods for aid-
ing identification of training data artifacts. </t>
  </si>
  <si>
    <t>Table 4: Regression coefficients for effect each pro-
posed method on overall prediction accuracy</t>
  </si>
  <si>
    <t>investigated the (in)stability of keywords across
the 100 runs, and the utility of the selection fre-
quency threshold t, by studying the selection fre-
quency of the keyword candidates.</t>
  </si>
  <si>
    <t>Table 4: Accuracy of the BERT RQA model, The column Beats indicates that the model
significantly outperforms (p-value &lt; 0.05). Table 6: Human evaluation results of the usefulness of
explanations. Incomplete Rigour</t>
  </si>
  <si>
    <t>Table 7: Human evaluation of generated explanations and selected concepts.</t>
  </si>
  <si>
    <t xml:space="preserve"> I→O. Predict the label directly from the ques-
tion and answer options.
• IR→O. Predict the label from the question,
answer options and the rationale.
• I→R. Predict the rationale from the question
and answer options.</t>
  </si>
  <si>
    <t>Table 4: Toxicity and gender prediction with various
inputs. Table 5: Profession and gender prediction with various inputs. Table 6: Comparision of our method with debiasing baselines on open-ended generation tas</t>
  </si>
  <si>
    <t>Table 2: Lexica interpretability human evaluation re-
sults: percentage of words annotated as “the word describes the [sentiment/emotion]" or “the word is related to the [sentiment/emotion]" averaged across all corpora for each method</t>
  </si>
  <si>
    <t>Table 5 † For VCR answers, we report both proxy accuracy (1st row) and plausibility (2nd row; §3.2).</t>
  </si>
  <si>
    <t>Table 4: Quality evaluation of attention weights. The
upper table reports the consistency measure of the value attentions (Value) and the subjective ground attentions (SG).</t>
  </si>
  <si>
    <t>RACU Faithfulness</t>
  </si>
  <si>
    <t>section 5 Faithfulness Metrics</t>
  </si>
  <si>
    <t xml:space="preserve">Figure 2: Predicted versus actual change in conditional loss over a sample of mispredicted validation tokens from CoNLL. The dotted line shows the line of best fit to the observations (solid line is perfect correlation). Multiplicity Barrier / </t>
  </si>
  <si>
    <t>AOPC</t>
  </si>
  <si>
    <t>AOPC-5 and AOPC-10</t>
  </si>
  <si>
    <t xml:space="preserve">Four expert annotators assign each
summary output into three faithfulness categories
(faithful summary, intrinsic hallucination, extrin-
sic hallucination) and three summary quality cate-
gories (low(1), medium (2), high(3)). </t>
  </si>
  <si>
    <t>Explanation plausibility may be described as a subjective satisfaction with how a given explanation justifies a label/answer. we conduct a human evaluation of plausibility of generated explanation</t>
  </si>
  <si>
    <t xml:space="preserve"> faithfulness evaluation</t>
  </si>
  <si>
    <t>Table 7: Human evaluation of generated contrastive explanation on development set of CSQA</t>
  </si>
  <si>
    <t>Affect An analysis of our collected annotations
on the data shows that there is a small positive
(Pearson’s) correlation (r=0.2, p &lt; 0.001) between
binary affect and IGR and Specificity no correlation between specificity and IGR (r=−0.07, p &lt; 0.001), unlike affect. Significant test on dataset annotation</t>
  </si>
  <si>
    <t>Experiment 1, 2 and 3 (plausibility). Could use CI instead of STD</t>
  </si>
  <si>
    <t>Table 2: (Effective) degrees of freedom, reference degrees of freedom and Wald test statistics for the univariate smooth terms (top) and parametric terms (bottom) for our randomized saliency experiment.</t>
  </si>
  <si>
    <t>Table 4: Token-level relevance on TLR-FEVER.</t>
  </si>
  <si>
    <t>Flip Rate. Table 5: P-value of the inconsistency of different sample sizes of the Newsgroup dataset.</t>
  </si>
  <si>
    <t>Table 1: Agreement between pairs of saliency methods in terms of Kendall-τ (kτ ) and Pearson-r (pr ). Multiplicity Barrier</t>
  </si>
  <si>
    <t>Backdoor attack scenarios</t>
  </si>
  <si>
    <t>Table 4. OA is the original accuracy, CA is the sentiment classification accuracy after modification, and RA is the reversing accuracy for the sentences that successfully reverse the sentiment labels after modification.</t>
  </si>
  <si>
    <t>Performance of prompt fidelity on continuous
prompts (average squared distance reported). Table 5: Performance of downstream tasks by training combinations of five selected tokens, including random selection, nearest to continuous prompts, and our method</t>
  </si>
  <si>
    <t xml:space="preserve">LO ↓ Comp ↑ Suff ↓ </t>
  </si>
  <si>
    <t xml:space="preserve">the recall scores of document fact highlights predicted by different models. </t>
  </si>
  <si>
    <t>Alignment with human concepts and Evaluation of Explanation Faithfulness</t>
  </si>
  <si>
    <t xml:space="preserve">Table 4: Label-Explanation association measured as % of inputs with distinct explanations for each task label. Table 5: Simulatability score of the explanations from different methods. There is effect size of data but not really effect size using statistical methods </t>
  </si>
  <si>
    <t>area over the perturbation curve (AOPC)</t>
  </si>
  <si>
    <t>Table 3: Similarities between contextualized SENTECON representations of homonyms and their matching- and opposing-sense meanings. ∗∗ denotes a difference with p &lt; 0.005, and ∗∗∗ denotes a difference with p &lt; 0.0005.</t>
  </si>
  <si>
    <t>Table 5 and 6 Pruning Effect.  “*” means that performance decline is statistically significant (p &lt; 0.05).</t>
  </si>
  <si>
    <t xml:space="preserve">Table 3: Faithfulness Judgement Task </t>
  </si>
  <si>
    <t>Table 1: Comprehensiveness, sufficiency and their difference for various explainers. Table 6: Average values of precision and normalized rank of the ground truth correlated words for each explainer.</t>
  </si>
  <si>
    <t>Table 3: Human evaluation results on XSum. Faith.:
faithfulness; Cover.: coverage; Coher.: coherence. Our model using word truncation guided by MUFASSA achieves the best summary faithfulness and coverage. Krippendorff’s α ≥ 0.35 for all aspects.</t>
  </si>
  <si>
    <t xml:space="preserve">Table 3: Span-match results for unsupervised keyphrase extraction </t>
  </si>
  <si>
    <t xml:space="preserve">To assess the model’s reluctance to update its prediction, we use the memorization ratio (MR), which is calculated as MR = po / po+ps . A completely faithful LLM should have an MR of 0. </t>
  </si>
  <si>
    <t>It's about distillation</t>
  </si>
  <si>
    <t>Sufficiency, Completeness, Stability, Plausibility</t>
  </si>
  <si>
    <t>Test-Retest Consistency (TrC), Internal Consistency (InC) , External Consistency (ExC), Behavioral Consistency (BC), Occasion-based Behavior Test</t>
  </si>
  <si>
    <t xml:space="preserve">Table 2: Human evaluation. </t>
  </si>
  <si>
    <t>Table 3: Correlations of metrics and human judgments. Table 4: Evaluations of Generated Reasoning Chains. Multiplicity Barrier</t>
  </si>
  <si>
    <t>We carried out two distinct human evaluations for
rationales generated by both AERA and ChatGPT</t>
  </si>
  <si>
    <t>using existing free-text human annotations. Mostly evaluate whether performance increase or not</t>
  </si>
  <si>
    <t>Correlation between Plausibility and correctness. We assess the statistical significance of ZARA’s
performance gain over the FEB baseline by adopting one-sided McNemar’s test (McNemar, 1947), where † denotes p &lt; 0.01. Incomplete Rigour</t>
  </si>
  <si>
    <t>Table 4: Sensitivity of prompts for prompting LLMs
on AttrEval-Simulation (Sim.) and -GenSearch (Gen.).</t>
  </si>
  <si>
    <t>Table 1: Perplexity scores for various masked and causal LM architectures. R2 and Spearman’s ρ are computed with respect to the PCFG log probabilities. Multiplicity Barrier</t>
  </si>
  <si>
    <t>“Sufficiency” and “comprehensiveness” are sim-
ilar to FPVG and therefore deserve a more detailed
comparison.  flip percentages depending on metric categorization. Proposing new metric</t>
  </si>
  <si>
    <t>Table 5: Comparison (realtive performance difference) of COT and CCOT solve rates.</t>
  </si>
  <si>
    <t>we assess task performance using accuracy and evaluate the quality of generated rationales using the Intersection-Over-Union F1 score (IOU F1) and Token F1 (TF1). We also follow the prior research (Wiegreffe et al., 2020) to take Rationale Accuracy (R-Acc) to evaluate the quality of generated rationales. Additionally, we introduce a novel metric, the Reasoning Success Quotient (RSQ), to gauge the extent of the reliable link between the generated rationale and model decision.</t>
  </si>
  <si>
    <t>5.1.2 Results When removing the plausibility processing attention heads (left in Figure 2), no plausibility effects are found for syntactic dependents (estimate = .77, SE = .53, t = 1.43, p = .15) and for distractors (estimate = .71, SE = .54, t = 1.32, p = .19). Also, no interaction effects are found (estimate = 0.06, SE = 0.76, t = 0.08, p = 0.94). n this case, the significant plausibility effects are observed both in syntactic dependents (estimate = 2.40, SE = .69, t = 3.46, p &lt; .001 ) and in distractors (estimate = 1.70, SE = .69, t = 2.45, p &lt; .05), although interaction effects are not found as well (estimate = 0.73, SE = 0.98, t = 0.75 p = 0.46).</t>
  </si>
  <si>
    <t>Table 1: AUC for the accuracy curves in Fig. 5 on NQ.</t>
  </si>
  <si>
    <t>Table 7 B: max-BLEU; R: ROUGE-L F1; BS: BERTScore F1. The KG-tuples (k) are concatenated with BART input tokens to generate explanations. Table 8: Pair-wise Effect size and p-test on (B: max-
BLEU; R: ROUGE-L F1; BS: BERTScore F1) when
comparing the column-wise control group with the row-wise treatment group for LatentHatred on BART-base with ConceptNet and StereoKG respectively, with k = 20. * (p ≤ 0.05) and **(p ≤ 0.001) indicate whether the difference in pairwise metric is significant.</t>
  </si>
  <si>
    <t>Table 2: Correlation with human judgement on the AudioCaps datase. Table 4: Sensitivity degree towards perturbation on factors. Table 5: Correlation with human judgement after
ablating different factors. Table 6: Correlation with human judgement using different matching methods. Multiplicity Barrier</t>
  </si>
  <si>
    <t xml:space="preserve">Table 1: Token level P, R &amp; F1 scores for identifying output tokens </t>
  </si>
  <si>
    <t xml:space="preserve">We evaluate the structured tree using the metrics proposed by Dalvi et al. (2021), which includes the F1 and accuracy of the Leaves, Steps and Intermediate conclusions, in addition to the overall accuracy of the tree structure. </t>
  </si>
  <si>
    <t>Table 1: Spearman correlation between crowdworker preference of rationales — weak correlations are observed with p &lt; 0.01 (strong statistical significance.). Table 2: Spearman correlation between acceptability and the fine-grained aspects of a rationale — moderate to fairly strong correlation was observed with strong statistical significance ( p &lt; 0.01).</t>
  </si>
  <si>
    <t>plausibility performance comparison across the three ERASER tasks.</t>
  </si>
  <si>
    <t>Table 4: Robustness Analysis: (a) Question Diversification (Qdiv); (b) Confounder Setting (three scenarios).</t>
  </si>
  <si>
    <t>Fidelity, Probability divergence@K. Figure 9: Masking strategies. The faithfulness of the explanations of GPT-2 predictions by the methods</t>
  </si>
  <si>
    <t>Table 4: Explanation performance comparison of various model combinations for judgment prediction across different evaluation metrics</t>
  </si>
  <si>
    <t>Fairness Metrics. Table 1, 2 and 3: Debiasing results  The best result is indicated in bold. ↓ and ↑ indicate decrease and increase in
performance over biased BERT. * represent statistically significant (ρ &lt; 0.05). No statistical method details mentioned</t>
  </si>
  <si>
    <t>Faithfulness. It is calculated by comparing generated features against actual image features, considering both direct (DM ) and broader conceptual similarities (DB ). Coverage. It measures the comprehensiveness of the generated captions in capturing the key elements and attributes depicted in the image.</t>
  </si>
  <si>
    <t>Relative change in the prediction probability when blocking the information flow from the input elements to the last token.</t>
  </si>
  <si>
    <t>Figure 8 and 9: Faithfulness evaluation using self-consistency checks</t>
  </si>
  <si>
    <t>Figure 2: Box-plots of the w and p values for
XBERTScore leading to improvements with different
explainers across all settings of the MT calibration sets. Md denotes the Median value. Figure 3: System-level correlation with BARTScore on
the first test split of SummEval. Multiplicity barrier</t>
  </si>
  <si>
    <t xml:space="preserve">Table 1: Turnaround accuracy results. An
asterisk (*) indicates that the result is statistically significant with p ≪ 0.05. Detailed scores are in Appendix E. We conducted Man-Whitney tests on accuracy for identifying turnaround posts. </t>
  </si>
  <si>
    <t>Table 1 and 2: Faithfulness (Acc) and Causality (CACE,
∆Acc) evaluation on the toy dataset. Table 4: Human study for explainability evaluation.</t>
  </si>
  <si>
    <t>Activation probability (%). A higher probability is better and indicates that adding the most relevant nodes strongly activates the correct model prediction. Pruning MSE. A lower MSE is better and indicates that removing less relevant nodes has little effect on the model prediction. Figure 3: Evaluation of explanations using input perturbations on AG’s News</t>
  </si>
  <si>
    <t>Algorithm Identification Accuracy (AIA): This metric measures the model’s ability to identify the rationale or algorithm that corresponds to the correct answer choice. Malgorithm Identification Accuracy
(MIA): This metric measures the model’s ability
to identify the flawed reasoning or malgorithm that
corresponds to an incorrect answer choice. Specifi-
cally, MIA evaluates the model’s capacity to iden-
tify faulty reasoning chains that contain a combi-
nation of correct steps and one or more mal-rules,
which lead to the wrong answer.</t>
  </si>
  <si>
    <t>Relatedness scores (6-Likert scale) computed
at explanation and document-level, along with the Spearman correlation between the two. Helpfulness scores (6-Likert scale) for Q1 (understanding the nature of the errors) and Q2 (guiding towards better translations), along with the Spearman correlation between the two. Table 9: Inter-annotator agreement at explanation and document-level, according to Pearson’s r and Spearman’s ρ correlation coefficients. Multiplicity Barrier. No mention of p-value from correlation results</t>
  </si>
  <si>
    <t>Causal Effects of generated CoT and reasoning problems on the outputs, with both Natural Indirect Effect (NIE) and Natural Direct Effect (NDE).  Table 3: Causal Effects of CoT. The reported results are zero-shot performance. CIE: Controlled Indirect Effect,
CDE: Controlled Direct Effect. The p-value represents the significance of the results</t>
  </si>
  <si>
    <t>TS is Levenshtein distance. FR is flip
rate with respect to a SOTA classifier. Data augmentation results for SA. Classification model is trained on original and LLMs or human-generated CFs with Accuracy as a metric. Spearman correlations between intrinsic metrics and data augmentation performance. Multiplicity Barrier</t>
  </si>
  <si>
    <t>Free-text rationales. Plausibility (Basic-Form Eval-
uation, Content Evaluation: We assess the rationale’s content by analyzing its support through contrast and its informativeness through novelty, Persuasiveness Evaluation: We assess the ra-
tionale’s persuasiveness relative to other generated
rationales supporting the chosen argument.)</t>
  </si>
  <si>
    <t>macro F1 and accuracy for verification prediction evaluation, and macro F1, Precision and Recall to measure the sentence-level agreement with human-annotated rationales. We also report fidelity defined in Eq.5 as a metric of faithfulness for post hoc methods. Moreover, we propose a new metric named Noiselessness based on the Definition2 to measure the degree to which the token rationales contain noise2. It can be calculated by Token Rationale Overlap rate, which measures the
overlap between token rationale with sentence Ra-
tionale (TRO-R) or Non-rationale (TRO-N),</t>
  </si>
  <si>
    <t>Table 2: Performance of automatic faithfulness evaluators at the sentence level. We report the annotation correlation between human experts and automatic evaluators. “P. Agreement (%)" represents the percentage agreement. “Pred.
Non-faithful (%)" represents the percentage of non-faithful instances predicted by automatic evaluators.  Table 7: The Spearman r correlation between abstractiveness (novel n-grams, i.e., “n = k" where k ∈ {1, 2, 3}) and Readability (i.e., FKGL, CLI, and DCRS) with the ratio of hallucination (i.e., non-factual and factual hallucinations) in summary. Table 7 and 8 contains p-value for correlation. Multiplicity Barrier</t>
  </si>
  <si>
    <t xml:space="preserve">Log-Odds (LO) (Shrikumar et al., 2017), Sufficiency (Suff), Comprehensiveness (Comp) and Area Over the Perturbation Curve (AOPC) for Sufficiency (A-S)
and Comprehensiveness (A-C) (DeYoung et al.,
2020). </t>
  </si>
  <si>
    <t xml:space="preserve">we calculate each selected metric’s accuracy and Macro F1 score between automatic judgements and human judgments. </t>
  </si>
  <si>
    <t>Table 6: Mean score differences between original and counterfactual groups, with scores ranging from 1 to 5. ubscripts and superscripts
indicate confidence intervals, obtained through 10,000 bootstrap iterations. Gray values indicate non-significant
differences (p ą 0.01), while coral values represent significant differences contrary to the expected intervention
trend. p`q and p´q denote the expected direction of intervention effect.</t>
  </si>
  <si>
    <t>We can evaluate an intervention based on our op-
erationalizations of effectiveness, faithfulness and
minimality. Multiplicity Barrier</t>
  </si>
  <si>
    <t xml:space="preserve">To facilitate a robust comparison between each model pair, we computed similarity/distance metrics such as Cosine Similarity
and Normalized Euclidean Distance (NED)3. These
metrics offer insight into the semantic space of each
model. </t>
  </si>
  <si>
    <t>we evaluate the performance of a GCE
model with the following metrics: (i) Validity. Va-
lidity measures the fraction of the generated coun-
terfactual graphs. (ii) Proximity. Proximity measures the mean graph distance d(·|·) between the original graphs G and their generated valid counterfactuals f (G) = ˆG</t>
  </si>
  <si>
    <t>an automated evaluation
using LLMs and a human evaluation to examine
the quality of generated rationales.</t>
  </si>
  <si>
    <t>RAGTruth benchmark,
we provide additional metrics such as precision, re-
call, and F1 score, alongside balanced accuracy, for
a more comprehensive understanding of the classi-
fication results in Table 2.</t>
  </si>
  <si>
    <t>Counterfactual Attentiveness Test. Figure 2: Attentiveness as a function of partial input
correlations for the supervised models. Higher attentiveness values (y axis) indicate better attentiveness to counterfactual inputs. Higher values on the partial input correlations indicate correlations between a part of the input and the label. It is computed as the score on the partial input baseline, subtracting the majority score.</t>
  </si>
  <si>
    <t>Evaluation Results For Explainability
(RQ2). 1) Fluency: the fluency and readability of the
text. 2) Comprehensiveness: whether the generated
text covers all the students’ issues. 3) Relevancy:
whether the generated text is relevant to the stu-
dents’ problem-solving situation. 4) Overall: the
general effectiveness of the generated explanation.</t>
  </si>
  <si>
    <t>The results of three intervention experiments:
percentage of examples for which user intervention resulted in a class flip (c.f.) and the average drop of
probability of the predicted class (∆p). For the results of human evaluation of plausibility,
we performed the non-parametric global Friedman
test followed by Nemenyi post-hoc analysis (as
recommended in (Demšar, 2006)). We were able
to reject the null hypothesis of the Friedman test
for all the measures with p&lt;0.001. The Nemenyi
post-hoc analysis with α = 5%</t>
  </si>
  <si>
    <t>Mostly ablation evaluation on performance and does not focus on explanation evaluation</t>
  </si>
  <si>
    <t>For critique-level evaluation, we utilize three metrics: precision, recall, and F1 score.
These three metrics are categorized into two types:
AIU level (micro) and critique level (macro) for
precision, recall, and F1 score. Table 4: Accuracy changes of the models trained by
removing critiques and performing Supervised Fine-
Tuning (SFT), removing critiques and performing SFT then Direct Preference Optimization (DPO), and the change in accuracy when critiques are placed before labels during training. Safety-J uses the M1 version. “S” represents SFT and “D” represents DPO. The “-” symbol indicates a decrease in accuracy relative to Safety-J. Figure 5: The safety rate of responses generated by the Qwen under different conditions.</t>
  </si>
  <si>
    <t>Answer Quality, measuring similarity between the predicted answer and the gold answer. Citation Quality, assessing the similarity between the cited text, the cited passage, and the citations present in the gold answer.</t>
  </si>
  <si>
    <t>Plausibility. We employ the Area Under the
Precision-Recall Curve (AUPRC). Faithfulness. We require discrete explanations to evaluate comprehensiveness and sufficiency</t>
  </si>
  <si>
    <t>Main Conference</t>
  </si>
  <si>
    <t>Table 3: Probing accuracy (%) for referential
opacity on GPT-2-XL and BERT-large-cased. We
report the mean and standard deviation across 10
seeds.</t>
  </si>
  <si>
    <t>Human Evaluation for
FACTUALITYPROMPTS. Table 6: Evaluation the generated responses in FACTUALITYPROMPTS using MTurk workers and automatic metrics.
The questionaires for humans use 1 to 5 Likert scale.</t>
  </si>
  <si>
    <t>Main+Findings</t>
  </si>
  <si>
    <t>Type</t>
  </si>
  <si>
    <t>We deploy the faithfulness evaluation protocol described in §3, where we prompt M∗ and M to
answer directly, without reasoning, and then compute how often their answers differ. Scatter plot of correlation between efficacy
and faithfulness. Scores reported are averages over 30 instances used for LR selection,</t>
  </si>
  <si>
    <t>Attributing Model component in MoE, Semantic-Driven Attention Head and
Expert Selection Mechanism. 
semantic-driven routing is validated through strong temporal correlations between attention heads and expert selection (r = 0.68, p &lt; 0.0014), indicating that attention mechanisms guide experts toward
task-relevant features.</t>
  </si>
  <si>
    <t>SHC (Self-harm Classification), CMSE
(Casual Mention Span Extraction), SISE (Serious Intent Span Extraction), RG (Rationale Generation). We conducted statistical evaluations comparing SHC with CESM-100 to its ablated counterpart (without CESM-100) across Llama, Mental-Alpaca, and Mental-Llama configurations. Paired t-tests (Dietterich, 1998) were chosen over Hoeffding inequality (Hoeffding, 1994) because the aggregated F1 scores are derived from non-i.i.d. data, making paired t-tests more suitable for capturing dependent relationships across runs. Results from 10 runs confirmed statistically significant F1 improvements, with p-values below 0.05 (e.g., Llama: p = 0.0198, Mental-Alpaca: p = 0.017, Mental-Llama: p = 0.009). For other setups, our proposed multitask model demonstrated substantial improvements: +12% F1 over zero-shot, +7% F1 over few-shot, and +4% F1 over fine-tuned setups (averaged
across models)</t>
  </si>
  <si>
    <t>Human Evaluation We conduct a human evaluation for free-text rationales on Amazon Mechanical Turk. Figure 2 provide linear regression and 95% CI</t>
  </si>
  <si>
    <t>We also ran a t-test to determine if global
heuristics provided results significantly different
from instance-level methods, finding that they did not.</t>
  </si>
  <si>
    <t xml:space="preserve">Diagnostic property performance, Agreement with human rationales. Table 9: Dataset Consistency results with Spearman ρ. The estimated p-value for the correlation is provided in the brackets. Dataset Consistency (DC). ataset Consistency compares explanations for pairs of instances on the same model. </t>
  </si>
  <si>
    <t xml:space="preserve">Table 3: Faithfulness and simulatability when executing different explanations for three datasets. Results are from 100 runs but there are confidence intervals or significant test performed. Human eval Results in Fig. 5 indicate that workers struggled
to comprehend attribution scores from LIME compared to MaNtLE. A paired-sample t-test for overall preference revealed significance (2.16 vs. 3.44; p-value &lt; 0.001). </t>
  </si>
  <si>
    <t>Table 4: Regression coefficients for effect each proposed method on overall prediction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</si>
</sst>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000000"/>
      <name val="Calibri"/>
      <family val="2"/>
      <scheme val="minor"/>
    </font>
    <font>
      <sz val="10"/>
      <color theme="1"/>
      <name val="Arial Unicode MS"/>
      <family val="2"/>
    </font>
    <font>
      <sz val="10"/>
      <color rgb="FF000000"/>
      <name val="Arial Unicode M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xf>
    <xf numFmtId="0" fontId="2" fillId="0" borderId="0" xfId="0" applyFont="1"/>
    <xf numFmtId="0" fontId="2" fillId="0" borderId="0" xfId="0" applyFont="1" applyAlignment="1">
      <alignment horizontal="center" vertical="center"/>
    </xf>
    <xf numFmtId="0" fontId="1" fillId="0" borderId="2"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right" vertical="center"/>
    </xf>
    <xf numFmtId="0" fontId="0" fillId="0" borderId="0" xfId="0" applyAlignment="1">
      <alignment horizontal="right" vertical="center" wrapText="1"/>
    </xf>
    <xf numFmtId="0" fontId="0" fillId="0" borderId="0" xfId="0" applyAlignment="1">
      <alignment horizontal="right" wrapText="1"/>
    </xf>
    <xf numFmtId="0" fontId="3" fillId="0" borderId="0" xfId="0" applyFont="1" applyAlignment="1">
      <alignment wrapText="1"/>
    </xf>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wrapText="1"/>
    </xf>
    <xf numFmtId="0" fontId="4" fillId="0" borderId="0" xfId="0" applyFont="1" applyAlignment="1">
      <alignment wrapText="1"/>
    </xf>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Number</a:t>
            </a:r>
            <a:r>
              <a:rPr lang="en-US" sz="1800" baseline="0"/>
              <a:t> of XAI Paper with Explanation Evaluation (Blue) and with Significant Test of Explanation Evaluation (Red)</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filtered!$C$1416</c:f>
              <c:strCache>
                <c:ptCount val="1"/>
                <c:pt idx="0">
                  <c:v>XAI and Eval XAI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filtered!$B$1417:$B$1422</c:f>
              <c:numCache>
                <c:formatCode>General</c:formatCode>
                <c:ptCount val="6"/>
                <c:pt idx="0">
                  <c:v>2020</c:v>
                </c:pt>
                <c:pt idx="1">
                  <c:v>2021</c:v>
                </c:pt>
                <c:pt idx="2">
                  <c:v>2022</c:v>
                </c:pt>
                <c:pt idx="3">
                  <c:v>2023</c:v>
                </c:pt>
                <c:pt idx="4">
                  <c:v>2024</c:v>
                </c:pt>
                <c:pt idx="5">
                  <c:v>2025</c:v>
                </c:pt>
              </c:numCache>
            </c:numRef>
          </c:cat>
          <c:val>
            <c:numRef>
              <c:f>filtered!$C$1417:$C$1422</c:f>
              <c:numCache>
                <c:formatCode>General</c:formatCode>
                <c:ptCount val="6"/>
                <c:pt idx="0">
                  <c:v>31</c:v>
                </c:pt>
                <c:pt idx="1">
                  <c:v>53</c:v>
                </c:pt>
                <c:pt idx="2">
                  <c:v>65</c:v>
                </c:pt>
                <c:pt idx="3">
                  <c:v>91</c:v>
                </c:pt>
                <c:pt idx="4">
                  <c:v>106</c:v>
                </c:pt>
                <c:pt idx="5">
                  <c:v>148</c:v>
                </c:pt>
              </c:numCache>
            </c:numRef>
          </c:val>
          <c:extLst>
            <c:ext xmlns:c16="http://schemas.microsoft.com/office/drawing/2014/chart" uri="{C3380CC4-5D6E-409C-BE32-E72D297353CC}">
              <c16:uniqueId val="{00000000-4E70-9841-8906-BE940E0CEA24}"/>
            </c:ext>
          </c:extLst>
        </c:ser>
        <c:ser>
          <c:idx val="1"/>
          <c:order val="1"/>
          <c:tx>
            <c:strRef>
              <c:f>filtered!$D$1416</c:f>
              <c:strCache>
                <c:ptCount val="1"/>
                <c:pt idx="0">
                  <c:v>Use SigTest when Eval XAI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filtered!$B$1417:$B$1422</c:f>
              <c:numCache>
                <c:formatCode>General</c:formatCode>
                <c:ptCount val="6"/>
                <c:pt idx="0">
                  <c:v>2020</c:v>
                </c:pt>
                <c:pt idx="1">
                  <c:v>2021</c:v>
                </c:pt>
                <c:pt idx="2">
                  <c:v>2022</c:v>
                </c:pt>
                <c:pt idx="3">
                  <c:v>2023</c:v>
                </c:pt>
                <c:pt idx="4">
                  <c:v>2024</c:v>
                </c:pt>
                <c:pt idx="5">
                  <c:v>2025</c:v>
                </c:pt>
              </c:numCache>
            </c:numRef>
          </c:cat>
          <c:val>
            <c:numRef>
              <c:f>filtered!$D$1417:$D$1422</c:f>
              <c:numCache>
                <c:formatCode>General</c:formatCode>
                <c:ptCount val="6"/>
                <c:pt idx="0">
                  <c:v>7</c:v>
                </c:pt>
                <c:pt idx="1">
                  <c:v>18</c:v>
                </c:pt>
                <c:pt idx="2">
                  <c:v>17</c:v>
                </c:pt>
                <c:pt idx="3">
                  <c:v>20</c:v>
                </c:pt>
                <c:pt idx="4">
                  <c:v>27</c:v>
                </c:pt>
                <c:pt idx="5">
                  <c:v>36</c:v>
                </c:pt>
              </c:numCache>
            </c:numRef>
          </c:val>
          <c:extLst>
            <c:ext xmlns:c16="http://schemas.microsoft.com/office/drawing/2014/chart" uri="{C3380CC4-5D6E-409C-BE32-E72D297353CC}">
              <c16:uniqueId val="{00000001-4E70-9841-8906-BE940E0CEA24}"/>
            </c:ext>
          </c:extLst>
        </c:ser>
        <c:dLbls>
          <c:showLegendKey val="0"/>
          <c:showVal val="1"/>
          <c:showCatName val="0"/>
          <c:showSerName val="0"/>
          <c:showPercent val="0"/>
          <c:showBubbleSize val="0"/>
        </c:dLbls>
        <c:gapWidth val="150"/>
        <c:overlap val="-25"/>
        <c:axId val="694351760"/>
        <c:axId val="694353472"/>
      </c:barChart>
      <c:catAx>
        <c:axId val="69435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53472"/>
        <c:crosses val="autoZero"/>
        <c:auto val="1"/>
        <c:lblAlgn val="ctr"/>
        <c:lblOffset val="100"/>
        <c:noMultiLvlLbl val="0"/>
      </c:catAx>
      <c:valAx>
        <c:axId val="694353472"/>
        <c:scaling>
          <c:orientation val="minMax"/>
        </c:scaling>
        <c:delete val="1"/>
        <c:axPos val="l"/>
        <c:numFmt formatCode="General" sourceLinked="1"/>
        <c:majorTickMark val="none"/>
        <c:minorTickMark val="none"/>
        <c:tickLblPos val="nextTo"/>
        <c:crossAx val="694351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939711462403714E-2"/>
          <c:y val="2.922495095354509E-2"/>
          <c:w val="0.93457627467676019"/>
          <c:h val="0.84840158136899968"/>
        </c:manualLayout>
      </c:layout>
      <c:barChart>
        <c:barDir val="col"/>
        <c:grouping val="stacked"/>
        <c:varyColors val="0"/>
        <c:ser>
          <c:idx val="0"/>
          <c:order val="0"/>
          <c:tx>
            <c:strRef>
              <c:f>filtered!$C$1416</c:f>
              <c:strCache>
                <c:ptCount val="1"/>
                <c:pt idx="0">
                  <c:v>XAI and Eval XAI</c:v>
                </c:pt>
              </c:strCache>
            </c:strRef>
          </c:tx>
          <c:spPr>
            <a:solidFill>
              <a:schemeClr val="accent1"/>
            </a:solidFill>
            <a:ln>
              <a:noFill/>
            </a:ln>
            <a:effectLst/>
          </c:spPr>
          <c:invertIfNegative val="0"/>
          <c:cat>
            <c:numRef>
              <c:f>filtered!$B$1417:$B$1422</c:f>
              <c:numCache>
                <c:formatCode>General</c:formatCode>
                <c:ptCount val="6"/>
                <c:pt idx="0">
                  <c:v>2020</c:v>
                </c:pt>
                <c:pt idx="1">
                  <c:v>2021</c:v>
                </c:pt>
                <c:pt idx="2">
                  <c:v>2022</c:v>
                </c:pt>
                <c:pt idx="3">
                  <c:v>2023</c:v>
                </c:pt>
                <c:pt idx="4">
                  <c:v>2024</c:v>
                </c:pt>
                <c:pt idx="5">
                  <c:v>2025</c:v>
                </c:pt>
              </c:numCache>
            </c:numRef>
          </c:cat>
          <c:val>
            <c:numRef>
              <c:f>filtered!$C$1417:$C$1422</c:f>
              <c:numCache>
                <c:formatCode>General</c:formatCode>
                <c:ptCount val="6"/>
                <c:pt idx="0">
                  <c:v>31</c:v>
                </c:pt>
                <c:pt idx="1">
                  <c:v>53</c:v>
                </c:pt>
                <c:pt idx="2">
                  <c:v>65</c:v>
                </c:pt>
                <c:pt idx="3">
                  <c:v>91</c:v>
                </c:pt>
                <c:pt idx="4">
                  <c:v>106</c:v>
                </c:pt>
                <c:pt idx="5">
                  <c:v>148</c:v>
                </c:pt>
              </c:numCache>
            </c:numRef>
          </c:val>
          <c:extLst>
            <c:ext xmlns:c16="http://schemas.microsoft.com/office/drawing/2014/chart" uri="{C3380CC4-5D6E-409C-BE32-E72D297353CC}">
              <c16:uniqueId val="{00000000-872B-6B4A-8DCD-50417BDE3AEC}"/>
            </c:ext>
          </c:extLst>
        </c:ser>
        <c:ser>
          <c:idx val="1"/>
          <c:order val="1"/>
          <c:tx>
            <c:strRef>
              <c:f>filtered!$D$1416</c:f>
              <c:strCache>
                <c:ptCount val="1"/>
                <c:pt idx="0">
                  <c:v>Use SigTest when Eval XAI</c:v>
                </c:pt>
              </c:strCache>
            </c:strRef>
          </c:tx>
          <c:spPr>
            <a:solidFill>
              <a:schemeClr val="accent2"/>
            </a:solidFill>
            <a:ln>
              <a:noFill/>
            </a:ln>
            <a:effectLst/>
          </c:spPr>
          <c:invertIfNegative val="0"/>
          <c:cat>
            <c:numRef>
              <c:f>filtered!$B$1417:$B$1422</c:f>
              <c:numCache>
                <c:formatCode>General</c:formatCode>
                <c:ptCount val="6"/>
                <c:pt idx="0">
                  <c:v>2020</c:v>
                </c:pt>
                <c:pt idx="1">
                  <c:v>2021</c:v>
                </c:pt>
                <c:pt idx="2">
                  <c:v>2022</c:v>
                </c:pt>
                <c:pt idx="3">
                  <c:v>2023</c:v>
                </c:pt>
                <c:pt idx="4">
                  <c:v>2024</c:v>
                </c:pt>
                <c:pt idx="5">
                  <c:v>2025</c:v>
                </c:pt>
              </c:numCache>
            </c:numRef>
          </c:cat>
          <c:val>
            <c:numRef>
              <c:f>filtered!$D$1417:$D$1422</c:f>
              <c:numCache>
                <c:formatCode>General</c:formatCode>
                <c:ptCount val="6"/>
                <c:pt idx="0">
                  <c:v>7</c:v>
                </c:pt>
                <c:pt idx="1">
                  <c:v>18</c:v>
                </c:pt>
                <c:pt idx="2">
                  <c:v>17</c:v>
                </c:pt>
                <c:pt idx="3">
                  <c:v>20</c:v>
                </c:pt>
                <c:pt idx="4">
                  <c:v>27</c:v>
                </c:pt>
                <c:pt idx="5">
                  <c:v>36</c:v>
                </c:pt>
              </c:numCache>
            </c:numRef>
          </c:val>
          <c:extLst>
            <c:ext xmlns:c16="http://schemas.microsoft.com/office/drawing/2014/chart" uri="{C3380CC4-5D6E-409C-BE32-E72D297353CC}">
              <c16:uniqueId val="{00000001-872B-6B4A-8DCD-50417BDE3AEC}"/>
            </c:ext>
          </c:extLst>
        </c:ser>
        <c:dLbls>
          <c:showLegendKey val="0"/>
          <c:showVal val="0"/>
          <c:showCatName val="0"/>
          <c:showSerName val="0"/>
          <c:showPercent val="0"/>
          <c:showBubbleSize val="0"/>
        </c:dLbls>
        <c:gapWidth val="150"/>
        <c:overlap val="100"/>
        <c:axId val="18767296"/>
        <c:axId val="386372079"/>
      </c:barChart>
      <c:catAx>
        <c:axId val="187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372079"/>
        <c:crosses val="autoZero"/>
        <c:auto val="1"/>
        <c:lblAlgn val="ctr"/>
        <c:lblOffset val="100"/>
        <c:noMultiLvlLbl val="0"/>
      </c:catAx>
      <c:valAx>
        <c:axId val="3863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7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122620</xdr:colOff>
      <xdr:row>1425</xdr:row>
      <xdr:rowOff>7881</xdr:rowOff>
    </xdr:from>
    <xdr:to>
      <xdr:col>4</xdr:col>
      <xdr:colOff>802875</xdr:colOff>
      <xdr:row>1450</xdr:row>
      <xdr:rowOff>116780</xdr:rowOff>
    </xdr:to>
    <xdr:graphicFrame macro="">
      <xdr:nvGraphicFramePr>
        <xdr:cNvPr id="2" name="Chart 1">
          <a:extLst>
            <a:ext uri="{FF2B5EF4-FFF2-40B4-BE49-F238E27FC236}">
              <a16:creationId xmlns:a16="http://schemas.microsoft.com/office/drawing/2014/main" id="{5FFAB034-6325-9AF9-52D9-F2C78DC1B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662734</xdr:colOff>
      <xdr:row>1425</xdr:row>
      <xdr:rowOff>66272</xdr:rowOff>
    </xdr:from>
    <xdr:to>
      <xdr:col>10</xdr:col>
      <xdr:colOff>408735</xdr:colOff>
      <xdr:row>1450</xdr:row>
      <xdr:rowOff>102181</xdr:rowOff>
    </xdr:to>
    <xdr:graphicFrame macro="">
      <xdr:nvGraphicFramePr>
        <xdr:cNvPr id="5" name="Chart 4">
          <a:extLst>
            <a:ext uri="{FF2B5EF4-FFF2-40B4-BE49-F238E27FC236}">
              <a16:creationId xmlns:a16="http://schemas.microsoft.com/office/drawing/2014/main" id="{55C2835F-6424-6477-94CF-A420E138D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472"/>
  <sheetViews>
    <sheetView tabSelected="1" topLeftCell="A1405" zoomScaleNormal="100" workbookViewId="0">
      <selection activeCell="C1417" sqref="C1417"/>
    </sheetView>
  </sheetViews>
  <sheetFormatPr baseColWidth="10" defaultColWidth="8.83203125" defaultRowHeight="15" x14ac:dyDescent="0.2"/>
  <cols>
    <col min="1" max="1" width="31.33203125" style="7" customWidth="1"/>
    <col min="2" max="2" width="74.33203125" style="7" customWidth="1"/>
    <col min="3" max="3" width="15.5" style="1" customWidth="1"/>
    <col min="4" max="4" width="16.1640625" style="1" customWidth="1"/>
    <col min="5" max="5" width="11.1640625" style="1" customWidth="1"/>
    <col min="6" max="7" width="8.83203125" style="1"/>
    <col min="8" max="8" width="40.1640625" style="1" customWidth="1"/>
    <col min="9" max="9" width="25.1640625" style="1" customWidth="1"/>
    <col min="10" max="10" width="21.1640625" style="1" customWidth="1"/>
    <col min="11" max="11" width="8.83203125" style="1"/>
  </cols>
  <sheetData>
    <row r="1" spans="1:12" ht="32" x14ac:dyDescent="0.2">
      <c r="A1" s="5" t="s">
        <v>0</v>
      </c>
      <c r="B1" s="5" t="s">
        <v>1</v>
      </c>
      <c r="C1" s="2" t="s">
        <v>2</v>
      </c>
      <c r="D1" s="2" t="s">
        <v>3</v>
      </c>
      <c r="E1" s="2" t="s">
        <v>4</v>
      </c>
      <c r="F1" s="2" t="s">
        <v>5</v>
      </c>
      <c r="G1" s="2" t="s">
        <v>6</v>
      </c>
      <c r="H1" s="2" t="s">
        <v>7</v>
      </c>
      <c r="I1" s="2" t="s">
        <v>8</v>
      </c>
      <c r="J1" s="2" t="s">
        <v>9</v>
      </c>
      <c r="K1" s="10" t="s">
        <v>2991</v>
      </c>
      <c r="L1" s="10" t="s">
        <v>3352</v>
      </c>
    </row>
    <row r="2" spans="1:12" ht="32" x14ac:dyDescent="0.2">
      <c r="A2" s="6" t="s">
        <v>10</v>
      </c>
      <c r="B2" s="6" t="s">
        <v>11</v>
      </c>
      <c r="C2" s="4" t="b">
        <v>1</v>
      </c>
      <c r="D2" s="4" t="b">
        <v>1</v>
      </c>
      <c r="E2" s="4" t="b">
        <v>1</v>
      </c>
      <c r="F2" s="4" t="s">
        <v>12</v>
      </c>
      <c r="G2" s="4" t="b">
        <f t="shared" ref="G2:G65" si="0">IF(F2="✔", TRUE, FALSE)</f>
        <v>1</v>
      </c>
      <c r="H2" s="4" t="s">
        <v>13</v>
      </c>
      <c r="I2" s="4"/>
      <c r="J2" s="4" t="s">
        <v>14</v>
      </c>
    </row>
    <row r="3" spans="1:12" ht="16" x14ac:dyDescent="0.2">
      <c r="A3" s="6" t="s">
        <v>15</v>
      </c>
      <c r="B3" s="6" t="s">
        <v>16</v>
      </c>
      <c r="C3" s="4" t="b">
        <v>1</v>
      </c>
      <c r="D3" s="4" t="b">
        <v>0</v>
      </c>
      <c r="E3" s="4" t="b">
        <v>1</v>
      </c>
      <c r="F3" s="4" t="s">
        <v>12</v>
      </c>
      <c r="G3" s="4" t="b">
        <f t="shared" si="0"/>
        <v>1</v>
      </c>
      <c r="H3" s="4"/>
      <c r="I3" s="4"/>
      <c r="J3" s="4" t="s">
        <v>14</v>
      </c>
    </row>
    <row r="4" spans="1:12" ht="16" hidden="1" x14ac:dyDescent="0.2">
      <c r="A4" s="6" t="s">
        <v>17</v>
      </c>
      <c r="B4" s="6" t="s">
        <v>18</v>
      </c>
      <c r="C4" s="4" t="b">
        <v>0</v>
      </c>
      <c r="D4" s="4" t="b">
        <v>0</v>
      </c>
      <c r="E4" s="4" t="b">
        <v>1</v>
      </c>
      <c r="F4" s="4" t="s">
        <v>12</v>
      </c>
      <c r="G4" s="4" t="b">
        <f t="shared" si="0"/>
        <v>1</v>
      </c>
      <c r="H4" s="4" t="s">
        <v>19</v>
      </c>
      <c r="I4" s="4"/>
      <c r="J4" s="4" t="s">
        <v>20</v>
      </c>
      <c r="K4"/>
    </row>
    <row r="5" spans="1:12" ht="16" hidden="1" x14ac:dyDescent="0.2">
      <c r="A5" s="6" t="s">
        <v>21</v>
      </c>
      <c r="B5" s="6" t="s">
        <v>22</v>
      </c>
      <c r="C5" s="4" t="b">
        <v>0</v>
      </c>
      <c r="D5" s="4" t="b">
        <v>0</v>
      </c>
      <c r="E5" s="4" t="b">
        <v>1</v>
      </c>
      <c r="F5" s="4" t="s">
        <v>12</v>
      </c>
      <c r="G5" s="4" t="b">
        <f t="shared" si="0"/>
        <v>1</v>
      </c>
      <c r="H5" s="4"/>
      <c r="I5" s="4"/>
      <c r="J5" s="4" t="s">
        <v>20</v>
      </c>
      <c r="K5"/>
    </row>
    <row r="6" spans="1:12" ht="96" x14ac:dyDescent="0.2">
      <c r="A6" s="6" t="s">
        <v>23</v>
      </c>
      <c r="B6" s="6" t="s">
        <v>24</v>
      </c>
      <c r="C6" s="4" t="b">
        <v>1</v>
      </c>
      <c r="D6" s="4" t="b">
        <v>1</v>
      </c>
      <c r="E6" s="4" t="b">
        <v>1</v>
      </c>
      <c r="F6" s="4" t="s">
        <v>12</v>
      </c>
      <c r="G6" s="4" t="b">
        <f t="shared" si="0"/>
        <v>1</v>
      </c>
      <c r="H6" s="4" t="s">
        <v>25</v>
      </c>
      <c r="I6" s="4"/>
      <c r="J6" s="4" t="s">
        <v>26</v>
      </c>
    </row>
    <row r="7" spans="1:12" ht="16" hidden="1" x14ac:dyDescent="0.2">
      <c r="A7" s="6" t="s">
        <v>27</v>
      </c>
      <c r="B7" s="6" t="s">
        <v>28</v>
      </c>
      <c r="C7" s="4" t="b">
        <v>0</v>
      </c>
      <c r="D7" s="4" t="b">
        <v>0</v>
      </c>
      <c r="E7" s="4" t="b">
        <v>1</v>
      </c>
      <c r="F7" s="4" t="s">
        <v>12</v>
      </c>
      <c r="G7" s="4" t="b">
        <f t="shared" si="0"/>
        <v>1</v>
      </c>
      <c r="H7" s="4"/>
      <c r="I7" s="4"/>
      <c r="J7" s="4" t="s">
        <v>26</v>
      </c>
      <c r="K7"/>
    </row>
    <row r="8" spans="1:12" ht="409.6" x14ac:dyDescent="0.2">
      <c r="A8" s="6" t="s">
        <v>29</v>
      </c>
      <c r="B8" s="6" t="s">
        <v>30</v>
      </c>
      <c r="C8" s="4" t="b">
        <v>1</v>
      </c>
      <c r="D8" s="4" t="b">
        <v>1</v>
      </c>
      <c r="E8" s="4" t="b">
        <v>1</v>
      </c>
      <c r="F8" s="4" t="s">
        <v>12</v>
      </c>
      <c r="G8" s="4" t="b">
        <f t="shared" si="0"/>
        <v>1</v>
      </c>
      <c r="H8" s="1" t="s">
        <v>2941</v>
      </c>
      <c r="I8" s="4" t="s">
        <v>31</v>
      </c>
      <c r="J8" s="4" t="s">
        <v>26</v>
      </c>
    </row>
    <row r="9" spans="1:12" ht="16" hidden="1" x14ac:dyDescent="0.2">
      <c r="A9" s="6" t="s">
        <v>32</v>
      </c>
      <c r="B9" s="6" t="s">
        <v>33</v>
      </c>
      <c r="C9" s="4" t="b">
        <v>0</v>
      </c>
      <c r="D9" s="4" t="b">
        <v>0</v>
      </c>
      <c r="E9" s="4" t="b">
        <v>1</v>
      </c>
      <c r="F9" s="4" t="s">
        <v>12</v>
      </c>
      <c r="G9" s="4" t="b">
        <f t="shared" si="0"/>
        <v>1</v>
      </c>
      <c r="H9" s="4" t="s">
        <v>34</v>
      </c>
      <c r="I9" s="4"/>
      <c r="J9" s="4" t="s">
        <v>26</v>
      </c>
      <c r="K9"/>
    </row>
    <row r="10" spans="1:12" ht="16" hidden="1" x14ac:dyDescent="0.2">
      <c r="A10" s="6" t="s">
        <v>35</v>
      </c>
      <c r="B10" s="6" t="s">
        <v>36</v>
      </c>
      <c r="C10" s="4" t="b">
        <v>0</v>
      </c>
      <c r="D10" s="4" t="b">
        <v>0</v>
      </c>
      <c r="E10" s="4" t="b">
        <v>0</v>
      </c>
      <c r="F10" s="4" t="s">
        <v>12</v>
      </c>
      <c r="G10" s="4" t="b">
        <f t="shared" si="0"/>
        <v>1</v>
      </c>
      <c r="H10" s="4"/>
      <c r="I10" s="4"/>
      <c r="J10" s="4" t="s">
        <v>26</v>
      </c>
      <c r="K10"/>
    </row>
    <row r="11" spans="1:12" ht="16" hidden="1" x14ac:dyDescent="0.2">
      <c r="A11" s="6" t="s">
        <v>37</v>
      </c>
      <c r="B11" s="6" t="s">
        <v>38</v>
      </c>
      <c r="C11" s="4" t="b">
        <v>0</v>
      </c>
      <c r="D11" s="4" t="b">
        <v>0</v>
      </c>
      <c r="E11" s="4" t="b">
        <v>1</v>
      </c>
      <c r="F11" s="4" t="s">
        <v>12</v>
      </c>
      <c r="G11" s="4" t="b">
        <f t="shared" si="0"/>
        <v>1</v>
      </c>
      <c r="H11" s="4"/>
      <c r="I11" s="4"/>
      <c r="J11" s="4" t="s">
        <v>26</v>
      </c>
      <c r="K11"/>
    </row>
    <row r="12" spans="1:12" ht="16" hidden="1" x14ac:dyDescent="0.2">
      <c r="A12" s="6" t="s">
        <v>39</v>
      </c>
      <c r="B12" s="6" t="s">
        <v>40</v>
      </c>
      <c r="C12" s="4" t="b">
        <v>0</v>
      </c>
      <c r="D12" s="4" t="b">
        <v>0</v>
      </c>
      <c r="E12" s="4" t="b">
        <v>0</v>
      </c>
      <c r="F12" s="4" t="s">
        <v>12</v>
      </c>
      <c r="G12" s="4" t="b">
        <f t="shared" si="0"/>
        <v>1</v>
      </c>
      <c r="H12" s="4"/>
      <c r="I12" s="4"/>
      <c r="J12" s="4" t="s">
        <v>26</v>
      </c>
      <c r="K12"/>
    </row>
    <row r="13" spans="1:12" ht="16" x14ac:dyDescent="0.2">
      <c r="A13" s="6" t="s">
        <v>41</v>
      </c>
      <c r="B13" s="6" t="s">
        <v>42</v>
      </c>
      <c r="C13" s="4" t="b">
        <v>1</v>
      </c>
      <c r="D13" s="4" t="b">
        <v>0</v>
      </c>
      <c r="E13" s="4" t="b">
        <v>1</v>
      </c>
      <c r="F13" s="4" t="s">
        <v>12</v>
      </c>
      <c r="G13" s="4" t="b">
        <f t="shared" si="0"/>
        <v>1</v>
      </c>
      <c r="H13" s="4" t="s">
        <v>43</v>
      </c>
      <c r="I13" s="4"/>
      <c r="J13" s="4" t="s">
        <v>26</v>
      </c>
    </row>
    <row r="14" spans="1:12" ht="32" x14ac:dyDescent="0.2">
      <c r="A14" s="6" t="s">
        <v>44</v>
      </c>
      <c r="B14" s="6" t="s">
        <v>45</v>
      </c>
      <c r="C14" s="4" t="b">
        <v>1</v>
      </c>
      <c r="D14" s="4" t="b">
        <v>0</v>
      </c>
      <c r="E14" s="4" t="b">
        <v>1</v>
      </c>
      <c r="F14" s="4" t="s">
        <v>12</v>
      </c>
      <c r="G14" s="4" t="b">
        <f t="shared" si="0"/>
        <v>1</v>
      </c>
      <c r="H14" s="4" t="s">
        <v>46</v>
      </c>
      <c r="I14" s="4"/>
      <c r="J14" s="4" t="s">
        <v>26</v>
      </c>
    </row>
    <row r="15" spans="1:12" ht="96" x14ac:dyDescent="0.2">
      <c r="A15" s="6" t="s">
        <v>47</v>
      </c>
      <c r="B15" s="6" t="s">
        <v>48</v>
      </c>
      <c r="C15" s="4" t="b">
        <v>1</v>
      </c>
      <c r="D15" s="4" t="b">
        <v>0</v>
      </c>
      <c r="E15" s="4" t="b">
        <v>1</v>
      </c>
      <c r="F15" s="4" t="s">
        <v>12</v>
      </c>
      <c r="G15" s="4" t="b">
        <f t="shared" si="0"/>
        <v>1</v>
      </c>
      <c r="H15" s="4" t="s">
        <v>49</v>
      </c>
      <c r="I15" s="4"/>
      <c r="J15" s="4" t="s">
        <v>26</v>
      </c>
    </row>
    <row r="16" spans="1:12" ht="16" x14ac:dyDescent="0.2">
      <c r="A16" s="6" t="s">
        <v>50</v>
      </c>
      <c r="B16" s="6" t="s">
        <v>51</v>
      </c>
      <c r="C16" s="4" t="b">
        <v>1</v>
      </c>
      <c r="D16" s="4" t="b">
        <v>1</v>
      </c>
      <c r="E16" s="4" t="b">
        <v>1</v>
      </c>
      <c r="F16" s="4" t="s">
        <v>12</v>
      </c>
      <c r="G16" s="4" t="b">
        <f t="shared" si="0"/>
        <v>1</v>
      </c>
      <c r="H16" s="4" t="s">
        <v>52</v>
      </c>
      <c r="I16" s="4" t="s">
        <v>53</v>
      </c>
      <c r="J16" s="4" t="s">
        <v>26</v>
      </c>
    </row>
    <row r="17" spans="1:11" ht="32" hidden="1" x14ac:dyDescent="0.2">
      <c r="A17" s="6" t="s">
        <v>54</v>
      </c>
      <c r="B17" s="6" t="s">
        <v>55</v>
      </c>
      <c r="C17" s="4" t="b">
        <v>0</v>
      </c>
      <c r="D17" s="4" t="b">
        <v>0</v>
      </c>
      <c r="E17" s="4" t="b">
        <v>1</v>
      </c>
      <c r="F17" s="4" t="s">
        <v>12</v>
      </c>
      <c r="G17" s="4" t="b">
        <f t="shared" si="0"/>
        <v>1</v>
      </c>
      <c r="H17" s="4" t="s">
        <v>56</v>
      </c>
      <c r="I17" s="4"/>
      <c r="J17" s="4" t="s">
        <v>26</v>
      </c>
    </row>
    <row r="18" spans="1:11" ht="16" x14ac:dyDescent="0.2">
      <c r="A18" s="6" t="s">
        <v>57</v>
      </c>
      <c r="B18" s="6" t="s">
        <v>58</v>
      </c>
      <c r="C18" s="4" t="b">
        <v>1</v>
      </c>
      <c r="D18" s="4" t="b">
        <v>0</v>
      </c>
      <c r="E18" s="4" t="b">
        <v>1</v>
      </c>
      <c r="F18" s="4" t="s">
        <v>12</v>
      </c>
      <c r="G18" s="4" t="b">
        <f t="shared" si="0"/>
        <v>1</v>
      </c>
      <c r="H18" s="4" t="s">
        <v>59</v>
      </c>
      <c r="I18" s="4"/>
      <c r="J18" s="4" t="s">
        <v>26</v>
      </c>
    </row>
    <row r="19" spans="1:11" ht="144" x14ac:dyDescent="0.2">
      <c r="A19" s="6" t="s">
        <v>60</v>
      </c>
      <c r="B19" s="6" t="s">
        <v>61</v>
      </c>
      <c r="C19" s="4" t="b">
        <v>1</v>
      </c>
      <c r="D19" s="4" t="b">
        <v>1</v>
      </c>
      <c r="E19" s="4" t="b">
        <v>1</v>
      </c>
      <c r="F19" s="4" t="s">
        <v>12</v>
      </c>
      <c r="G19" s="4" t="b">
        <f t="shared" si="0"/>
        <v>1</v>
      </c>
      <c r="H19" s="4" t="s">
        <v>62</v>
      </c>
      <c r="I19" s="4"/>
      <c r="J19" s="4" t="s">
        <v>26</v>
      </c>
    </row>
    <row r="20" spans="1:11" ht="16" hidden="1" x14ac:dyDescent="0.2">
      <c r="A20" s="6" t="s">
        <v>63</v>
      </c>
      <c r="B20" s="6" t="s">
        <v>64</v>
      </c>
      <c r="C20" s="4" t="b">
        <v>0</v>
      </c>
      <c r="D20" s="4" t="b">
        <v>0</v>
      </c>
      <c r="E20" s="4" t="b">
        <v>1</v>
      </c>
      <c r="F20" s="4" t="s">
        <v>12</v>
      </c>
      <c r="G20" s="4" t="b">
        <f t="shared" si="0"/>
        <v>1</v>
      </c>
      <c r="H20" s="4"/>
      <c r="I20" s="4"/>
      <c r="J20" s="4" t="s">
        <v>26</v>
      </c>
      <c r="K20"/>
    </row>
    <row r="21" spans="1:11" ht="16" x14ac:dyDescent="0.2">
      <c r="A21" s="6" t="s">
        <v>65</v>
      </c>
      <c r="B21" s="6" t="s">
        <v>66</v>
      </c>
      <c r="C21" s="4" t="b">
        <v>1</v>
      </c>
      <c r="D21" s="4" t="b">
        <v>0</v>
      </c>
      <c r="E21" s="4" t="b">
        <v>1</v>
      </c>
      <c r="F21" s="4" t="s">
        <v>12</v>
      </c>
      <c r="G21" s="4" t="b">
        <f t="shared" si="0"/>
        <v>1</v>
      </c>
      <c r="H21" s="4"/>
      <c r="I21" s="4"/>
      <c r="J21" s="4" t="s">
        <v>26</v>
      </c>
    </row>
    <row r="22" spans="1:11" ht="128" x14ac:dyDescent="0.2">
      <c r="A22" s="6" t="s">
        <v>67</v>
      </c>
      <c r="B22" s="6" t="s">
        <v>68</v>
      </c>
      <c r="C22" s="4" t="b">
        <v>1</v>
      </c>
      <c r="D22" s="4" t="b">
        <v>0</v>
      </c>
      <c r="E22" s="4" t="b">
        <v>1</v>
      </c>
      <c r="F22" s="4" t="s">
        <v>12</v>
      </c>
      <c r="G22" s="4" t="b">
        <f t="shared" si="0"/>
        <v>1</v>
      </c>
      <c r="H22" s="4" t="s">
        <v>69</v>
      </c>
      <c r="I22" s="4"/>
      <c r="J22" s="4" t="s">
        <v>26</v>
      </c>
    </row>
    <row r="23" spans="1:11" ht="48" x14ac:dyDescent="0.2">
      <c r="A23" s="6" t="s">
        <v>70</v>
      </c>
      <c r="B23" s="6" t="s">
        <v>71</v>
      </c>
      <c r="C23" s="4" t="b">
        <v>1</v>
      </c>
      <c r="D23" s="4" t="b">
        <v>0</v>
      </c>
      <c r="E23" s="4" t="b">
        <v>1</v>
      </c>
      <c r="F23" s="4" t="s">
        <v>12</v>
      </c>
      <c r="G23" s="4" t="b">
        <f t="shared" si="0"/>
        <v>1</v>
      </c>
      <c r="H23" s="4" t="s">
        <v>72</v>
      </c>
      <c r="I23" s="4"/>
      <c r="J23" s="4" t="s">
        <v>26</v>
      </c>
    </row>
    <row r="24" spans="1:11" ht="32" x14ac:dyDescent="0.2">
      <c r="A24" s="6" t="s">
        <v>73</v>
      </c>
      <c r="B24" s="6" t="s">
        <v>74</v>
      </c>
      <c r="C24" s="4" t="b">
        <v>1</v>
      </c>
      <c r="D24" s="4" t="b">
        <v>0</v>
      </c>
      <c r="E24" s="4" t="b">
        <v>1</v>
      </c>
      <c r="F24" s="4" t="s">
        <v>12</v>
      </c>
      <c r="G24" s="4" t="b">
        <f t="shared" si="0"/>
        <v>1</v>
      </c>
      <c r="H24" s="4" t="s">
        <v>75</v>
      </c>
      <c r="I24" s="4"/>
      <c r="J24" s="4" t="s">
        <v>26</v>
      </c>
    </row>
    <row r="25" spans="1:11" ht="64" x14ac:dyDescent="0.2">
      <c r="A25" s="6" t="s">
        <v>76</v>
      </c>
      <c r="B25" s="6" t="s">
        <v>77</v>
      </c>
      <c r="C25" s="4" t="b">
        <v>1</v>
      </c>
      <c r="D25" s="4" t="b">
        <v>0</v>
      </c>
      <c r="E25" s="4" t="b">
        <v>1</v>
      </c>
      <c r="F25" s="4" t="s">
        <v>12</v>
      </c>
      <c r="G25" s="4" t="b">
        <f t="shared" si="0"/>
        <v>1</v>
      </c>
      <c r="H25" s="4" t="s">
        <v>78</v>
      </c>
      <c r="I25" s="4"/>
      <c r="J25" s="4" t="s">
        <v>26</v>
      </c>
    </row>
    <row r="26" spans="1:11" ht="304" x14ac:dyDescent="0.2">
      <c r="A26" s="6" t="s">
        <v>79</v>
      </c>
      <c r="B26" s="6" t="s">
        <v>80</v>
      </c>
      <c r="C26" s="4" t="b">
        <v>1</v>
      </c>
      <c r="D26" s="4" t="b">
        <v>0</v>
      </c>
      <c r="E26" s="4" t="b">
        <v>1</v>
      </c>
      <c r="F26" s="4" t="s">
        <v>12</v>
      </c>
      <c r="G26" s="4" t="b">
        <f t="shared" si="0"/>
        <v>1</v>
      </c>
      <c r="H26" s="4" t="s">
        <v>81</v>
      </c>
      <c r="I26" s="4" t="s">
        <v>2852</v>
      </c>
      <c r="J26" s="4" t="s">
        <v>26</v>
      </c>
    </row>
    <row r="27" spans="1:11" ht="32" hidden="1" x14ac:dyDescent="0.2">
      <c r="A27" s="6" t="s">
        <v>82</v>
      </c>
      <c r="B27" s="6" t="s">
        <v>83</v>
      </c>
      <c r="C27" s="4" t="b">
        <v>0</v>
      </c>
      <c r="D27" s="4" t="b">
        <v>0</v>
      </c>
      <c r="E27" s="4" t="b">
        <v>1</v>
      </c>
      <c r="F27" s="4" t="s">
        <v>12</v>
      </c>
      <c r="G27" s="4" t="b">
        <f t="shared" si="0"/>
        <v>1</v>
      </c>
      <c r="H27" s="4" t="s">
        <v>84</v>
      </c>
      <c r="I27" s="4"/>
      <c r="J27" s="4" t="s">
        <v>26</v>
      </c>
      <c r="K27"/>
    </row>
    <row r="28" spans="1:11" ht="48" x14ac:dyDescent="0.2">
      <c r="A28" s="6" t="s">
        <v>85</v>
      </c>
      <c r="B28" s="6" t="s">
        <v>86</v>
      </c>
      <c r="C28" s="4" t="b">
        <v>1</v>
      </c>
      <c r="D28" s="4" t="b">
        <v>1</v>
      </c>
      <c r="E28" s="4" t="b">
        <v>1</v>
      </c>
      <c r="F28" s="4" t="s">
        <v>12</v>
      </c>
      <c r="G28" s="4" t="b">
        <f t="shared" si="0"/>
        <v>1</v>
      </c>
      <c r="H28" s="4" t="s">
        <v>87</v>
      </c>
      <c r="I28" s="4"/>
      <c r="J28" s="4" t="s">
        <v>26</v>
      </c>
    </row>
    <row r="29" spans="1:11" ht="16" hidden="1" x14ac:dyDescent="0.2">
      <c r="A29" s="6" t="s">
        <v>88</v>
      </c>
      <c r="B29" s="6" t="s">
        <v>89</v>
      </c>
      <c r="C29" s="4" t="b">
        <v>0</v>
      </c>
      <c r="D29" s="4" t="b">
        <v>0</v>
      </c>
      <c r="E29" s="4" t="b">
        <v>0</v>
      </c>
      <c r="F29" s="4" t="s">
        <v>12</v>
      </c>
      <c r="G29" s="4" t="b">
        <f t="shared" si="0"/>
        <v>1</v>
      </c>
      <c r="H29" s="4"/>
      <c r="I29" s="4"/>
      <c r="J29" s="4" t="s">
        <v>26</v>
      </c>
      <c r="K29"/>
    </row>
    <row r="30" spans="1:11" ht="16" hidden="1" x14ac:dyDescent="0.2">
      <c r="A30" s="6" t="s">
        <v>90</v>
      </c>
      <c r="B30" s="6" t="s">
        <v>91</v>
      </c>
      <c r="C30" s="4" t="b">
        <v>0</v>
      </c>
      <c r="D30" s="4" t="b">
        <v>0</v>
      </c>
      <c r="E30" s="4" t="b">
        <v>0</v>
      </c>
      <c r="F30" s="4" t="s">
        <v>12</v>
      </c>
      <c r="G30" s="4" t="b">
        <f t="shared" si="0"/>
        <v>1</v>
      </c>
      <c r="H30" s="4"/>
      <c r="I30" s="4"/>
      <c r="J30" s="4" t="s">
        <v>26</v>
      </c>
      <c r="K30"/>
    </row>
    <row r="31" spans="1:11" ht="16" hidden="1" x14ac:dyDescent="0.2">
      <c r="A31" s="6" t="s">
        <v>92</v>
      </c>
      <c r="B31" s="6" t="s">
        <v>93</v>
      </c>
      <c r="C31" s="4" t="b">
        <v>0</v>
      </c>
      <c r="D31" s="4" t="b">
        <v>0</v>
      </c>
      <c r="E31" s="4" t="b">
        <v>1</v>
      </c>
      <c r="F31" s="4" t="s">
        <v>12</v>
      </c>
      <c r="G31" s="4" t="b">
        <f t="shared" si="0"/>
        <v>1</v>
      </c>
      <c r="H31" s="4"/>
      <c r="I31" s="4"/>
      <c r="J31" s="4" t="s">
        <v>94</v>
      </c>
      <c r="K31"/>
    </row>
    <row r="32" spans="1:11" ht="48" x14ac:dyDescent="0.2">
      <c r="A32" s="6" t="s">
        <v>95</v>
      </c>
      <c r="B32" s="6" t="s">
        <v>96</v>
      </c>
      <c r="C32" s="4" t="b">
        <v>1</v>
      </c>
      <c r="D32" s="4" t="b">
        <v>1</v>
      </c>
      <c r="E32" s="4" t="b">
        <v>1</v>
      </c>
      <c r="F32" s="4" t="s">
        <v>12</v>
      </c>
      <c r="G32" s="4" t="b">
        <f t="shared" si="0"/>
        <v>1</v>
      </c>
      <c r="H32" s="4" t="s">
        <v>97</v>
      </c>
      <c r="I32" s="4"/>
      <c r="J32" s="4" t="s">
        <v>98</v>
      </c>
      <c r="K32"/>
    </row>
    <row r="33" spans="1:10" customFormat="1" ht="16" hidden="1" x14ac:dyDescent="0.2">
      <c r="A33" s="6" t="s">
        <v>99</v>
      </c>
      <c r="B33" s="6" t="s">
        <v>100</v>
      </c>
      <c r="C33" s="4" t="b">
        <v>0</v>
      </c>
      <c r="D33" s="4" t="b">
        <v>0</v>
      </c>
      <c r="E33" s="4" t="b">
        <v>1</v>
      </c>
      <c r="F33" s="4" t="s">
        <v>12</v>
      </c>
      <c r="G33" s="4" t="b">
        <f t="shared" si="0"/>
        <v>1</v>
      </c>
      <c r="H33" s="4"/>
      <c r="I33" s="4"/>
      <c r="J33" s="4" t="s">
        <v>98</v>
      </c>
    </row>
    <row r="34" spans="1:10" customFormat="1" ht="16" x14ac:dyDescent="0.2">
      <c r="A34" s="6" t="s">
        <v>101</v>
      </c>
      <c r="B34" s="6" t="s">
        <v>102</v>
      </c>
      <c r="C34" s="4" t="b">
        <v>1</v>
      </c>
      <c r="D34" s="4" t="b">
        <v>1</v>
      </c>
      <c r="E34" s="4" t="b">
        <v>1</v>
      </c>
      <c r="F34" s="4" t="s">
        <v>12</v>
      </c>
      <c r="G34" s="4" t="b">
        <f t="shared" si="0"/>
        <v>1</v>
      </c>
      <c r="H34" s="4" t="s">
        <v>103</v>
      </c>
      <c r="I34" s="4"/>
      <c r="J34" s="4" t="s">
        <v>98</v>
      </c>
    </row>
    <row r="35" spans="1:10" customFormat="1" ht="64" x14ac:dyDescent="0.2">
      <c r="A35" s="6" t="s">
        <v>104</v>
      </c>
      <c r="B35" s="6" t="s">
        <v>105</v>
      </c>
      <c r="C35" s="4" t="b">
        <v>1</v>
      </c>
      <c r="D35" s="4" t="b">
        <v>0</v>
      </c>
      <c r="E35" s="4" t="b">
        <v>1</v>
      </c>
      <c r="F35" s="4" t="s">
        <v>12</v>
      </c>
      <c r="G35" s="4" t="b">
        <f t="shared" si="0"/>
        <v>1</v>
      </c>
      <c r="H35" s="4" t="s">
        <v>106</v>
      </c>
      <c r="I35" s="4"/>
      <c r="J35" s="4" t="s">
        <v>98</v>
      </c>
    </row>
    <row r="36" spans="1:10" customFormat="1" ht="16" hidden="1" x14ac:dyDescent="0.2">
      <c r="A36" s="6" t="s">
        <v>107</v>
      </c>
      <c r="B36" s="6" t="s">
        <v>108</v>
      </c>
      <c r="C36" s="4" t="b">
        <v>0</v>
      </c>
      <c r="D36" s="4" t="b">
        <v>0</v>
      </c>
      <c r="E36" s="4" t="b">
        <v>0</v>
      </c>
      <c r="F36" s="4" t="s">
        <v>12</v>
      </c>
      <c r="G36" s="4" t="b">
        <f t="shared" si="0"/>
        <v>1</v>
      </c>
      <c r="H36" s="4"/>
      <c r="I36" s="4"/>
      <c r="J36" s="4" t="s">
        <v>98</v>
      </c>
    </row>
    <row r="37" spans="1:10" customFormat="1" ht="48" x14ac:dyDescent="0.2">
      <c r="A37" s="6" t="s">
        <v>109</v>
      </c>
      <c r="B37" s="6" t="s">
        <v>110</v>
      </c>
      <c r="C37" s="4" t="b">
        <v>1</v>
      </c>
      <c r="D37" s="4" t="b">
        <v>0</v>
      </c>
      <c r="E37" s="4" t="b">
        <v>1</v>
      </c>
      <c r="F37" s="4" t="s">
        <v>12</v>
      </c>
      <c r="G37" s="4" t="b">
        <f t="shared" si="0"/>
        <v>1</v>
      </c>
      <c r="H37" s="4" t="s">
        <v>2850</v>
      </c>
      <c r="I37" s="4"/>
      <c r="J37" s="4" t="s">
        <v>98</v>
      </c>
    </row>
    <row r="38" spans="1:10" customFormat="1" ht="96" x14ac:dyDescent="0.2">
      <c r="A38" s="6" t="s">
        <v>111</v>
      </c>
      <c r="B38" s="6" t="s">
        <v>112</v>
      </c>
      <c r="C38" s="4" t="b">
        <v>1</v>
      </c>
      <c r="D38" s="4" t="b">
        <v>0</v>
      </c>
      <c r="E38" s="4" t="b">
        <v>1</v>
      </c>
      <c r="F38" s="4" t="s">
        <v>12</v>
      </c>
      <c r="G38" s="4" t="b">
        <f t="shared" si="0"/>
        <v>1</v>
      </c>
      <c r="H38" s="4" t="s">
        <v>113</v>
      </c>
      <c r="I38" s="4"/>
      <c r="J38" s="4" t="s">
        <v>98</v>
      </c>
    </row>
    <row r="39" spans="1:10" customFormat="1" ht="16" hidden="1" x14ac:dyDescent="0.2">
      <c r="A39" s="6" t="s">
        <v>114</v>
      </c>
      <c r="B39" s="6" t="s">
        <v>115</v>
      </c>
      <c r="C39" s="4" t="b">
        <v>0</v>
      </c>
      <c r="D39" s="4" t="b">
        <v>0</v>
      </c>
      <c r="E39" s="4" t="b">
        <v>1</v>
      </c>
      <c r="F39" s="4" t="s">
        <v>12</v>
      </c>
      <c r="G39" s="4" t="b">
        <f t="shared" si="0"/>
        <v>1</v>
      </c>
      <c r="H39" s="4"/>
      <c r="I39" s="4"/>
      <c r="J39" s="4" t="s">
        <v>98</v>
      </c>
    </row>
    <row r="40" spans="1:10" customFormat="1" ht="16" hidden="1" x14ac:dyDescent="0.2">
      <c r="A40" s="6" t="s">
        <v>116</v>
      </c>
      <c r="B40" s="6" t="s">
        <v>117</v>
      </c>
      <c r="C40" s="4" t="b">
        <v>0</v>
      </c>
      <c r="D40" s="4" t="b">
        <v>0</v>
      </c>
      <c r="E40" s="4" t="b">
        <v>0</v>
      </c>
      <c r="F40" s="4" t="s">
        <v>12</v>
      </c>
      <c r="G40" s="4" t="b">
        <f t="shared" si="0"/>
        <v>1</v>
      </c>
      <c r="H40" s="4"/>
      <c r="I40" s="4"/>
      <c r="J40" s="4" t="s">
        <v>98</v>
      </c>
    </row>
    <row r="41" spans="1:10" customFormat="1" ht="272" x14ac:dyDescent="0.2">
      <c r="A41" s="6" t="s">
        <v>118</v>
      </c>
      <c r="B41" s="6" t="s">
        <v>119</v>
      </c>
      <c r="C41" s="4" t="b">
        <v>1</v>
      </c>
      <c r="D41" s="4" t="b">
        <v>1</v>
      </c>
      <c r="E41" s="4" t="b">
        <v>1</v>
      </c>
      <c r="F41" s="4" t="s">
        <v>12</v>
      </c>
      <c r="G41" s="4" t="b">
        <f t="shared" si="0"/>
        <v>1</v>
      </c>
      <c r="H41" s="4" t="s">
        <v>120</v>
      </c>
      <c r="I41" s="4"/>
      <c r="J41" s="4" t="s">
        <v>98</v>
      </c>
    </row>
    <row r="42" spans="1:10" customFormat="1" ht="16" hidden="1" x14ac:dyDescent="0.2">
      <c r="A42" s="6" t="s">
        <v>121</v>
      </c>
      <c r="B42" s="6" t="s">
        <v>122</v>
      </c>
      <c r="C42" s="4" t="b">
        <v>0</v>
      </c>
      <c r="D42" s="4" t="b">
        <v>0</v>
      </c>
      <c r="E42" s="4" t="b">
        <v>1</v>
      </c>
      <c r="F42" s="4" t="s">
        <v>12</v>
      </c>
      <c r="G42" s="4" t="b">
        <f t="shared" si="0"/>
        <v>1</v>
      </c>
      <c r="H42" s="4"/>
      <c r="I42" s="4"/>
      <c r="J42" s="4" t="s">
        <v>98</v>
      </c>
    </row>
    <row r="43" spans="1:10" customFormat="1" ht="16" hidden="1" x14ac:dyDescent="0.2">
      <c r="A43" s="6" t="s">
        <v>123</v>
      </c>
      <c r="B43" s="6" t="s">
        <v>124</v>
      </c>
      <c r="C43" s="4" t="b">
        <v>0</v>
      </c>
      <c r="D43" s="4" t="b">
        <v>0</v>
      </c>
      <c r="E43" s="4" t="b">
        <v>0</v>
      </c>
      <c r="F43" s="4" t="s">
        <v>12</v>
      </c>
      <c r="G43" s="4" t="b">
        <f t="shared" si="0"/>
        <v>1</v>
      </c>
      <c r="H43" s="4"/>
      <c r="I43" s="4"/>
      <c r="J43" s="4" t="s">
        <v>98</v>
      </c>
    </row>
    <row r="44" spans="1:10" customFormat="1" ht="48" x14ac:dyDescent="0.2">
      <c r="A44" s="6" t="s">
        <v>125</v>
      </c>
      <c r="B44" s="6" t="s">
        <v>126</v>
      </c>
      <c r="C44" s="4" t="b">
        <v>1</v>
      </c>
      <c r="D44" s="4" t="b">
        <v>0</v>
      </c>
      <c r="E44" s="4" t="b">
        <v>1</v>
      </c>
      <c r="F44" s="4" t="s">
        <v>12</v>
      </c>
      <c r="G44" s="4" t="b">
        <f t="shared" si="0"/>
        <v>1</v>
      </c>
      <c r="H44" s="4" t="s">
        <v>127</v>
      </c>
      <c r="I44" s="4"/>
      <c r="J44" s="4" t="s">
        <v>98</v>
      </c>
    </row>
    <row r="45" spans="1:10" customFormat="1" ht="48" x14ac:dyDescent="0.2">
      <c r="A45" s="6" t="s">
        <v>128</v>
      </c>
      <c r="B45" s="6" t="s">
        <v>129</v>
      </c>
      <c r="C45" s="4" t="b">
        <v>1</v>
      </c>
      <c r="D45" s="4" t="b">
        <v>0</v>
      </c>
      <c r="E45" s="4" t="b">
        <v>1</v>
      </c>
      <c r="F45" s="4" t="s">
        <v>12</v>
      </c>
      <c r="G45" s="4" t="b">
        <f t="shared" si="0"/>
        <v>1</v>
      </c>
      <c r="H45" s="4" t="s">
        <v>2854</v>
      </c>
      <c r="I45" s="4"/>
      <c r="J45" s="4" t="s">
        <v>98</v>
      </c>
    </row>
    <row r="46" spans="1:10" customFormat="1" ht="128" x14ac:dyDescent="0.2">
      <c r="A46" s="6" t="s">
        <v>130</v>
      </c>
      <c r="B46" s="6" t="s">
        <v>131</v>
      </c>
      <c r="C46" s="4" t="b">
        <v>1</v>
      </c>
      <c r="D46" s="4" t="b">
        <v>0</v>
      </c>
      <c r="E46" s="4" t="b">
        <v>1</v>
      </c>
      <c r="F46" s="4" t="s">
        <v>12</v>
      </c>
      <c r="G46" s="4" t="b">
        <f t="shared" si="0"/>
        <v>1</v>
      </c>
      <c r="H46" s="4" t="s">
        <v>2855</v>
      </c>
      <c r="I46" s="4"/>
      <c r="J46" s="4" t="s">
        <v>98</v>
      </c>
    </row>
    <row r="47" spans="1:10" customFormat="1" ht="96" x14ac:dyDescent="0.2">
      <c r="A47" s="6" t="s">
        <v>132</v>
      </c>
      <c r="B47" s="6" t="s">
        <v>133</v>
      </c>
      <c r="C47" s="4" t="b">
        <v>1</v>
      </c>
      <c r="D47" s="4" t="b">
        <v>0</v>
      </c>
      <c r="E47" s="4" t="b">
        <v>1</v>
      </c>
      <c r="F47" s="4" t="s">
        <v>12</v>
      </c>
      <c r="G47" s="4" t="b">
        <f t="shared" si="0"/>
        <v>1</v>
      </c>
      <c r="H47" s="4" t="s">
        <v>2856</v>
      </c>
      <c r="I47" s="4"/>
      <c r="J47" s="4" t="s">
        <v>98</v>
      </c>
    </row>
    <row r="48" spans="1:10" customFormat="1" ht="32" x14ac:dyDescent="0.2">
      <c r="A48" s="6" t="s">
        <v>134</v>
      </c>
      <c r="B48" s="6" t="s">
        <v>135</v>
      </c>
      <c r="C48" s="4" t="b">
        <v>1</v>
      </c>
      <c r="D48" s="4" t="b">
        <v>0</v>
      </c>
      <c r="E48" s="4" t="b">
        <v>1</v>
      </c>
      <c r="F48" s="4" t="s">
        <v>12</v>
      </c>
      <c r="G48" s="4" t="b">
        <f t="shared" si="0"/>
        <v>1</v>
      </c>
      <c r="H48" s="4" t="s">
        <v>2874</v>
      </c>
      <c r="I48" s="4"/>
      <c r="J48" s="4" t="s">
        <v>98</v>
      </c>
    </row>
    <row r="49" spans="1:10" customFormat="1" ht="64" x14ac:dyDescent="0.2">
      <c r="A49" s="6" t="s">
        <v>136</v>
      </c>
      <c r="B49" s="6" t="s">
        <v>137</v>
      </c>
      <c r="C49" s="4" t="b">
        <v>1</v>
      </c>
      <c r="D49" s="4" t="b">
        <v>0</v>
      </c>
      <c r="E49" s="4" t="b">
        <v>1</v>
      </c>
      <c r="F49" s="4" t="s">
        <v>12</v>
      </c>
      <c r="G49" s="4" t="b">
        <f t="shared" si="0"/>
        <v>1</v>
      </c>
      <c r="H49" s="4" t="s">
        <v>2875</v>
      </c>
      <c r="I49" s="4"/>
      <c r="J49" s="4" t="s">
        <v>98</v>
      </c>
    </row>
    <row r="50" spans="1:10" customFormat="1" ht="16" x14ac:dyDescent="0.2">
      <c r="A50" s="6" t="s">
        <v>138</v>
      </c>
      <c r="B50" s="6" t="s">
        <v>139</v>
      </c>
      <c r="C50" s="4" t="b">
        <v>1</v>
      </c>
      <c r="D50" s="4" t="b">
        <v>0</v>
      </c>
      <c r="E50" s="4" t="b">
        <v>1</v>
      </c>
      <c r="F50" s="4" t="s">
        <v>12</v>
      </c>
      <c r="G50" s="4" t="b">
        <f t="shared" si="0"/>
        <v>1</v>
      </c>
      <c r="H50" s="4" t="s">
        <v>2876</v>
      </c>
      <c r="I50" s="4"/>
      <c r="J50" s="4" t="s">
        <v>98</v>
      </c>
    </row>
    <row r="51" spans="1:10" customFormat="1" ht="16" hidden="1" x14ac:dyDescent="0.2">
      <c r="A51" s="6" t="s">
        <v>140</v>
      </c>
      <c r="B51" s="6" t="s">
        <v>141</v>
      </c>
      <c r="C51" s="4" t="b">
        <v>0</v>
      </c>
      <c r="D51" s="4" t="b">
        <v>0</v>
      </c>
      <c r="E51" s="4" t="b">
        <v>0</v>
      </c>
      <c r="F51" s="4" t="s">
        <v>12</v>
      </c>
      <c r="G51" s="4" t="b">
        <f t="shared" si="0"/>
        <v>1</v>
      </c>
      <c r="H51" s="4" t="s">
        <v>2877</v>
      </c>
      <c r="I51" s="4"/>
      <c r="J51" s="4" t="s">
        <v>98</v>
      </c>
    </row>
    <row r="52" spans="1:10" customFormat="1" ht="16" hidden="1" x14ac:dyDescent="0.2">
      <c r="A52" s="6" t="s">
        <v>142</v>
      </c>
      <c r="B52" s="6" t="s">
        <v>143</v>
      </c>
      <c r="C52" s="4" t="b">
        <v>0</v>
      </c>
      <c r="D52" s="4" t="b">
        <v>0</v>
      </c>
      <c r="E52" s="4" t="b">
        <v>1</v>
      </c>
      <c r="F52" s="4" t="s">
        <v>12</v>
      </c>
      <c r="G52" s="4" t="b">
        <f t="shared" si="0"/>
        <v>1</v>
      </c>
      <c r="H52" s="4"/>
      <c r="I52" s="4"/>
      <c r="J52" s="4" t="s">
        <v>98</v>
      </c>
    </row>
    <row r="53" spans="1:10" customFormat="1" ht="16" hidden="1" x14ac:dyDescent="0.2">
      <c r="A53" s="6" t="s">
        <v>144</v>
      </c>
      <c r="B53" s="6" t="s">
        <v>145</v>
      </c>
      <c r="C53" s="4" t="b">
        <v>0</v>
      </c>
      <c r="D53" s="4" t="b">
        <v>0</v>
      </c>
      <c r="E53" s="4" t="b">
        <v>1</v>
      </c>
      <c r="F53" s="4" t="s">
        <v>12</v>
      </c>
      <c r="G53" s="4" t="b">
        <f t="shared" si="0"/>
        <v>1</v>
      </c>
      <c r="H53" s="4"/>
      <c r="I53" s="4"/>
      <c r="J53" s="4" t="s">
        <v>98</v>
      </c>
    </row>
    <row r="54" spans="1:10" customFormat="1" ht="16" hidden="1" x14ac:dyDescent="0.2">
      <c r="A54" s="6" t="s">
        <v>146</v>
      </c>
      <c r="B54" s="6" t="s">
        <v>147</v>
      </c>
      <c r="C54" s="4" t="b">
        <v>0</v>
      </c>
      <c r="D54" s="4" t="b">
        <v>0</v>
      </c>
      <c r="E54" s="4" t="b">
        <v>0</v>
      </c>
      <c r="F54" s="4"/>
      <c r="G54" s="4" t="b">
        <f t="shared" si="0"/>
        <v>0</v>
      </c>
      <c r="H54" s="4"/>
      <c r="I54" s="4"/>
      <c r="J54" s="4" t="s">
        <v>98</v>
      </c>
    </row>
    <row r="55" spans="1:10" customFormat="1" ht="16" hidden="1" x14ac:dyDescent="0.2">
      <c r="A55" s="6" t="s">
        <v>148</v>
      </c>
      <c r="B55" s="6" t="s">
        <v>149</v>
      </c>
      <c r="C55" s="4" t="b">
        <v>0</v>
      </c>
      <c r="D55" s="4" t="b">
        <v>0</v>
      </c>
      <c r="E55" s="4" t="b">
        <v>0</v>
      </c>
      <c r="F55" s="4"/>
      <c r="G55" s="4" t="b">
        <f t="shared" si="0"/>
        <v>0</v>
      </c>
      <c r="H55" s="4"/>
      <c r="I55" s="4"/>
      <c r="J55" s="4" t="s">
        <v>98</v>
      </c>
    </row>
    <row r="56" spans="1:10" customFormat="1" ht="16" hidden="1" x14ac:dyDescent="0.2">
      <c r="A56" s="6" t="s">
        <v>150</v>
      </c>
      <c r="B56" s="6" t="s">
        <v>151</v>
      </c>
      <c r="C56" s="4" t="b">
        <v>0</v>
      </c>
      <c r="D56" s="4" t="b">
        <v>0</v>
      </c>
      <c r="E56" s="4" t="b">
        <v>1</v>
      </c>
      <c r="F56" s="4" t="s">
        <v>12</v>
      </c>
      <c r="G56" s="4" t="b">
        <f>IF(F56="✔", TRUE, FALSE)</f>
        <v>1</v>
      </c>
      <c r="H56" s="4"/>
      <c r="I56" s="4"/>
      <c r="J56" s="4" t="s">
        <v>98</v>
      </c>
    </row>
    <row r="57" spans="1:10" customFormat="1" ht="16" hidden="1" x14ac:dyDescent="0.2">
      <c r="A57" s="6" t="s">
        <v>152</v>
      </c>
      <c r="B57" s="6" t="s">
        <v>153</v>
      </c>
      <c r="C57" s="4" t="b">
        <v>0</v>
      </c>
      <c r="D57" s="4" t="b">
        <v>0</v>
      </c>
      <c r="E57" s="4" t="b">
        <v>1</v>
      </c>
      <c r="F57" s="4"/>
      <c r="G57" s="4" t="b">
        <f t="shared" si="0"/>
        <v>0</v>
      </c>
      <c r="H57" s="4"/>
      <c r="I57" s="4"/>
      <c r="J57" s="4" t="s">
        <v>98</v>
      </c>
    </row>
    <row r="58" spans="1:10" customFormat="1" ht="16" hidden="1" x14ac:dyDescent="0.2">
      <c r="A58" s="6" t="s">
        <v>154</v>
      </c>
      <c r="B58" s="6" t="s">
        <v>155</v>
      </c>
      <c r="C58" s="4" t="b">
        <v>0</v>
      </c>
      <c r="D58" s="4" t="b">
        <v>0</v>
      </c>
      <c r="E58" s="4" t="b">
        <v>0</v>
      </c>
      <c r="F58" s="4" t="s">
        <v>12</v>
      </c>
      <c r="G58" s="4" t="b">
        <f t="shared" si="0"/>
        <v>1</v>
      </c>
      <c r="H58" s="4"/>
      <c r="I58" s="4"/>
      <c r="J58" s="4" t="s">
        <v>98</v>
      </c>
    </row>
    <row r="59" spans="1:10" customFormat="1" ht="16" hidden="1" x14ac:dyDescent="0.2">
      <c r="A59" s="6" t="s">
        <v>156</v>
      </c>
      <c r="B59" s="6" t="s">
        <v>157</v>
      </c>
      <c r="C59" s="4" t="b">
        <v>0</v>
      </c>
      <c r="D59" s="4" t="b">
        <v>0</v>
      </c>
      <c r="E59" s="4" t="b">
        <v>0</v>
      </c>
      <c r="F59" s="4"/>
      <c r="G59" s="4" t="b">
        <f t="shared" si="0"/>
        <v>0</v>
      </c>
      <c r="H59" s="4"/>
      <c r="I59" s="4"/>
      <c r="J59" s="4" t="s">
        <v>98</v>
      </c>
    </row>
    <row r="60" spans="1:10" customFormat="1" ht="48" x14ac:dyDescent="0.2">
      <c r="A60" s="6" t="s">
        <v>158</v>
      </c>
      <c r="B60" s="6" t="s">
        <v>159</v>
      </c>
      <c r="C60" s="4" t="b">
        <v>1</v>
      </c>
      <c r="D60" s="4" t="b">
        <v>1</v>
      </c>
      <c r="E60" s="4" t="b">
        <v>1</v>
      </c>
      <c r="F60" s="4" t="s">
        <v>12</v>
      </c>
      <c r="G60" s="4" t="b">
        <f t="shared" si="0"/>
        <v>1</v>
      </c>
      <c r="H60" s="4" t="s">
        <v>3191</v>
      </c>
      <c r="I60" s="4"/>
      <c r="J60" s="4" t="s">
        <v>98</v>
      </c>
    </row>
    <row r="61" spans="1:10" customFormat="1" ht="16" x14ac:dyDescent="0.2">
      <c r="A61" s="6" t="s">
        <v>160</v>
      </c>
      <c r="B61" s="6" t="s">
        <v>161</v>
      </c>
      <c r="C61" s="4" t="b">
        <v>1</v>
      </c>
      <c r="D61" s="4" t="b">
        <v>0</v>
      </c>
      <c r="E61" s="4" t="b">
        <v>1</v>
      </c>
      <c r="F61" s="4" t="s">
        <v>12</v>
      </c>
      <c r="G61" s="4" t="b">
        <f t="shared" si="0"/>
        <v>1</v>
      </c>
      <c r="H61" s="4"/>
      <c r="I61" s="4"/>
      <c r="J61" s="4" t="s">
        <v>98</v>
      </c>
    </row>
    <row r="62" spans="1:10" customFormat="1" ht="16" hidden="1" x14ac:dyDescent="0.2">
      <c r="A62" s="6" t="s">
        <v>162</v>
      </c>
      <c r="B62" s="6" t="s">
        <v>163</v>
      </c>
      <c r="C62" s="4" t="b">
        <v>0</v>
      </c>
      <c r="D62" s="4" t="b">
        <v>0</v>
      </c>
      <c r="E62" s="4" t="b">
        <v>0</v>
      </c>
      <c r="F62" s="4"/>
      <c r="G62" s="4" t="b">
        <f t="shared" si="0"/>
        <v>0</v>
      </c>
      <c r="H62" s="4"/>
      <c r="I62" s="4"/>
      <c r="J62" s="4" t="s">
        <v>98</v>
      </c>
    </row>
    <row r="63" spans="1:10" customFormat="1" ht="16" hidden="1" x14ac:dyDescent="0.2">
      <c r="A63" s="6" t="s">
        <v>164</v>
      </c>
      <c r="B63" s="6" t="s">
        <v>165</v>
      </c>
      <c r="C63" s="4" t="b">
        <v>0</v>
      </c>
      <c r="D63" s="4" t="b">
        <v>0</v>
      </c>
      <c r="E63" s="4" t="b">
        <v>0</v>
      </c>
      <c r="F63" s="4"/>
      <c r="G63" s="4" t="b">
        <f t="shared" si="0"/>
        <v>0</v>
      </c>
      <c r="H63" s="4"/>
      <c r="I63" s="4"/>
      <c r="J63" s="4" t="s">
        <v>98</v>
      </c>
    </row>
    <row r="64" spans="1:10" customFormat="1" ht="16" hidden="1" x14ac:dyDescent="0.2">
      <c r="A64" s="6" t="s">
        <v>166</v>
      </c>
      <c r="B64" s="6" t="s">
        <v>167</v>
      </c>
      <c r="C64" s="4" t="b">
        <v>0</v>
      </c>
      <c r="D64" s="4" t="b">
        <v>0</v>
      </c>
      <c r="E64" s="4" t="b">
        <v>0</v>
      </c>
      <c r="F64" s="4"/>
      <c r="G64" s="4" t="b">
        <f t="shared" si="0"/>
        <v>0</v>
      </c>
      <c r="H64" s="4"/>
      <c r="I64" s="4"/>
      <c r="J64" s="4" t="s">
        <v>98</v>
      </c>
    </row>
    <row r="65" spans="1:10" customFormat="1" ht="16" hidden="1" x14ac:dyDescent="0.2">
      <c r="A65" s="6" t="s">
        <v>168</v>
      </c>
      <c r="B65" s="6" t="s">
        <v>169</v>
      </c>
      <c r="C65" s="4" t="b">
        <v>0</v>
      </c>
      <c r="D65" s="4" t="b">
        <v>0</v>
      </c>
      <c r="E65" s="4" t="b">
        <v>0</v>
      </c>
      <c r="F65" s="4"/>
      <c r="G65" s="4" t="b">
        <f t="shared" si="0"/>
        <v>0</v>
      </c>
      <c r="H65" s="4"/>
      <c r="I65" s="4"/>
      <c r="J65" s="4" t="s">
        <v>98</v>
      </c>
    </row>
    <row r="66" spans="1:10" customFormat="1" ht="16" hidden="1" x14ac:dyDescent="0.2">
      <c r="A66" s="6" t="s">
        <v>170</v>
      </c>
      <c r="B66" s="6" t="s">
        <v>171</v>
      </c>
      <c r="C66" s="4" t="b">
        <v>0</v>
      </c>
      <c r="D66" s="4" t="b">
        <v>0</v>
      </c>
      <c r="E66" s="4" t="b">
        <v>0</v>
      </c>
      <c r="F66" s="4"/>
      <c r="G66" s="4" t="b">
        <f t="shared" ref="G66:G129" si="1">IF(F66="✔", TRUE, FALSE)</f>
        <v>0</v>
      </c>
      <c r="H66" s="4"/>
      <c r="I66" s="4"/>
      <c r="J66" s="4" t="s">
        <v>98</v>
      </c>
    </row>
    <row r="67" spans="1:10" customFormat="1" ht="16" hidden="1" x14ac:dyDescent="0.2">
      <c r="A67" s="6" t="s">
        <v>172</v>
      </c>
      <c r="B67" s="6" t="s">
        <v>173</v>
      </c>
      <c r="C67" s="4" t="b">
        <v>0</v>
      </c>
      <c r="D67" s="4" t="b">
        <v>0</v>
      </c>
      <c r="E67" s="4" t="b">
        <v>0</v>
      </c>
      <c r="F67" s="4"/>
      <c r="G67" s="4" t="b">
        <f t="shared" si="1"/>
        <v>0</v>
      </c>
      <c r="H67" s="4"/>
      <c r="I67" s="4"/>
      <c r="J67" s="4" t="s">
        <v>98</v>
      </c>
    </row>
    <row r="68" spans="1:10" customFormat="1" ht="48" x14ac:dyDescent="0.2">
      <c r="A68" s="6" t="s">
        <v>174</v>
      </c>
      <c r="B68" s="6" t="s">
        <v>175</v>
      </c>
      <c r="C68" s="4" t="b">
        <v>1</v>
      </c>
      <c r="D68" s="4" t="b">
        <v>1</v>
      </c>
      <c r="E68" s="4" t="b">
        <v>1</v>
      </c>
      <c r="F68" s="4" t="s">
        <v>12</v>
      </c>
      <c r="G68" s="4" t="b">
        <f t="shared" si="1"/>
        <v>1</v>
      </c>
      <c r="H68" s="4" t="s">
        <v>3192</v>
      </c>
      <c r="I68" s="4"/>
      <c r="J68" s="4" t="s">
        <v>98</v>
      </c>
    </row>
    <row r="69" spans="1:10" customFormat="1" ht="16" hidden="1" x14ac:dyDescent="0.2">
      <c r="A69" s="6" t="s">
        <v>176</v>
      </c>
      <c r="B69" s="6" t="s">
        <v>177</v>
      </c>
      <c r="C69" s="4" t="b">
        <v>0</v>
      </c>
      <c r="D69" s="4" t="b">
        <v>0</v>
      </c>
      <c r="E69" s="4" t="b">
        <v>0</v>
      </c>
      <c r="F69" s="4"/>
      <c r="G69" s="4" t="b">
        <f t="shared" si="1"/>
        <v>0</v>
      </c>
      <c r="H69" s="4"/>
      <c r="I69" s="4"/>
      <c r="J69" s="4" t="s">
        <v>98</v>
      </c>
    </row>
    <row r="70" spans="1:10" customFormat="1" ht="16" hidden="1" x14ac:dyDescent="0.2">
      <c r="A70" s="6" t="s">
        <v>178</v>
      </c>
      <c r="B70" s="6" t="s">
        <v>179</v>
      </c>
      <c r="C70" s="4" t="b">
        <v>0</v>
      </c>
      <c r="D70" s="4" t="b">
        <v>0</v>
      </c>
      <c r="E70" s="4" t="b">
        <v>0</v>
      </c>
      <c r="F70" s="4"/>
      <c r="G70" s="4" t="b">
        <f t="shared" si="1"/>
        <v>0</v>
      </c>
      <c r="H70" s="4"/>
      <c r="I70" s="4"/>
      <c r="J70" s="4" t="s">
        <v>98</v>
      </c>
    </row>
    <row r="71" spans="1:10" customFormat="1" ht="48" x14ac:dyDescent="0.2">
      <c r="A71" s="6" t="s">
        <v>180</v>
      </c>
      <c r="B71" s="6" t="s">
        <v>181</v>
      </c>
      <c r="C71" s="4" t="b">
        <v>1</v>
      </c>
      <c r="D71" s="4" t="b">
        <v>1</v>
      </c>
      <c r="E71" s="4" t="b">
        <v>1</v>
      </c>
      <c r="F71" s="4" t="s">
        <v>12</v>
      </c>
      <c r="G71" s="4" t="b">
        <f t="shared" si="1"/>
        <v>1</v>
      </c>
      <c r="H71" s="4" t="s">
        <v>3193</v>
      </c>
      <c r="I71" s="4"/>
      <c r="J71" s="4" t="s">
        <v>98</v>
      </c>
    </row>
    <row r="72" spans="1:10" customFormat="1" ht="16" hidden="1" x14ac:dyDescent="0.2">
      <c r="A72" s="6" t="s">
        <v>182</v>
      </c>
      <c r="B72" s="6" t="s">
        <v>183</v>
      </c>
      <c r="C72" s="4" t="b">
        <v>0</v>
      </c>
      <c r="D72" s="4" t="b">
        <v>0</v>
      </c>
      <c r="E72" s="4" t="b">
        <v>0</v>
      </c>
      <c r="F72" s="4"/>
      <c r="G72" s="4" t="b">
        <f t="shared" si="1"/>
        <v>0</v>
      </c>
      <c r="H72" s="4"/>
      <c r="I72" s="4"/>
      <c r="J72" s="4" t="s">
        <v>98</v>
      </c>
    </row>
    <row r="73" spans="1:10" customFormat="1" ht="80" x14ac:dyDescent="0.2">
      <c r="A73" s="6" t="s">
        <v>184</v>
      </c>
      <c r="B73" s="6" t="s">
        <v>185</v>
      </c>
      <c r="C73" s="4" t="b">
        <v>1</v>
      </c>
      <c r="D73" s="4" t="b">
        <v>0</v>
      </c>
      <c r="E73" s="4" t="b">
        <v>1</v>
      </c>
      <c r="F73" s="4" t="s">
        <v>12</v>
      </c>
      <c r="G73" s="4" t="b">
        <f t="shared" si="1"/>
        <v>1</v>
      </c>
      <c r="H73" s="4" t="s">
        <v>3194</v>
      </c>
      <c r="I73" s="4"/>
      <c r="J73" s="4" t="s">
        <v>98</v>
      </c>
    </row>
    <row r="74" spans="1:10" customFormat="1" ht="16" hidden="1" x14ac:dyDescent="0.2">
      <c r="A74" s="6" t="s">
        <v>186</v>
      </c>
      <c r="B74" s="6" t="s">
        <v>187</v>
      </c>
      <c r="C74" s="4" t="b">
        <v>0</v>
      </c>
      <c r="D74" s="4" t="b">
        <v>0</v>
      </c>
      <c r="E74" s="4" t="b">
        <v>1</v>
      </c>
      <c r="F74" s="4"/>
      <c r="G74" s="4" t="b">
        <f t="shared" si="1"/>
        <v>0</v>
      </c>
      <c r="H74" s="4"/>
      <c r="I74" s="4"/>
      <c r="J74" s="4" t="s">
        <v>98</v>
      </c>
    </row>
    <row r="75" spans="1:10" customFormat="1" ht="16" hidden="1" x14ac:dyDescent="0.2">
      <c r="A75" s="6" t="s">
        <v>188</v>
      </c>
      <c r="B75" s="6" t="s">
        <v>189</v>
      </c>
      <c r="C75" s="4" t="b">
        <v>0</v>
      </c>
      <c r="D75" s="4" t="b">
        <v>0</v>
      </c>
      <c r="E75" s="4" t="b">
        <v>1</v>
      </c>
      <c r="F75" s="4"/>
      <c r="G75" s="4" t="b">
        <f t="shared" si="1"/>
        <v>0</v>
      </c>
      <c r="H75" s="4"/>
      <c r="I75" s="4"/>
      <c r="J75" s="4" t="s">
        <v>98</v>
      </c>
    </row>
    <row r="76" spans="1:10" customFormat="1" ht="80" x14ac:dyDescent="0.2">
      <c r="A76" s="6" t="s">
        <v>190</v>
      </c>
      <c r="B76" s="6" t="s">
        <v>191</v>
      </c>
      <c r="C76" s="4" t="b">
        <v>1</v>
      </c>
      <c r="D76" s="4" t="b">
        <v>1</v>
      </c>
      <c r="E76" s="4" t="b">
        <v>1</v>
      </c>
      <c r="F76" s="4" t="s">
        <v>12</v>
      </c>
      <c r="G76" s="4" t="b">
        <f t="shared" si="1"/>
        <v>1</v>
      </c>
      <c r="H76" s="4" t="s">
        <v>3195</v>
      </c>
      <c r="I76" s="1"/>
      <c r="J76" s="4" t="s">
        <v>98</v>
      </c>
    </row>
    <row r="77" spans="1:10" customFormat="1" ht="32" x14ac:dyDescent="0.2">
      <c r="A77" s="6" t="s">
        <v>192</v>
      </c>
      <c r="B77" s="6" t="s">
        <v>193</v>
      </c>
      <c r="C77" s="4" t="b">
        <v>1</v>
      </c>
      <c r="D77" s="4" t="b">
        <v>0</v>
      </c>
      <c r="E77" s="4" t="b">
        <v>1</v>
      </c>
      <c r="F77" s="4" t="s">
        <v>12</v>
      </c>
      <c r="G77" s="4" t="b">
        <f t="shared" si="1"/>
        <v>1</v>
      </c>
      <c r="H77" s="4" t="s">
        <v>3196</v>
      </c>
      <c r="I77" s="4"/>
      <c r="J77" s="4" t="s">
        <v>98</v>
      </c>
    </row>
    <row r="78" spans="1:10" customFormat="1" ht="16" hidden="1" x14ac:dyDescent="0.2">
      <c r="A78" s="6" t="s">
        <v>194</v>
      </c>
      <c r="B78" s="6" t="s">
        <v>195</v>
      </c>
      <c r="C78" s="4" t="b">
        <v>0</v>
      </c>
      <c r="D78" s="4" t="b">
        <v>0</v>
      </c>
      <c r="E78" s="4" t="b">
        <v>0</v>
      </c>
      <c r="F78" s="4"/>
      <c r="G78" s="4" t="b">
        <f t="shared" si="1"/>
        <v>0</v>
      </c>
      <c r="H78" s="4"/>
      <c r="I78" s="4"/>
      <c r="J78" s="4" t="s">
        <v>98</v>
      </c>
    </row>
    <row r="79" spans="1:10" customFormat="1" ht="48" x14ac:dyDescent="0.2">
      <c r="A79" s="6" t="s">
        <v>196</v>
      </c>
      <c r="B79" s="6" t="s">
        <v>197</v>
      </c>
      <c r="C79" s="4" t="b">
        <v>1</v>
      </c>
      <c r="D79" s="4" t="b">
        <v>0</v>
      </c>
      <c r="E79" s="4" t="b">
        <v>1</v>
      </c>
      <c r="F79" s="4" t="s">
        <v>12</v>
      </c>
      <c r="G79" s="4" t="b">
        <f t="shared" si="1"/>
        <v>1</v>
      </c>
      <c r="H79" s="4" t="s">
        <v>3197</v>
      </c>
      <c r="I79" s="4"/>
      <c r="J79" s="4" t="s">
        <v>98</v>
      </c>
    </row>
    <row r="80" spans="1:10" customFormat="1" ht="16" hidden="1" x14ac:dyDescent="0.2">
      <c r="A80" s="6" t="s">
        <v>198</v>
      </c>
      <c r="B80" s="6" t="s">
        <v>199</v>
      </c>
      <c r="C80" s="4" t="b">
        <v>0</v>
      </c>
      <c r="D80" s="4" t="b">
        <v>0</v>
      </c>
      <c r="E80" s="4" t="b">
        <v>0</v>
      </c>
      <c r="F80" s="4"/>
      <c r="G80" s="4" t="b">
        <f t="shared" si="1"/>
        <v>0</v>
      </c>
      <c r="H80" s="4"/>
      <c r="I80" s="4"/>
      <c r="J80" s="4" t="s">
        <v>98</v>
      </c>
    </row>
    <row r="81" spans="1:10" customFormat="1" ht="32" x14ac:dyDescent="0.2">
      <c r="A81" s="6" t="s">
        <v>200</v>
      </c>
      <c r="B81" s="6" t="s">
        <v>201</v>
      </c>
      <c r="C81" s="4" t="b">
        <v>1</v>
      </c>
      <c r="D81" s="4" t="b">
        <v>0</v>
      </c>
      <c r="E81" s="4" t="b">
        <v>1</v>
      </c>
      <c r="F81" s="4" t="s">
        <v>12</v>
      </c>
      <c r="G81" s="4" t="b">
        <f t="shared" si="1"/>
        <v>1</v>
      </c>
      <c r="H81" s="4" t="s">
        <v>3198</v>
      </c>
      <c r="I81" s="4"/>
      <c r="J81" s="4" t="s">
        <v>98</v>
      </c>
    </row>
    <row r="82" spans="1:10" customFormat="1" ht="16" hidden="1" x14ac:dyDescent="0.2">
      <c r="A82" s="6" t="s">
        <v>202</v>
      </c>
      <c r="B82" s="6" t="s">
        <v>203</v>
      </c>
      <c r="C82" s="4" t="b">
        <v>0</v>
      </c>
      <c r="D82" s="4" t="b">
        <v>0</v>
      </c>
      <c r="E82" s="4" t="b">
        <v>0</v>
      </c>
      <c r="F82" s="4" t="s">
        <v>12</v>
      </c>
      <c r="G82" s="4" t="b">
        <f t="shared" si="1"/>
        <v>1</v>
      </c>
      <c r="H82" s="4"/>
      <c r="I82" s="4"/>
      <c r="J82" s="4" t="s">
        <v>98</v>
      </c>
    </row>
    <row r="83" spans="1:10" customFormat="1" ht="80" x14ac:dyDescent="0.2">
      <c r="A83" s="6" t="s">
        <v>204</v>
      </c>
      <c r="B83" s="6" t="s">
        <v>205</v>
      </c>
      <c r="C83" s="4" t="b">
        <v>1</v>
      </c>
      <c r="D83" s="4" t="b">
        <v>1</v>
      </c>
      <c r="E83" s="4" t="b">
        <v>1</v>
      </c>
      <c r="F83" s="4" t="s">
        <v>12</v>
      </c>
      <c r="G83" s="4" t="b">
        <f t="shared" si="1"/>
        <v>1</v>
      </c>
      <c r="H83" s="4" t="s">
        <v>3199</v>
      </c>
      <c r="I83" s="4"/>
      <c r="J83" s="4" t="s">
        <v>98</v>
      </c>
    </row>
    <row r="84" spans="1:10" customFormat="1" ht="16" hidden="1" x14ac:dyDescent="0.2">
      <c r="A84" s="6" t="s">
        <v>206</v>
      </c>
      <c r="B84" s="6" t="s">
        <v>207</v>
      </c>
      <c r="C84" s="4" t="b">
        <v>0</v>
      </c>
      <c r="D84" s="4" t="b">
        <v>0</v>
      </c>
      <c r="E84" s="4" t="b">
        <v>0</v>
      </c>
      <c r="F84" s="4"/>
      <c r="G84" s="4" t="b">
        <f t="shared" si="1"/>
        <v>0</v>
      </c>
      <c r="H84" s="4"/>
      <c r="I84" s="4"/>
      <c r="J84" s="4" t="s">
        <v>98</v>
      </c>
    </row>
    <row r="85" spans="1:10" customFormat="1" ht="16" x14ac:dyDescent="0.2">
      <c r="A85" s="6" t="s">
        <v>208</v>
      </c>
      <c r="B85" s="6" t="s">
        <v>209</v>
      </c>
      <c r="C85" s="4" t="b">
        <v>1</v>
      </c>
      <c r="D85" s="4" t="b">
        <v>0</v>
      </c>
      <c r="E85" s="4" t="b">
        <v>1</v>
      </c>
      <c r="F85" s="4" t="s">
        <v>12</v>
      </c>
      <c r="G85" s="4" t="b">
        <f t="shared" si="1"/>
        <v>1</v>
      </c>
      <c r="H85" s="4" t="s">
        <v>3200</v>
      </c>
      <c r="I85" s="4"/>
      <c r="J85" s="4" t="s">
        <v>98</v>
      </c>
    </row>
    <row r="86" spans="1:10" customFormat="1" ht="16" hidden="1" x14ac:dyDescent="0.2">
      <c r="A86" s="6" t="s">
        <v>210</v>
      </c>
      <c r="B86" s="6" t="s">
        <v>211</v>
      </c>
      <c r="C86" s="4" t="b">
        <v>0</v>
      </c>
      <c r="D86" s="4" t="b">
        <v>0</v>
      </c>
      <c r="E86" s="4" t="b">
        <v>1</v>
      </c>
      <c r="F86" s="4"/>
      <c r="G86" s="4" t="b">
        <f t="shared" si="1"/>
        <v>0</v>
      </c>
      <c r="H86" s="4"/>
      <c r="I86" s="4"/>
      <c r="J86" s="4" t="s">
        <v>98</v>
      </c>
    </row>
    <row r="87" spans="1:10" customFormat="1" ht="16" hidden="1" x14ac:dyDescent="0.2">
      <c r="A87" s="6" t="s">
        <v>212</v>
      </c>
      <c r="B87" s="6" t="s">
        <v>213</v>
      </c>
      <c r="C87" s="4" t="b">
        <v>0</v>
      </c>
      <c r="D87" s="4" t="b">
        <v>0</v>
      </c>
      <c r="E87" s="4" t="b">
        <v>1</v>
      </c>
      <c r="F87" s="4"/>
      <c r="G87" s="4" t="b">
        <f t="shared" si="1"/>
        <v>0</v>
      </c>
      <c r="H87" s="4"/>
      <c r="I87" s="4"/>
      <c r="J87" s="4" t="s">
        <v>98</v>
      </c>
    </row>
    <row r="88" spans="1:10" customFormat="1" ht="16" hidden="1" x14ac:dyDescent="0.2">
      <c r="A88" s="6" t="s">
        <v>214</v>
      </c>
      <c r="B88" s="6" t="s">
        <v>215</v>
      </c>
      <c r="C88" s="4" t="b">
        <v>0</v>
      </c>
      <c r="D88" s="4" t="b">
        <v>0</v>
      </c>
      <c r="E88" s="4" t="b">
        <v>0</v>
      </c>
      <c r="F88" s="4"/>
      <c r="G88" s="4" t="b">
        <f t="shared" si="1"/>
        <v>0</v>
      </c>
      <c r="H88" s="4"/>
      <c r="I88" s="4"/>
      <c r="J88" s="4" t="s">
        <v>98</v>
      </c>
    </row>
    <row r="89" spans="1:10" customFormat="1" ht="16" x14ac:dyDescent="0.2">
      <c r="A89" s="6" t="s">
        <v>216</v>
      </c>
      <c r="B89" s="6" t="s">
        <v>217</v>
      </c>
      <c r="C89" s="4" t="b">
        <v>1</v>
      </c>
      <c r="D89" s="4" t="b">
        <v>0</v>
      </c>
      <c r="E89" s="4" t="b">
        <v>1</v>
      </c>
      <c r="F89" s="4" t="s">
        <v>12</v>
      </c>
      <c r="G89" s="4" t="b">
        <f t="shared" si="1"/>
        <v>1</v>
      </c>
      <c r="H89" s="4" t="s">
        <v>3201</v>
      </c>
      <c r="I89" s="4"/>
      <c r="J89" s="4" t="s">
        <v>98</v>
      </c>
    </row>
    <row r="90" spans="1:10" customFormat="1" ht="96" x14ac:dyDescent="0.2">
      <c r="A90" s="6" t="s">
        <v>218</v>
      </c>
      <c r="B90" s="6" t="s">
        <v>219</v>
      </c>
      <c r="C90" s="4" t="b">
        <v>1</v>
      </c>
      <c r="D90" s="4" t="b">
        <v>1</v>
      </c>
      <c r="E90" s="4" t="b">
        <v>1</v>
      </c>
      <c r="F90" s="4" t="s">
        <v>12</v>
      </c>
      <c r="G90" s="4" t="b">
        <f t="shared" si="1"/>
        <v>1</v>
      </c>
      <c r="H90" s="4" t="s">
        <v>3202</v>
      </c>
      <c r="I90" s="4"/>
      <c r="J90" s="4" t="s">
        <v>98</v>
      </c>
    </row>
    <row r="91" spans="1:10" customFormat="1" ht="16" hidden="1" x14ac:dyDescent="0.2">
      <c r="A91" s="6" t="s">
        <v>220</v>
      </c>
      <c r="B91" s="6" t="s">
        <v>221</v>
      </c>
      <c r="C91" s="4" t="b">
        <v>0</v>
      </c>
      <c r="D91" s="4" t="b">
        <v>0</v>
      </c>
      <c r="E91" s="4" t="b">
        <v>0</v>
      </c>
      <c r="F91" s="4"/>
      <c r="G91" s="4" t="b">
        <f t="shared" si="1"/>
        <v>0</v>
      </c>
      <c r="H91" s="4"/>
      <c r="I91" s="4"/>
      <c r="J91" s="4" t="s">
        <v>98</v>
      </c>
    </row>
    <row r="92" spans="1:10" customFormat="1" ht="16" hidden="1" x14ac:dyDescent="0.2">
      <c r="A92" s="6" t="s">
        <v>222</v>
      </c>
      <c r="B92" s="6" t="s">
        <v>223</v>
      </c>
      <c r="C92" s="4" t="b">
        <v>0</v>
      </c>
      <c r="D92" s="4" t="b">
        <v>0</v>
      </c>
      <c r="E92" s="4" t="b">
        <v>1</v>
      </c>
      <c r="F92" s="4"/>
      <c r="G92" s="4" t="b">
        <f t="shared" si="1"/>
        <v>0</v>
      </c>
      <c r="H92" s="4"/>
      <c r="I92" s="4"/>
      <c r="J92" s="4" t="s">
        <v>98</v>
      </c>
    </row>
    <row r="93" spans="1:10" customFormat="1" ht="16" x14ac:dyDescent="0.2">
      <c r="A93" s="6" t="s">
        <v>224</v>
      </c>
      <c r="B93" s="6" t="s">
        <v>225</v>
      </c>
      <c r="C93" s="4" t="b">
        <v>1</v>
      </c>
      <c r="D93" s="4" t="b">
        <v>0</v>
      </c>
      <c r="E93" s="4" t="b">
        <v>1</v>
      </c>
      <c r="F93" s="4" t="s">
        <v>12</v>
      </c>
      <c r="G93" s="4" t="b">
        <f t="shared" si="1"/>
        <v>1</v>
      </c>
      <c r="H93" s="4" t="s">
        <v>3203</v>
      </c>
      <c r="I93" s="4"/>
      <c r="J93" s="4" t="s">
        <v>98</v>
      </c>
    </row>
    <row r="94" spans="1:10" customFormat="1" ht="64" x14ac:dyDescent="0.2">
      <c r="A94" s="6" t="s">
        <v>226</v>
      </c>
      <c r="B94" s="6" t="s">
        <v>227</v>
      </c>
      <c r="C94" s="4" t="b">
        <v>1</v>
      </c>
      <c r="D94" s="4" t="b">
        <v>0</v>
      </c>
      <c r="E94" s="4" t="b">
        <v>1</v>
      </c>
      <c r="F94" s="4" t="s">
        <v>12</v>
      </c>
      <c r="G94" s="4" t="b">
        <f t="shared" si="1"/>
        <v>1</v>
      </c>
      <c r="H94" s="4" t="s">
        <v>3204</v>
      </c>
      <c r="I94" s="4"/>
      <c r="J94" s="4" t="s">
        <v>98</v>
      </c>
    </row>
    <row r="95" spans="1:10" customFormat="1" ht="16" hidden="1" x14ac:dyDescent="0.2">
      <c r="A95" s="6" t="s">
        <v>228</v>
      </c>
      <c r="B95" s="6" t="s">
        <v>229</v>
      </c>
      <c r="C95" s="4" t="b">
        <v>0</v>
      </c>
      <c r="D95" s="4" t="b">
        <v>0</v>
      </c>
      <c r="E95" s="4" t="b">
        <v>1</v>
      </c>
      <c r="F95" s="4"/>
      <c r="G95" s="4" t="b">
        <f t="shared" si="1"/>
        <v>0</v>
      </c>
      <c r="H95" s="4"/>
      <c r="I95" s="4"/>
      <c r="J95" s="4" t="s">
        <v>98</v>
      </c>
    </row>
    <row r="96" spans="1:10" customFormat="1" ht="64" x14ac:dyDescent="0.2">
      <c r="A96" s="6" t="s">
        <v>230</v>
      </c>
      <c r="B96" s="6" t="s">
        <v>231</v>
      </c>
      <c r="C96" s="4" t="b">
        <v>1</v>
      </c>
      <c r="D96" s="4" t="b">
        <v>0</v>
      </c>
      <c r="E96" s="4" t="b">
        <v>1</v>
      </c>
      <c r="F96" s="4" t="s">
        <v>12</v>
      </c>
      <c r="G96" s="4" t="b">
        <f t="shared" si="1"/>
        <v>1</v>
      </c>
      <c r="H96" s="4" t="s">
        <v>3208</v>
      </c>
      <c r="I96" s="4"/>
      <c r="J96" s="4" t="s">
        <v>98</v>
      </c>
    </row>
    <row r="97" spans="1:10" customFormat="1" ht="16" hidden="1" x14ac:dyDescent="0.2">
      <c r="A97" s="6" t="s">
        <v>232</v>
      </c>
      <c r="B97" s="6" t="s">
        <v>233</v>
      </c>
      <c r="C97" s="4" t="b">
        <v>0</v>
      </c>
      <c r="D97" s="4" t="b">
        <v>0</v>
      </c>
      <c r="E97" s="4" t="b">
        <v>0</v>
      </c>
      <c r="F97" s="4"/>
      <c r="G97" s="4" t="b">
        <f t="shared" si="1"/>
        <v>0</v>
      </c>
      <c r="H97" s="4" t="s">
        <v>3205</v>
      </c>
      <c r="I97" s="4"/>
      <c r="J97" s="4" t="s">
        <v>98</v>
      </c>
    </row>
    <row r="98" spans="1:10" customFormat="1" ht="16" hidden="1" x14ac:dyDescent="0.2">
      <c r="A98" s="6" t="s">
        <v>234</v>
      </c>
      <c r="B98" s="6" t="s">
        <v>235</v>
      </c>
      <c r="C98" s="4" t="b">
        <v>0</v>
      </c>
      <c r="D98" s="4" t="b">
        <v>0</v>
      </c>
      <c r="E98" s="4" t="b">
        <v>1</v>
      </c>
      <c r="F98" s="4"/>
      <c r="G98" s="4" t="b">
        <f t="shared" si="1"/>
        <v>0</v>
      </c>
      <c r="H98" s="4" t="s">
        <v>3206</v>
      </c>
      <c r="I98" s="4"/>
      <c r="J98" s="4" t="s">
        <v>98</v>
      </c>
    </row>
    <row r="99" spans="1:10" customFormat="1" ht="16" hidden="1" x14ac:dyDescent="0.2">
      <c r="A99" s="6" t="s">
        <v>236</v>
      </c>
      <c r="B99" s="6" t="s">
        <v>237</v>
      </c>
      <c r="C99" s="4" t="b">
        <v>0</v>
      </c>
      <c r="D99" s="4" t="b">
        <v>0</v>
      </c>
      <c r="E99" s="4" t="b">
        <v>1</v>
      </c>
      <c r="F99" s="4"/>
      <c r="G99" s="4" t="b">
        <f t="shared" si="1"/>
        <v>0</v>
      </c>
      <c r="H99" s="4" t="s">
        <v>3207</v>
      </c>
      <c r="I99" s="4"/>
      <c r="J99" s="4" t="s">
        <v>98</v>
      </c>
    </row>
    <row r="100" spans="1:10" customFormat="1" ht="16" hidden="1" x14ac:dyDescent="0.2">
      <c r="A100" s="6" t="s">
        <v>238</v>
      </c>
      <c r="B100" s="6" t="s">
        <v>239</v>
      </c>
      <c r="C100" s="4" t="b">
        <v>0</v>
      </c>
      <c r="D100" s="4" t="b">
        <v>0</v>
      </c>
      <c r="E100" s="4" t="b">
        <v>0</v>
      </c>
      <c r="F100" s="4"/>
      <c r="G100" s="4" t="b">
        <f t="shared" si="1"/>
        <v>0</v>
      </c>
      <c r="H100" s="4"/>
      <c r="I100" s="4"/>
      <c r="J100" s="4" t="s">
        <v>98</v>
      </c>
    </row>
    <row r="101" spans="1:10" customFormat="1" ht="16" hidden="1" x14ac:dyDescent="0.2">
      <c r="A101" s="6" t="s">
        <v>240</v>
      </c>
      <c r="B101" s="6" t="s">
        <v>241</v>
      </c>
      <c r="C101" s="4" t="b">
        <v>0</v>
      </c>
      <c r="D101" s="4" t="b">
        <v>0</v>
      </c>
      <c r="E101" s="4" t="b">
        <v>0</v>
      </c>
      <c r="F101" s="4"/>
      <c r="G101" s="4" t="b">
        <f t="shared" si="1"/>
        <v>0</v>
      </c>
      <c r="H101" s="4"/>
      <c r="I101" s="4"/>
      <c r="J101" s="4" t="s">
        <v>98</v>
      </c>
    </row>
    <row r="102" spans="1:10" customFormat="1" ht="16" hidden="1" x14ac:dyDescent="0.2">
      <c r="A102" s="6" t="s">
        <v>242</v>
      </c>
      <c r="B102" s="6" t="s">
        <v>243</v>
      </c>
      <c r="C102" s="4" t="b">
        <v>0</v>
      </c>
      <c r="D102" s="4" t="b">
        <v>0</v>
      </c>
      <c r="E102" s="4" t="b">
        <v>0</v>
      </c>
      <c r="F102" s="4"/>
      <c r="G102" s="4" t="b">
        <f t="shared" si="1"/>
        <v>0</v>
      </c>
      <c r="H102" s="4"/>
      <c r="I102" s="4"/>
      <c r="J102" s="4" t="s">
        <v>98</v>
      </c>
    </row>
    <row r="103" spans="1:10" customFormat="1" ht="48" x14ac:dyDescent="0.2">
      <c r="A103" s="6" t="s">
        <v>244</v>
      </c>
      <c r="B103" s="6" t="s">
        <v>245</v>
      </c>
      <c r="C103" s="4" t="b">
        <v>1</v>
      </c>
      <c r="D103" s="4" t="b">
        <v>1</v>
      </c>
      <c r="E103" s="4" t="b">
        <v>1</v>
      </c>
      <c r="F103" s="4" t="s">
        <v>12</v>
      </c>
      <c r="G103" s="4" t="b">
        <f t="shared" si="1"/>
        <v>1</v>
      </c>
      <c r="H103" s="4" t="s">
        <v>3209</v>
      </c>
      <c r="I103" s="4"/>
      <c r="J103" s="4" t="s">
        <v>98</v>
      </c>
    </row>
    <row r="104" spans="1:10" customFormat="1" ht="16" hidden="1" x14ac:dyDescent="0.2">
      <c r="A104" s="6" t="s">
        <v>246</v>
      </c>
      <c r="B104" s="6" t="s">
        <v>247</v>
      </c>
      <c r="C104" s="4" t="b">
        <v>0</v>
      </c>
      <c r="D104" s="4" t="b">
        <v>0</v>
      </c>
      <c r="E104" s="4" t="b">
        <v>0</v>
      </c>
      <c r="F104" s="4"/>
      <c r="G104" s="4" t="b">
        <f t="shared" si="1"/>
        <v>0</v>
      </c>
      <c r="H104" s="4"/>
      <c r="I104" s="4"/>
      <c r="J104" s="4" t="s">
        <v>98</v>
      </c>
    </row>
    <row r="105" spans="1:10" customFormat="1" ht="16" hidden="1" x14ac:dyDescent="0.2">
      <c r="A105" s="6" t="s">
        <v>248</v>
      </c>
      <c r="B105" s="6" t="s">
        <v>249</v>
      </c>
      <c r="C105" s="4" t="b">
        <v>0</v>
      </c>
      <c r="D105" s="4" t="b">
        <v>0</v>
      </c>
      <c r="E105" s="4" t="b">
        <v>1</v>
      </c>
      <c r="F105" s="4"/>
      <c r="G105" s="4" t="b">
        <f t="shared" si="1"/>
        <v>0</v>
      </c>
      <c r="H105" s="4"/>
      <c r="I105" s="4"/>
      <c r="J105" s="4" t="s">
        <v>98</v>
      </c>
    </row>
    <row r="106" spans="1:10" customFormat="1" ht="16" hidden="1" x14ac:dyDescent="0.2">
      <c r="A106" s="6" t="s">
        <v>250</v>
      </c>
      <c r="B106" s="6" t="s">
        <v>251</v>
      </c>
      <c r="C106" s="4" t="b">
        <v>0</v>
      </c>
      <c r="D106" s="4" t="b">
        <v>0</v>
      </c>
      <c r="E106" s="4" t="b">
        <v>1</v>
      </c>
      <c r="F106" s="4"/>
      <c r="G106" s="4" t="b">
        <f t="shared" si="1"/>
        <v>0</v>
      </c>
      <c r="H106" s="4"/>
      <c r="I106" s="4"/>
      <c r="J106" s="4" t="s">
        <v>98</v>
      </c>
    </row>
    <row r="107" spans="1:10" customFormat="1" ht="16" hidden="1" x14ac:dyDescent="0.2">
      <c r="A107" s="6" t="s">
        <v>252</v>
      </c>
      <c r="B107" s="6" t="s">
        <v>253</v>
      </c>
      <c r="C107" s="4" t="b">
        <v>0</v>
      </c>
      <c r="D107" s="4" t="b">
        <v>0</v>
      </c>
      <c r="E107" s="4" t="b">
        <v>1</v>
      </c>
      <c r="F107" s="4"/>
      <c r="G107" s="4" t="b">
        <f t="shared" si="1"/>
        <v>0</v>
      </c>
      <c r="H107" s="4"/>
      <c r="I107" s="4"/>
      <c r="J107" s="4" t="s">
        <v>98</v>
      </c>
    </row>
    <row r="108" spans="1:10" customFormat="1" ht="16" hidden="1" x14ac:dyDescent="0.2">
      <c r="A108" s="6" t="s">
        <v>254</v>
      </c>
      <c r="B108" s="6" t="s">
        <v>255</v>
      </c>
      <c r="C108" s="4" t="b">
        <v>0</v>
      </c>
      <c r="D108" s="4" t="b">
        <v>0</v>
      </c>
      <c r="E108" s="4" t="b">
        <v>0</v>
      </c>
      <c r="F108" s="4"/>
      <c r="G108" s="4" t="b">
        <f t="shared" si="1"/>
        <v>0</v>
      </c>
      <c r="H108" s="4"/>
      <c r="I108" s="4"/>
      <c r="J108" s="4" t="s">
        <v>98</v>
      </c>
    </row>
    <row r="109" spans="1:10" customFormat="1" ht="16" hidden="1" x14ac:dyDescent="0.2">
      <c r="A109" s="6" t="s">
        <v>256</v>
      </c>
      <c r="B109" s="6" t="s">
        <v>257</v>
      </c>
      <c r="C109" s="4" t="b">
        <v>0</v>
      </c>
      <c r="D109" s="4" t="b">
        <v>0</v>
      </c>
      <c r="E109" s="4" t="b">
        <v>1</v>
      </c>
      <c r="F109" s="4"/>
      <c r="G109" s="4" t="b">
        <f t="shared" si="1"/>
        <v>0</v>
      </c>
      <c r="H109" s="4"/>
      <c r="I109" s="4"/>
      <c r="J109" s="4" t="s">
        <v>98</v>
      </c>
    </row>
    <row r="110" spans="1:10" customFormat="1" ht="16" hidden="1" x14ac:dyDescent="0.2">
      <c r="A110" s="6" t="s">
        <v>258</v>
      </c>
      <c r="B110" s="6" t="s">
        <v>259</v>
      </c>
      <c r="C110" s="4" t="b">
        <v>0</v>
      </c>
      <c r="D110" s="4" t="b">
        <v>0</v>
      </c>
      <c r="E110" s="4" t="b">
        <v>0</v>
      </c>
      <c r="F110" s="4"/>
      <c r="G110" s="4" t="b">
        <f t="shared" si="1"/>
        <v>0</v>
      </c>
      <c r="H110" s="4"/>
      <c r="I110" s="4"/>
      <c r="J110" s="4" t="s">
        <v>98</v>
      </c>
    </row>
    <row r="111" spans="1:10" customFormat="1" ht="32" x14ac:dyDescent="0.2">
      <c r="A111" s="6" t="s">
        <v>260</v>
      </c>
      <c r="B111" s="6" t="s">
        <v>261</v>
      </c>
      <c r="C111" s="4" t="b">
        <v>1</v>
      </c>
      <c r="D111" s="4" t="b">
        <v>0</v>
      </c>
      <c r="E111" s="4" t="b">
        <v>1</v>
      </c>
      <c r="F111" s="4" t="s">
        <v>12</v>
      </c>
      <c r="G111" s="4" t="b">
        <f t="shared" si="1"/>
        <v>1</v>
      </c>
      <c r="H111" s="4" t="s">
        <v>3210</v>
      </c>
      <c r="I111" s="4"/>
      <c r="J111" s="4" t="s">
        <v>98</v>
      </c>
    </row>
    <row r="112" spans="1:10" customFormat="1" ht="16" hidden="1" x14ac:dyDescent="0.2">
      <c r="A112" s="6" t="s">
        <v>262</v>
      </c>
      <c r="B112" s="6" t="s">
        <v>263</v>
      </c>
      <c r="C112" s="4" t="b">
        <v>0</v>
      </c>
      <c r="D112" s="4" t="b">
        <v>0</v>
      </c>
      <c r="E112" s="4" t="b">
        <v>1</v>
      </c>
      <c r="F112" s="4"/>
      <c r="G112" s="4" t="b">
        <f t="shared" si="1"/>
        <v>0</v>
      </c>
      <c r="H112" s="4"/>
      <c r="I112" s="4"/>
      <c r="J112" s="4" t="s">
        <v>98</v>
      </c>
    </row>
    <row r="113" spans="1:10" customFormat="1" ht="128" x14ac:dyDescent="0.2">
      <c r="A113" s="6" t="s">
        <v>264</v>
      </c>
      <c r="B113" s="6" t="s">
        <v>265</v>
      </c>
      <c r="C113" s="4" t="b">
        <v>1</v>
      </c>
      <c r="D113" s="4" t="b">
        <v>0</v>
      </c>
      <c r="E113" s="4" t="b">
        <v>1</v>
      </c>
      <c r="F113" s="4" t="s">
        <v>12</v>
      </c>
      <c r="G113" s="4" t="b">
        <f t="shared" si="1"/>
        <v>1</v>
      </c>
      <c r="H113" s="4" t="s">
        <v>3211</v>
      </c>
      <c r="I113" s="4"/>
      <c r="J113" s="4" t="s">
        <v>98</v>
      </c>
    </row>
    <row r="114" spans="1:10" customFormat="1" ht="16" x14ac:dyDescent="0.2">
      <c r="A114" s="6" t="s">
        <v>266</v>
      </c>
      <c r="B114" s="6" t="s">
        <v>267</v>
      </c>
      <c r="C114" s="4" t="b">
        <v>1</v>
      </c>
      <c r="D114" s="4" t="b">
        <v>0</v>
      </c>
      <c r="E114" s="4" t="b">
        <v>1</v>
      </c>
      <c r="F114" s="4" t="s">
        <v>12</v>
      </c>
      <c r="G114" s="4" t="b">
        <f t="shared" si="1"/>
        <v>1</v>
      </c>
      <c r="H114" s="4"/>
      <c r="I114" s="4"/>
      <c r="J114" s="4" t="s">
        <v>98</v>
      </c>
    </row>
    <row r="115" spans="1:10" customFormat="1" ht="16" hidden="1" x14ac:dyDescent="0.2">
      <c r="A115" s="6" t="s">
        <v>268</v>
      </c>
      <c r="B115" s="6" t="s">
        <v>269</v>
      </c>
      <c r="C115" s="4" t="b">
        <v>0</v>
      </c>
      <c r="D115" s="4" t="b">
        <v>0</v>
      </c>
      <c r="E115" s="4" t="b">
        <v>0</v>
      </c>
      <c r="F115" s="4"/>
      <c r="G115" s="4" t="b">
        <f t="shared" si="1"/>
        <v>0</v>
      </c>
      <c r="H115" s="4"/>
      <c r="I115" s="4"/>
      <c r="J115" s="4" t="s">
        <v>98</v>
      </c>
    </row>
    <row r="116" spans="1:10" customFormat="1" ht="16" x14ac:dyDescent="0.2">
      <c r="A116" s="6" t="s">
        <v>270</v>
      </c>
      <c r="B116" s="6" t="s">
        <v>271</v>
      </c>
      <c r="C116" s="4" t="b">
        <v>1</v>
      </c>
      <c r="D116" s="4" t="b">
        <v>0</v>
      </c>
      <c r="E116" s="4" t="b">
        <v>1</v>
      </c>
      <c r="F116" s="4" t="s">
        <v>12</v>
      </c>
      <c r="G116" s="4" t="b">
        <f t="shared" si="1"/>
        <v>1</v>
      </c>
      <c r="H116" s="4" t="s">
        <v>3212</v>
      </c>
      <c r="I116" s="4"/>
      <c r="J116" s="4" t="s">
        <v>98</v>
      </c>
    </row>
    <row r="117" spans="1:10" customFormat="1" ht="16" hidden="1" x14ac:dyDescent="0.2">
      <c r="A117" s="6" t="s">
        <v>272</v>
      </c>
      <c r="B117" s="6" t="s">
        <v>273</v>
      </c>
      <c r="C117" s="4" t="b">
        <v>0</v>
      </c>
      <c r="D117" s="4" t="b">
        <v>0</v>
      </c>
      <c r="E117" s="4" t="b">
        <v>0</v>
      </c>
      <c r="F117" s="4"/>
      <c r="G117" s="4" t="b">
        <f t="shared" si="1"/>
        <v>0</v>
      </c>
      <c r="H117" s="4"/>
      <c r="I117" s="4"/>
      <c r="J117" s="4" t="s">
        <v>98</v>
      </c>
    </row>
    <row r="118" spans="1:10" customFormat="1" ht="16" hidden="1" x14ac:dyDescent="0.2">
      <c r="A118" s="6" t="s">
        <v>274</v>
      </c>
      <c r="B118" s="6" t="s">
        <v>275</v>
      </c>
      <c r="C118" s="4" t="b">
        <v>0</v>
      </c>
      <c r="D118" s="4" t="b">
        <v>0</v>
      </c>
      <c r="E118" s="4" t="b">
        <v>0</v>
      </c>
      <c r="F118" s="4"/>
      <c r="G118" s="4" t="b">
        <f t="shared" si="1"/>
        <v>0</v>
      </c>
      <c r="H118" s="4"/>
      <c r="I118" s="4"/>
      <c r="J118" s="4" t="s">
        <v>98</v>
      </c>
    </row>
    <row r="119" spans="1:10" customFormat="1" ht="16" hidden="1" x14ac:dyDescent="0.2">
      <c r="A119" s="6" t="s">
        <v>276</v>
      </c>
      <c r="B119" s="6" t="s">
        <v>277</v>
      </c>
      <c r="C119" s="4" t="b">
        <v>0</v>
      </c>
      <c r="D119" s="4" t="b">
        <v>0</v>
      </c>
      <c r="E119" s="4" t="b">
        <v>1</v>
      </c>
      <c r="F119" s="4"/>
      <c r="G119" s="4" t="b">
        <f t="shared" si="1"/>
        <v>0</v>
      </c>
      <c r="H119" s="4"/>
      <c r="I119" s="4"/>
      <c r="J119" s="4" t="s">
        <v>98</v>
      </c>
    </row>
    <row r="120" spans="1:10" customFormat="1" ht="16" hidden="1" x14ac:dyDescent="0.2">
      <c r="A120" s="6" t="s">
        <v>278</v>
      </c>
      <c r="B120" s="6" t="s">
        <v>279</v>
      </c>
      <c r="C120" s="4" t="b">
        <v>0</v>
      </c>
      <c r="D120" s="4" t="b">
        <v>0</v>
      </c>
      <c r="E120" s="4" t="b">
        <v>0</v>
      </c>
      <c r="F120" s="4"/>
      <c r="G120" s="4" t="b">
        <f t="shared" si="1"/>
        <v>0</v>
      </c>
      <c r="H120" s="4"/>
      <c r="I120" s="4"/>
      <c r="J120" s="4" t="s">
        <v>98</v>
      </c>
    </row>
    <row r="121" spans="1:10" customFormat="1" ht="16" hidden="1" x14ac:dyDescent="0.2">
      <c r="A121" s="6" t="s">
        <v>280</v>
      </c>
      <c r="B121" s="6" t="s">
        <v>281</v>
      </c>
      <c r="C121" s="4" t="b">
        <v>0</v>
      </c>
      <c r="D121" s="4" t="b">
        <v>0</v>
      </c>
      <c r="E121" s="4" t="b">
        <v>0</v>
      </c>
      <c r="F121" s="4"/>
      <c r="G121" s="4" t="b">
        <f t="shared" si="1"/>
        <v>0</v>
      </c>
      <c r="H121" s="4"/>
      <c r="I121" s="4"/>
      <c r="J121" s="4" t="s">
        <v>98</v>
      </c>
    </row>
    <row r="122" spans="1:10" customFormat="1" ht="80" x14ac:dyDescent="0.2">
      <c r="A122" s="6" t="s">
        <v>282</v>
      </c>
      <c r="B122" s="6" t="s">
        <v>283</v>
      </c>
      <c r="C122" s="4" t="b">
        <v>1</v>
      </c>
      <c r="D122" s="4" t="b">
        <v>0</v>
      </c>
      <c r="E122" s="4" t="b">
        <v>1</v>
      </c>
      <c r="F122" s="4" t="s">
        <v>12</v>
      </c>
      <c r="G122" s="4" t="b">
        <f t="shared" si="1"/>
        <v>1</v>
      </c>
      <c r="H122" s="4" t="s">
        <v>3213</v>
      </c>
      <c r="I122" s="4"/>
      <c r="J122" s="4" t="s">
        <v>98</v>
      </c>
    </row>
    <row r="123" spans="1:10" customFormat="1" ht="49" hidden="1" customHeight="1" x14ac:dyDescent="0.2">
      <c r="A123" s="6" t="s">
        <v>284</v>
      </c>
      <c r="B123" s="6" t="s">
        <v>285</v>
      </c>
      <c r="C123" s="4" t="b">
        <v>0</v>
      </c>
      <c r="D123" s="4" t="b">
        <v>0</v>
      </c>
      <c r="E123" s="4" t="b">
        <v>0</v>
      </c>
      <c r="F123" s="4" t="s">
        <v>12</v>
      </c>
      <c r="G123" s="4" t="b">
        <f t="shared" si="1"/>
        <v>1</v>
      </c>
      <c r="H123" s="4" t="s">
        <v>3214</v>
      </c>
      <c r="I123" s="4"/>
      <c r="J123" s="4" t="s">
        <v>98</v>
      </c>
    </row>
    <row r="124" spans="1:10" customFormat="1" ht="32" x14ac:dyDescent="0.2">
      <c r="A124" s="6" t="s">
        <v>286</v>
      </c>
      <c r="B124" s="6" t="s">
        <v>287</v>
      </c>
      <c r="C124" s="4" t="b">
        <v>1</v>
      </c>
      <c r="D124" s="4" t="b">
        <v>0</v>
      </c>
      <c r="E124" s="4" t="b">
        <v>1</v>
      </c>
      <c r="F124" s="4" t="s">
        <v>12</v>
      </c>
      <c r="G124" s="4" t="b">
        <f t="shared" si="1"/>
        <v>1</v>
      </c>
      <c r="H124" s="4" t="s">
        <v>3215</v>
      </c>
      <c r="I124" s="4"/>
      <c r="J124" s="4" t="s">
        <v>98</v>
      </c>
    </row>
    <row r="125" spans="1:10" customFormat="1" ht="16" hidden="1" x14ac:dyDescent="0.2">
      <c r="A125" s="6" t="s">
        <v>288</v>
      </c>
      <c r="B125" s="6" t="s">
        <v>289</v>
      </c>
      <c r="C125" s="4" t="b">
        <v>0</v>
      </c>
      <c r="D125" s="4" t="b">
        <v>0</v>
      </c>
      <c r="E125" s="4" t="b">
        <v>0</v>
      </c>
      <c r="F125" s="4"/>
      <c r="G125" s="4" t="b">
        <f t="shared" si="1"/>
        <v>0</v>
      </c>
      <c r="H125" s="4"/>
      <c r="I125" s="4"/>
      <c r="J125" s="4" t="s">
        <v>98</v>
      </c>
    </row>
    <row r="126" spans="1:10" customFormat="1" ht="16" hidden="1" x14ac:dyDescent="0.2">
      <c r="A126" s="6" t="s">
        <v>290</v>
      </c>
      <c r="B126" s="6" t="s">
        <v>291</v>
      </c>
      <c r="C126" s="4" t="b">
        <v>0</v>
      </c>
      <c r="D126" s="4" t="b">
        <v>0</v>
      </c>
      <c r="E126" s="4" t="b">
        <v>0</v>
      </c>
      <c r="F126" s="4"/>
      <c r="G126" s="4" t="b">
        <f t="shared" si="1"/>
        <v>0</v>
      </c>
      <c r="H126" s="4"/>
      <c r="I126" s="4"/>
      <c r="J126" s="4" t="s">
        <v>98</v>
      </c>
    </row>
    <row r="127" spans="1:10" customFormat="1" ht="32" x14ac:dyDescent="0.2">
      <c r="A127" s="6" t="s">
        <v>292</v>
      </c>
      <c r="B127" s="6" t="s">
        <v>293</v>
      </c>
      <c r="C127" s="4" t="b">
        <v>1</v>
      </c>
      <c r="D127" s="4" t="b">
        <v>0</v>
      </c>
      <c r="E127" s="4" t="b">
        <v>1</v>
      </c>
      <c r="F127" s="4" t="s">
        <v>12</v>
      </c>
      <c r="G127" s="4" t="b">
        <f t="shared" si="1"/>
        <v>1</v>
      </c>
      <c r="H127" s="4" t="s">
        <v>3216</v>
      </c>
      <c r="I127" s="4"/>
      <c r="J127" s="4" t="s">
        <v>98</v>
      </c>
    </row>
    <row r="128" spans="1:10" customFormat="1" ht="16" hidden="1" x14ac:dyDescent="0.2">
      <c r="A128" s="6" t="s">
        <v>294</v>
      </c>
      <c r="B128" s="6" t="s">
        <v>295</v>
      </c>
      <c r="C128" s="4" t="b">
        <v>0</v>
      </c>
      <c r="D128" s="4" t="b">
        <v>0</v>
      </c>
      <c r="E128" s="4" t="b">
        <v>0</v>
      </c>
      <c r="F128" s="4"/>
      <c r="G128" s="4" t="b">
        <f t="shared" si="1"/>
        <v>0</v>
      </c>
      <c r="H128" s="4"/>
      <c r="I128" s="4"/>
      <c r="J128" s="4" t="s">
        <v>98</v>
      </c>
    </row>
    <row r="129" spans="1:10" customFormat="1" ht="32" x14ac:dyDescent="0.2">
      <c r="A129" s="6" t="s">
        <v>296</v>
      </c>
      <c r="B129" s="6" t="s">
        <v>297</v>
      </c>
      <c r="C129" s="4" t="b">
        <v>1</v>
      </c>
      <c r="D129" s="4" t="b">
        <v>0</v>
      </c>
      <c r="E129" s="4" t="b">
        <v>1</v>
      </c>
      <c r="F129" s="4" t="s">
        <v>12</v>
      </c>
      <c r="G129" s="4" t="b">
        <f t="shared" si="1"/>
        <v>1</v>
      </c>
      <c r="H129" s="4" t="s">
        <v>3217</v>
      </c>
      <c r="I129" s="4"/>
      <c r="J129" s="4" t="s">
        <v>98</v>
      </c>
    </row>
    <row r="130" spans="1:10" customFormat="1" ht="16" hidden="1" x14ac:dyDescent="0.2">
      <c r="A130" s="6" t="s">
        <v>298</v>
      </c>
      <c r="B130" s="6" t="s">
        <v>299</v>
      </c>
      <c r="C130" s="4" t="b">
        <v>0</v>
      </c>
      <c r="D130" s="4" t="b">
        <v>0</v>
      </c>
      <c r="E130" s="4" t="b">
        <v>0</v>
      </c>
      <c r="F130" s="4"/>
      <c r="G130" s="4" t="b">
        <f t="shared" ref="G130:G193" si="2">IF(F130="✔", TRUE, FALSE)</f>
        <v>0</v>
      </c>
      <c r="H130" s="4"/>
      <c r="I130" s="4"/>
      <c r="J130" s="4" t="s">
        <v>98</v>
      </c>
    </row>
    <row r="131" spans="1:10" customFormat="1" ht="16" hidden="1" x14ac:dyDescent="0.2">
      <c r="A131" s="6" t="s">
        <v>300</v>
      </c>
      <c r="B131" s="6" t="s">
        <v>301</v>
      </c>
      <c r="C131" s="4" t="b">
        <v>0</v>
      </c>
      <c r="D131" s="4" t="b">
        <v>0</v>
      </c>
      <c r="E131" s="4" t="b">
        <v>0</v>
      </c>
      <c r="F131" s="4"/>
      <c r="G131" s="4" t="b">
        <f t="shared" si="2"/>
        <v>0</v>
      </c>
      <c r="H131" s="4"/>
      <c r="I131" s="4"/>
      <c r="J131" s="4" t="s">
        <v>98</v>
      </c>
    </row>
    <row r="132" spans="1:10" customFormat="1" ht="48" x14ac:dyDescent="0.2">
      <c r="A132" s="6" t="s">
        <v>302</v>
      </c>
      <c r="B132" s="6" t="s">
        <v>303</v>
      </c>
      <c r="C132" s="4" t="b">
        <v>1</v>
      </c>
      <c r="D132" s="4" t="b">
        <v>0</v>
      </c>
      <c r="E132" s="4" t="b">
        <v>1</v>
      </c>
      <c r="F132" s="4" t="s">
        <v>12</v>
      </c>
      <c r="G132" s="4" t="b">
        <f t="shared" si="2"/>
        <v>1</v>
      </c>
      <c r="H132" s="4" t="s">
        <v>3218</v>
      </c>
      <c r="I132" s="4"/>
      <c r="J132" s="4" t="s">
        <v>98</v>
      </c>
    </row>
    <row r="133" spans="1:10" customFormat="1" ht="80" x14ac:dyDescent="0.2">
      <c r="A133" s="6" t="s">
        <v>304</v>
      </c>
      <c r="B133" s="6" t="s">
        <v>305</v>
      </c>
      <c r="C133" s="4" t="b">
        <v>1</v>
      </c>
      <c r="D133" s="4" t="b">
        <v>1</v>
      </c>
      <c r="E133" s="4" t="b">
        <v>1</v>
      </c>
      <c r="F133" s="4" t="s">
        <v>12</v>
      </c>
      <c r="G133" s="4" t="b">
        <f t="shared" si="2"/>
        <v>1</v>
      </c>
      <c r="H133" s="4" t="s">
        <v>3219</v>
      </c>
      <c r="I133" s="4"/>
      <c r="J133" s="4" t="s">
        <v>98</v>
      </c>
    </row>
    <row r="134" spans="1:10" customFormat="1" ht="16" hidden="1" x14ac:dyDescent="0.2">
      <c r="A134" s="6" t="s">
        <v>306</v>
      </c>
      <c r="B134" s="6" t="s">
        <v>307</v>
      </c>
      <c r="C134" s="4" t="b">
        <v>0</v>
      </c>
      <c r="D134" s="4" t="b">
        <v>0</v>
      </c>
      <c r="E134" s="4" t="b">
        <v>0</v>
      </c>
      <c r="F134" s="4"/>
      <c r="G134" s="4" t="b">
        <f t="shared" si="2"/>
        <v>0</v>
      </c>
      <c r="H134" s="4"/>
      <c r="I134" s="4"/>
      <c r="J134" s="4" t="s">
        <v>98</v>
      </c>
    </row>
    <row r="135" spans="1:10" customFormat="1" ht="80" x14ac:dyDescent="0.2">
      <c r="A135" s="6" t="s">
        <v>308</v>
      </c>
      <c r="B135" s="6" t="s">
        <v>309</v>
      </c>
      <c r="C135" s="4" t="b">
        <v>1</v>
      </c>
      <c r="D135" s="4" t="b">
        <v>1</v>
      </c>
      <c r="E135" s="4" t="b">
        <v>1</v>
      </c>
      <c r="F135" s="4" t="s">
        <v>12</v>
      </c>
      <c r="G135" s="4" t="b">
        <f t="shared" si="2"/>
        <v>1</v>
      </c>
      <c r="H135" s="4" t="s">
        <v>3220</v>
      </c>
      <c r="I135" s="4"/>
      <c r="J135" s="4" t="s">
        <v>98</v>
      </c>
    </row>
    <row r="136" spans="1:10" customFormat="1" ht="16" hidden="1" x14ac:dyDescent="0.2">
      <c r="A136" s="6" t="s">
        <v>310</v>
      </c>
      <c r="B136" s="6" t="s">
        <v>311</v>
      </c>
      <c r="C136" s="4" t="b">
        <v>0</v>
      </c>
      <c r="D136" s="4" t="b">
        <v>0</v>
      </c>
      <c r="E136" s="4" t="b">
        <v>0</v>
      </c>
      <c r="F136" s="4"/>
      <c r="G136" s="4" t="b">
        <f t="shared" si="2"/>
        <v>0</v>
      </c>
      <c r="H136" s="4"/>
      <c r="I136" s="4"/>
      <c r="J136" s="4" t="s">
        <v>98</v>
      </c>
    </row>
    <row r="137" spans="1:10" customFormat="1" ht="16" hidden="1" x14ac:dyDescent="0.2">
      <c r="A137" s="6" t="s">
        <v>312</v>
      </c>
      <c r="B137" s="6" t="s">
        <v>313</v>
      </c>
      <c r="C137" s="4" t="b">
        <v>0</v>
      </c>
      <c r="D137" s="4" t="b">
        <v>0</v>
      </c>
      <c r="E137" s="4" t="b">
        <v>1</v>
      </c>
      <c r="F137" s="4"/>
      <c r="G137" s="4" t="b">
        <f t="shared" si="2"/>
        <v>0</v>
      </c>
      <c r="H137" s="4"/>
      <c r="I137" s="4"/>
      <c r="J137" s="4" t="s">
        <v>98</v>
      </c>
    </row>
    <row r="138" spans="1:10" customFormat="1" ht="32" x14ac:dyDescent="0.2">
      <c r="A138" s="6" t="s">
        <v>314</v>
      </c>
      <c r="B138" s="6" t="s">
        <v>315</v>
      </c>
      <c r="C138" s="4" t="b">
        <v>1</v>
      </c>
      <c r="D138" s="4" t="b">
        <v>0</v>
      </c>
      <c r="E138" s="4" t="b">
        <v>1</v>
      </c>
      <c r="F138" s="4" t="s">
        <v>12</v>
      </c>
      <c r="G138" s="4" t="b">
        <f t="shared" si="2"/>
        <v>1</v>
      </c>
      <c r="H138" s="4" t="s">
        <v>3221</v>
      </c>
      <c r="I138" s="4"/>
      <c r="J138" s="4" t="s">
        <v>98</v>
      </c>
    </row>
    <row r="139" spans="1:10" customFormat="1" ht="16" hidden="1" x14ac:dyDescent="0.2">
      <c r="A139" s="6" t="s">
        <v>316</v>
      </c>
      <c r="B139" s="6" t="s">
        <v>317</v>
      </c>
      <c r="C139" s="4" t="b">
        <v>0</v>
      </c>
      <c r="D139" s="4" t="b">
        <v>0</v>
      </c>
      <c r="E139" s="4" t="b">
        <v>0</v>
      </c>
      <c r="F139" s="4" t="s">
        <v>12</v>
      </c>
      <c r="G139" s="4" t="b">
        <f t="shared" si="2"/>
        <v>1</v>
      </c>
      <c r="H139" s="4"/>
      <c r="I139" s="4"/>
      <c r="J139" s="4" t="s">
        <v>98</v>
      </c>
    </row>
    <row r="140" spans="1:10" customFormat="1" ht="80" x14ac:dyDescent="0.2">
      <c r="A140" s="6" t="s">
        <v>318</v>
      </c>
      <c r="B140" s="6" t="s">
        <v>319</v>
      </c>
      <c r="C140" s="4" t="b">
        <v>1</v>
      </c>
      <c r="D140" s="4" t="b">
        <v>0</v>
      </c>
      <c r="E140" s="4" t="b">
        <v>1</v>
      </c>
      <c r="F140" s="4" t="s">
        <v>12</v>
      </c>
      <c r="G140" s="4" t="b">
        <f t="shared" si="2"/>
        <v>1</v>
      </c>
      <c r="H140" s="4" t="s">
        <v>3222</v>
      </c>
      <c r="I140" s="4"/>
      <c r="J140" s="4" t="s">
        <v>98</v>
      </c>
    </row>
    <row r="141" spans="1:10" customFormat="1" ht="16" hidden="1" x14ac:dyDescent="0.2">
      <c r="A141" s="6" t="s">
        <v>320</v>
      </c>
      <c r="B141" s="6" t="s">
        <v>321</v>
      </c>
      <c r="C141" s="4" t="b">
        <v>0</v>
      </c>
      <c r="D141" s="4" t="b">
        <v>0</v>
      </c>
      <c r="E141" s="4" t="b">
        <v>0</v>
      </c>
      <c r="F141" s="4"/>
      <c r="G141" s="4" t="b">
        <f t="shared" si="2"/>
        <v>0</v>
      </c>
      <c r="H141" s="4"/>
      <c r="I141" s="4"/>
      <c r="J141" s="4" t="s">
        <v>98</v>
      </c>
    </row>
    <row r="142" spans="1:10" customFormat="1" ht="16" hidden="1" x14ac:dyDescent="0.2">
      <c r="A142" s="6" t="s">
        <v>322</v>
      </c>
      <c r="B142" s="6" t="s">
        <v>323</v>
      </c>
      <c r="C142" s="4" t="b">
        <v>0</v>
      </c>
      <c r="D142" s="4" t="b">
        <v>0</v>
      </c>
      <c r="E142" s="4" t="b">
        <v>1</v>
      </c>
      <c r="F142" s="4"/>
      <c r="G142" s="4" t="b">
        <f t="shared" si="2"/>
        <v>0</v>
      </c>
      <c r="H142" s="4"/>
      <c r="I142" s="4"/>
      <c r="J142" s="4" t="s">
        <v>98</v>
      </c>
    </row>
    <row r="143" spans="1:10" customFormat="1" ht="16" hidden="1" x14ac:dyDescent="0.2">
      <c r="A143" s="6" t="s">
        <v>324</v>
      </c>
      <c r="B143" s="6" t="s">
        <v>325</v>
      </c>
      <c r="C143" s="4" t="b">
        <v>0</v>
      </c>
      <c r="D143" s="4" t="b">
        <v>0</v>
      </c>
      <c r="E143" s="4" t="b">
        <v>1</v>
      </c>
      <c r="F143" s="4"/>
      <c r="G143" s="4" t="b">
        <f t="shared" si="2"/>
        <v>0</v>
      </c>
      <c r="H143" s="4"/>
      <c r="I143" s="4"/>
      <c r="J143" s="4" t="s">
        <v>98</v>
      </c>
    </row>
    <row r="144" spans="1:10" customFormat="1" ht="32" x14ac:dyDescent="0.2">
      <c r="A144" s="6" t="s">
        <v>326</v>
      </c>
      <c r="B144" s="6" t="s">
        <v>327</v>
      </c>
      <c r="C144" s="4" t="b">
        <v>1</v>
      </c>
      <c r="D144" s="4" t="b">
        <v>0</v>
      </c>
      <c r="E144" s="4" t="b">
        <v>1</v>
      </c>
      <c r="F144" s="4" t="s">
        <v>12</v>
      </c>
      <c r="G144" s="4" t="b">
        <f t="shared" si="2"/>
        <v>1</v>
      </c>
      <c r="H144" s="4" t="s">
        <v>3223</v>
      </c>
      <c r="I144" s="4"/>
      <c r="J144" s="4" t="s">
        <v>98</v>
      </c>
    </row>
    <row r="145" spans="1:10" customFormat="1" ht="48" x14ac:dyDescent="0.2">
      <c r="A145" s="6" t="s">
        <v>328</v>
      </c>
      <c r="B145" s="6" t="s">
        <v>329</v>
      </c>
      <c r="C145" s="4" t="b">
        <v>1</v>
      </c>
      <c r="D145" s="4" t="b">
        <v>0</v>
      </c>
      <c r="E145" s="4" t="b">
        <v>1</v>
      </c>
      <c r="F145" s="4" t="s">
        <v>12</v>
      </c>
      <c r="G145" s="4" t="b">
        <f t="shared" si="2"/>
        <v>1</v>
      </c>
      <c r="H145" s="4" t="s">
        <v>3224</v>
      </c>
      <c r="I145" s="4"/>
      <c r="J145" s="4" t="s">
        <v>98</v>
      </c>
    </row>
    <row r="146" spans="1:10" customFormat="1" ht="16" x14ac:dyDescent="0.2">
      <c r="A146" s="6" t="s">
        <v>330</v>
      </c>
      <c r="B146" s="6" t="s">
        <v>331</v>
      </c>
      <c r="C146" s="4" t="b">
        <v>1</v>
      </c>
      <c r="D146" s="4" t="b">
        <v>0</v>
      </c>
      <c r="E146" s="4" t="b">
        <v>1</v>
      </c>
      <c r="F146" s="4" t="s">
        <v>12</v>
      </c>
      <c r="G146" s="4" t="b">
        <f t="shared" si="2"/>
        <v>1</v>
      </c>
      <c r="H146" s="4" t="s">
        <v>3225</v>
      </c>
      <c r="I146" s="4"/>
      <c r="J146" s="4" t="s">
        <v>98</v>
      </c>
    </row>
    <row r="147" spans="1:10" customFormat="1" ht="16" hidden="1" x14ac:dyDescent="0.2">
      <c r="A147" s="6" t="s">
        <v>332</v>
      </c>
      <c r="B147" s="6" t="s">
        <v>333</v>
      </c>
      <c r="C147" s="4" t="b">
        <v>0</v>
      </c>
      <c r="D147" s="4" t="b">
        <v>0</v>
      </c>
      <c r="E147" s="4" t="b">
        <v>0</v>
      </c>
      <c r="F147" s="4"/>
      <c r="G147" s="4" t="b">
        <f t="shared" si="2"/>
        <v>0</v>
      </c>
      <c r="H147" s="4"/>
      <c r="I147" s="4"/>
      <c r="J147" s="4" t="s">
        <v>98</v>
      </c>
    </row>
    <row r="148" spans="1:10" customFormat="1" ht="16" hidden="1" x14ac:dyDescent="0.2">
      <c r="A148" s="6" t="s">
        <v>334</v>
      </c>
      <c r="B148" s="6" t="s">
        <v>335</v>
      </c>
      <c r="C148" s="4" t="b">
        <v>0</v>
      </c>
      <c r="D148" s="4" t="b">
        <v>0</v>
      </c>
      <c r="E148" s="4" t="b">
        <v>0</v>
      </c>
      <c r="F148" s="4"/>
      <c r="G148" s="4" t="b">
        <f t="shared" si="2"/>
        <v>0</v>
      </c>
      <c r="H148" s="4"/>
      <c r="I148" s="4"/>
      <c r="J148" s="4" t="s">
        <v>98</v>
      </c>
    </row>
    <row r="149" spans="1:10" customFormat="1" ht="16" hidden="1" x14ac:dyDescent="0.2">
      <c r="A149" s="6" t="s">
        <v>336</v>
      </c>
      <c r="B149" s="6" t="s">
        <v>337</v>
      </c>
      <c r="C149" s="4" t="b">
        <v>0</v>
      </c>
      <c r="D149" s="4" t="b">
        <v>0</v>
      </c>
      <c r="E149" s="4" t="b">
        <v>1</v>
      </c>
      <c r="F149" s="4"/>
      <c r="G149" s="4" t="b">
        <f t="shared" si="2"/>
        <v>0</v>
      </c>
      <c r="H149" s="4"/>
      <c r="I149" s="4"/>
      <c r="J149" s="4" t="s">
        <v>98</v>
      </c>
    </row>
    <row r="150" spans="1:10" customFormat="1" ht="112" x14ac:dyDescent="0.2">
      <c r="A150" s="6" t="s">
        <v>338</v>
      </c>
      <c r="B150" s="6" t="s">
        <v>339</v>
      </c>
      <c r="C150" s="4" t="b">
        <v>1</v>
      </c>
      <c r="D150" s="4" t="b">
        <v>0</v>
      </c>
      <c r="E150" s="4" t="b">
        <v>1</v>
      </c>
      <c r="F150" s="4" t="s">
        <v>12</v>
      </c>
      <c r="G150" s="4" t="b">
        <f t="shared" si="2"/>
        <v>1</v>
      </c>
      <c r="H150" s="4" t="s">
        <v>3226</v>
      </c>
      <c r="I150" s="4"/>
      <c r="J150" s="4" t="s">
        <v>98</v>
      </c>
    </row>
    <row r="151" spans="1:10" customFormat="1" ht="16" hidden="1" x14ac:dyDescent="0.2">
      <c r="A151" s="6" t="s">
        <v>340</v>
      </c>
      <c r="B151" s="6" t="s">
        <v>341</v>
      </c>
      <c r="C151" s="4" t="b">
        <v>0</v>
      </c>
      <c r="D151" s="4" t="b">
        <v>0</v>
      </c>
      <c r="E151" s="4" t="b">
        <v>1</v>
      </c>
      <c r="F151" s="4"/>
      <c r="G151" s="4" t="b">
        <f t="shared" si="2"/>
        <v>0</v>
      </c>
      <c r="H151" s="4"/>
      <c r="I151" s="4"/>
      <c r="J151" s="4" t="s">
        <v>98</v>
      </c>
    </row>
    <row r="152" spans="1:10" customFormat="1" ht="16" hidden="1" x14ac:dyDescent="0.2">
      <c r="A152" s="6" t="s">
        <v>342</v>
      </c>
      <c r="B152" s="6" t="s">
        <v>343</v>
      </c>
      <c r="C152" s="4" t="b">
        <v>0</v>
      </c>
      <c r="D152" s="4" t="b">
        <v>0</v>
      </c>
      <c r="E152" s="4" t="b">
        <v>1</v>
      </c>
      <c r="F152" s="4"/>
      <c r="G152" s="4" t="b">
        <f t="shared" si="2"/>
        <v>0</v>
      </c>
      <c r="H152" s="4"/>
      <c r="I152" s="4"/>
      <c r="J152" s="4" t="s">
        <v>98</v>
      </c>
    </row>
    <row r="153" spans="1:10" customFormat="1" ht="16" hidden="1" x14ac:dyDescent="0.2">
      <c r="A153" s="6" t="s">
        <v>344</v>
      </c>
      <c r="B153" s="6" t="s">
        <v>345</v>
      </c>
      <c r="C153" s="4" t="b">
        <v>0</v>
      </c>
      <c r="D153" s="4" t="b">
        <v>0</v>
      </c>
      <c r="E153" s="4" t="b">
        <v>1</v>
      </c>
      <c r="F153" s="4"/>
      <c r="G153" s="4" t="b">
        <f t="shared" si="2"/>
        <v>0</v>
      </c>
      <c r="H153" s="4"/>
      <c r="I153" s="4"/>
      <c r="J153" s="4" t="s">
        <v>98</v>
      </c>
    </row>
    <row r="154" spans="1:10" customFormat="1" ht="16" hidden="1" x14ac:dyDescent="0.2">
      <c r="A154" s="6" t="s">
        <v>346</v>
      </c>
      <c r="B154" s="6" t="s">
        <v>347</v>
      </c>
      <c r="C154" s="4" t="b">
        <v>0</v>
      </c>
      <c r="D154" s="4" t="b">
        <v>0</v>
      </c>
      <c r="E154" s="4" t="b">
        <v>0</v>
      </c>
      <c r="F154" s="4"/>
      <c r="G154" s="4" t="b">
        <f t="shared" si="2"/>
        <v>0</v>
      </c>
      <c r="H154" s="4"/>
      <c r="I154" s="4"/>
      <c r="J154" s="4" t="s">
        <v>98</v>
      </c>
    </row>
    <row r="155" spans="1:10" customFormat="1" ht="32" x14ac:dyDescent="0.2">
      <c r="A155" s="6" t="s">
        <v>348</v>
      </c>
      <c r="B155" s="6" t="s">
        <v>349</v>
      </c>
      <c r="C155" s="4" t="b">
        <v>1</v>
      </c>
      <c r="D155" s="4" t="b">
        <v>0</v>
      </c>
      <c r="E155" s="4" t="b">
        <v>1</v>
      </c>
      <c r="F155" s="4" t="s">
        <v>12</v>
      </c>
      <c r="G155" s="4" t="b">
        <f t="shared" si="2"/>
        <v>1</v>
      </c>
      <c r="H155" s="4" t="s">
        <v>3227</v>
      </c>
      <c r="I155" s="4"/>
      <c r="J155" s="4" t="s">
        <v>98</v>
      </c>
    </row>
    <row r="156" spans="1:10" customFormat="1" ht="16" hidden="1" x14ac:dyDescent="0.2">
      <c r="A156" s="6" t="s">
        <v>350</v>
      </c>
      <c r="B156" s="6" t="s">
        <v>351</v>
      </c>
      <c r="C156" s="4" t="b">
        <v>0</v>
      </c>
      <c r="D156" s="4" t="b">
        <v>0</v>
      </c>
      <c r="E156" s="4" t="b">
        <v>0</v>
      </c>
      <c r="F156" s="4"/>
      <c r="G156" s="4" t="b">
        <f t="shared" si="2"/>
        <v>0</v>
      </c>
      <c r="H156" s="4"/>
      <c r="I156" s="4"/>
      <c r="J156" s="4" t="s">
        <v>98</v>
      </c>
    </row>
    <row r="157" spans="1:10" customFormat="1" ht="80" x14ac:dyDescent="0.2">
      <c r="A157" s="6" t="s">
        <v>352</v>
      </c>
      <c r="B157" s="6" t="s">
        <v>353</v>
      </c>
      <c r="C157" s="4" t="b">
        <v>1</v>
      </c>
      <c r="D157" s="4" t="b">
        <v>0</v>
      </c>
      <c r="E157" s="4" t="b">
        <v>1</v>
      </c>
      <c r="F157" s="4" t="s">
        <v>12</v>
      </c>
      <c r="G157" s="4" t="b">
        <f t="shared" si="2"/>
        <v>1</v>
      </c>
      <c r="H157" s="4" t="s">
        <v>3228</v>
      </c>
      <c r="I157" s="4"/>
      <c r="J157" s="4" t="s">
        <v>98</v>
      </c>
    </row>
    <row r="158" spans="1:10" customFormat="1" ht="32" x14ac:dyDescent="0.2">
      <c r="A158" s="6" t="s">
        <v>354</v>
      </c>
      <c r="B158" s="6" t="s">
        <v>355</v>
      </c>
      <c r="C158" s="4" t="b">
        <v>1</v>
      </c>
      <c r="D158" s="4" t="b">
        <v>0</v>
      </c>
      <c r="E158" s="4" t="b">
        <v>1</v>
      </c>
      <c r="F158" s="4" t="s">
        <v>12</v>
      </c>
      <c r="G158" s="4" t="b">
        <f t="shared" si="2"/>
        <v>1</v>
      </c>
      <c r="H158" s="4" t="s">
        <v>3229</v>
      </c>
      <c r="I158" s="4"/>
      <c r="J158" s="4" t="s">
        <v>98</v>
      </c>
    </row>
    <row r="159" spans="1:10" customFormat="1" ht="32" x14ac:dyDescent="0.2">
      <c r="A159" s="6" t="s">
        <v>356</v>
      </c>
      <c r="B159" s="6" t="s">
        <v>357</v>
      </c>
      <c r="C159" s="4" t="b">
        <v>1</v>
      </c>
      <c r="D159" s="4" t="b">
        <v>0</v>
      </c>
      <c r="E159" s="4" t="b">
        <v>1</v>
      </c>
      <c r="F159" s="4" t="s">
        <v>12</v>
      </c>
      <c r="G159" s="4" t="b">
        <f t="shared" si="2"/>
        <v>1</v>
      </c>
      <c r="H159" s="4" t="s">
        <v>3230</v>
      </c>
      <c r="I159" s="4"/>
      <c r="J159" s="4" t="s">
        <v>98</v>
      </c>
    </row>
    <row r="160" spans="1:10" customFormat="1" ht="16" hidden="1" x14ac:dyDescent="0.2">
      <c r="A160" s="6" t="s">
        <v>358</v>
      </c>
      <c r="B160" s="6" t="s">
        <v>359</v>
      </c>
      <c r="C160" s="4" t="b">
        <v>0</v>
      </c>
      <c r="D160" s="4" t="b">
        <v>0</v>
      </c>
      <c r="E160" s="4" t="b">
        <v>0</v>
      </c>
      <c r="F160" s="4"/>
      <c r="G160" s="4" t="b">
        <f t="shared" si="2"/>
        <v>0</v>
      </c>
      <c r="H160" s="4"/>
      <c r="I160" s="4"/>
      <c r="J160" s="4" t="s">
        <v>98</v>
      </c>
    </row>
    <row r="161" spans="1:10" customFormat="1" ht="48" x14ac:dyDescent="0.2">
      <c r="A161" s="6" t="s">
        <v>360</v>
      </c>
      <c r="B161" s="6" t="s">
        <v>361</v>
      </c>
      <c r="C161" s="4" t="b">
        <v>1</v>
      </c>
      <c r="D161" s="4" t="b">
        <v>0</v>
      </c>
      <c r="E161" s="4" t="b">
        <v>1</v>
      </c>
      <c r="F161" s="4" t="s">
        <v>12</v>
      </c>
      <c r="G161" s="4" t="b">
        <f t="shared" si="2"/>
        <v>1</v>
      </c>
      <c r="H161" s="4" t="s">
        <v>3231</v>
      </c>
      <c r="I161" s="4"/>
      <c r="J161" s="4" t="s">
        <v>98</v>
      </c>
    </row>
    <row r="162" spans="1:10" customFormat="1" ht="16" hidden="1" x14ac:dyDescent="0.2">
      <c r="A162" s="6" t="s">
        <v>362</v>
      </c>
      <c r="B162" s="6" t="s">
        <v>363</v>
      </c>
      <c r="C162" s="4" t="b">
        <v>0</v>
      </c>
      <c r="D162" s="4" t="b">
        <v>0</v>
      </c>
      <c r="E162" s="4" t="b">
        <v>1</v>
      </c>
      <c r="F162" s="4"/>
      <c r="G162" s="4" t="b">
        <f t="shared" si="2"/>
        <v>0</v>
      </c>
      <c r="H162" s="4"/>
      <c r="I162" s="4"/>
      <c r="J162" s="4" t="s">
        <v>98</v>
      </c>
    </row>
    <row r="163" spans="1:10" customFormat="1" ht="32" x14ac:dyDescent="0.2">
      <c r="A163" s="6" t="s">
        <v>364</v>
      </c>
      <c r="B163" s="6" t="s">
        <v>365</v>
      </c>
      <c r="C163" s="4" t="b">
        <v>1</v>
      </c>
      <c r="D163" s="4" t="b">
        <v>0</v>
      </c>
      <c r="E163" s="4" t="b">
        <v>1</v>
      </c>
      <c r="F163" s="4" t="s">
        <v>12</v>
      </c>
      <c r="G163" s="4" t="b">
        <f t="shared" si="2"/>
        <v>1</v>
      </c>
      <c r="H163" s="4" t="s">
        <v>3232</v>
      </c>
      <c r="I163" s="4"/>
      <c r="J163" s="4" t="s">
        <v>98</v>
      </c>
    </row>
    <row r="164" spans="1:10" customFormat="1" ht="16" hidden="1" x14ac:dyDescent="0.2">
      <c r="A164" s="6" t="s">
        <v>366</v>
      </c>
      <c r="B164" s="6" t="s">
        <v>367</v>
      </c>
      <c r="C164" s="4" t="b">
        <v>0</v>
      </c>
      <c r="D164" s="4" t="b">
        <v>0</v>
      </c>
      <c r="E164" s="4" t="b">
        <v>1</v>
      </c>
      <c r="F164" s="4"/>
      <c r="G164" s="4" t="b">
        <f t="shared" si="2"/>
        <v>0</v>
      </c>
      <c r="H164" s="4"/>
      <c r="I164" s="4"/>
      <c r="J164" s="4" t="s">
        <v>98</v>
      </c>
    </row>
    <row r="165" spans="1:10" customFormat="1" ht="16" hidden="1" x14ac:dyDescent="0.2">
      <c r="A165" s="6" t="s">
        <v>368</v>
      </c>
      <c r="B165" s="6" t="s">
        <v>369</v>
      </c>
      <c r="C165" s="4" t="b">
        <v>0</v>
      </c>
      <c r="D165" s="4" t="b">
        <v>0</v>
      </c>
      <c r="E165" s="4" t="b">
        <v>1</v>
      </c>
      <c r="F165" s="4"/>
      <c r="G165" s="4" t="b">
        <f t="shared" si="2"/>
        <v>0</v>
      </c>
      <c r="H165" s="4"/>
      <c r="I165" s="4"/>
      <c r="J165" s="4" t="s">
        <v>98</v>
      </c>
    </row>
    <row r="166" spans="1:10" customFormat="1" ht="16" hidden="1" x14ac:dyDescent="0.2">
      <c r="A166" s="6" t="s">
        <v>370</v>
      </c>
      <c r="B166" s="6" t="s">
        <v>371</v>
      </c>
      <c r="C166" s="4" t="b">
        <v>0</v>
      </c>
      <c r="D166" s="4" t="b">
        <v>0</v>
      </c>
      <c r="E166" s="4" t="b">
        <v>0</v>
      </c>
      <c r="F166" s="4"/>
      <c r="G166" s="4" t="b">
        <f t="shared" si="2"/>
        <v>0</v>
      </c>
      <c r="H166" s="4"/>
      <c r="I166" s="4"/>
      <c r="J166" s="4" t="s">
        <v>98</v>
      </c>
    </row>
    <row r="167" spans="1:10" customFormat="1" ht="16" hidden="1" x14ac:dyDescent="0.2">
      <c r="A167" s="6" t="s">
        <v>372</v>
      </c>
      <c r="B167" s="6" t="s">
        <v>373</v>
      </c>
      <c r="C167" s="4" t="b">
        <v>0</v>
      </c>
      <c r="D167" s="4" t="b">
        <v>0</v>
      </c>
      <c r="E167" s="4" t="b">
        <v>0</v>
      </c>
      <c r="F167" s="4"/>
      <c r="G167" s="4" t="b">
        <f t="shared" si="2"/>
        <v>0</v>
      </c>
      <c r="H167" s="4"/>
      <c r="I167" s="4"/>
      <c r="J167" s="4" t="s">
        <v>98</v>
      </c>
    </row>
    <row r="168" spans="1:10" customFormat="1" ht="16" hidden="1" x14ac:dyDescent="0.2">
      <c r="A168" s="6" t="s">
        <v>374</v>
      </c>
      <c r="B168" s="6" t="s">
        <v>375</v>
      </c>
      <c r="C168" s="4" t="b">
        <v>0</v>
      </c>
      <c r="D168" s="4" t="b">
        <v>0</v>
      </c>
      <c r="E168" s="4" t="b">
        <v>0</v>
      </c>
      <c r="F168" s="4"/>
      <c r="G168" s="4" t="b">
        <f t="shared" si="2"/>
        <v>0</v>
      </c>
      <c r="H168" s="4"/>
      <c r="I168" s="4"/>
      <c r="J168" s="4" t="s">
        <v>98</v>
      </c>
    </row>
    <row r="169" spans="1:10" customFormat="1" ht="32" x14ac:dyDescent="0.2">
      <c r="A169" s="6" t="s">
        <v>376</v>
      </c>
      <c r="B169" s="6" t="s">
        <v>377</v>
      </c>
      <c r="C169" s="4" t="b">
        <v>1</v>
      </c>
      <c r="D169" s="4" t="b">
        <v>0</v>
      </c>
      <c r="E169" s="4" t="b">
        <v>1</v>
      </c>
      <c r="F169" s="4" t="s">
        <v>12</v>
      </c>
      <c r="G169" s="4" t="b">
        <f t="shared" si="2"/>
        <v>1</v>
      </c>
      <c r="H169" s="4" t="s">
        <v>3233</v>
      </c>
      <c r="I169" s="4"/>
      <c r="J169" s="4" t="s">
        <v>98</v>
      </c>
    </row>
    <row r="170" spans="1:10" customFormat="1" ht="16" x14ac:dyDescent="0.2">
      <c r="A170" s="6" t="s">
        <v>378</v>
      </c>
      <c r="B170" s="6" t="s">
        <v>379</v>
      </c>
      <c r="C170" s="4" t="b">
        <v>1</v>
      </c>
      <c r="D170" s="4" t="b">
        <v>1</v>
      </c>
      <c r="E170" s="4" t="b">
        <v>1</v>
      </c>
      <c r="F170" s="4" t="s">
        <v>12</v>
      </c>
      <c r="G170" s="4" t="b">
        <f t="shared" si="2"/>
        <v>1</v>
      </c>
      <c r="H170" s="4" t="s">
        <v>3234</v>
      </c>
      <c r="I170" s="4"/>
      <c r="J170" s="4" t="s">
        <v>98</v>
      </c>
    </row>
    <row r="171" spans="1:10" customFormat="1" ht="48" x14ac:dyDescent="0.2">
      <c r="A171" s="6" t="s">
        <v>380</v>
      </c>
      <c r="B171" s="6" t="s">
        <v>381</v>
      </c>
      <c r="C171" s="4" t="b">
        <v>1</v>
      </c>
      <c r="D171" s="4" t="b">
        <v>0</v>
      </c>
      <c r="E171" s="4" t="b">
        <v>1</v>
      </c>
      <c r="F171" s="4" t="s">
        <v>12</v>
      </c>
      <c r="G171" s="4" t="b">
        <f t="shared" si="2"/>
        <v>1</v>
      </c>
      <c r="H171" s="4" t="s">
        <v>3235</v>
      </c>
      <c r="I171" s="4"/>
      <c r="J171" s="4" t="s">
        <v>98</v>
      </c>
    </row>
    <row r="172" spans="1:10" customFormat="1" ht="64" x14ac:dyDescent="0.2">
      <c r="A172" s="6" t="s">
        <v>382</v>
      </c>
      <c r="B172" s="6" t="s">
        <v>383</v>
      </c>
      <c r="C172" s="4" t="b">
        <v>1</v>
      </c>
      <c r="D172" s="4" t="b">
        <v>0</v>
      </c>
      <c r="E172" s="4" t="b">
        <v>1</v>
      </c>
      <c r="F172" s="4" t="s">
        <v>12</v>
      </c>
      <c r="G172" s="4" t="b">
        <f t="shared" si="2"/>
        <v>1</v>
      </c>
      <c r="H172" s="4" t="s">
        <v>3236</v>
      </c>
      <c r="I172" s="4"/>
      <c r="J172" s="4" t="s">
        <v>98</v>
      </c>
    </row>
    <row r="173" spans="1:10" customFormat="1" ht="64" x14ac:dyDescent="0.2">
      <c r="A173" s="6" t="s">
        <v>384</v>
      </c>
      <c r="B173" s="6" t="s">
        <v>385</v>
      </c>
      <c r="C173" s="4" t="b">
        <v>1</v>
      </c>
      <c r="D173" s="4" t="b">
        <v>1</v>
      </c>
      <c r="E173" s="4" t="b">
        <v>1</v>
      </c>
      <c r="F173" s="4" t="s">
        <v>12</v>
      </c>
      <c r="G173" s="4" t="b">
        <f t="shared" si="2"/>
        <v>1</v>
      </c>
      <c r="H173" s="4" t="s">
        <v>3237</v>
      </c>
      <c r="I173" s="4"/>
      <c r="J173" s="4" t="s">
        <v>98</v>
      </c>
    </row>
    <row r="174" spans="1:10" customFormat="1" ht="16" hidden="1" x14ac:dyDescent="0.2">
      <c r="A174" s="6" t="s">
        <v>386</v>
      </c>
      <c r="B174" s="6" t="s">
        <v>387</v>
      </c>
      <c r="C174" s="4" t="b">
        <v>0</v>
      </c>
      <c r="D174" s="4" t="b">
        <v>0</v>
      </c>
      <c r="E174" s="4" t="b">
        <v>0</v>
      </c>
      <c r="F174" s="4"/>
      <c r="G174" s="4" t="b">
        <f t="shared" si="2"/>
        <v>0</v>
      </c>
      <c r="H174" s="4"/>
      <c r="I174" s="4"/>
      <c r="J174" s="4" t="s">
        <v>98</v>
      </c>
    </row>
    <row r="175" spans="1:10" customFormat="1" ht="16" hidden="1" x14ac:dyDescent="0.2">
      <c r="A175" s="6" t="s">
        <v>388</v>
      </c>
      <c r="B175" s="6" t="s">
        <v>389</v>
      </c>
      <c r="C175" s="4" t="b">
        <v>0</v>
      </c>
      <c r="D175" s="4" t="b">
        <v>0</v>
      </c>
      <c r="E175" s="4" t="b">
        <v>0</v>
      </c>
      <c r="F175" s="4"/>
      <c r="G175" s="4" t="b">
        <f t="shared" si="2"/>
        <v>0</v>
      </c>
      <c r="H175" s="4"/>
      <c r="I175" s="4"/>
      <c r="J175" s="4" t="s">
        <v>98</v>
      </c>
    </row>
    <row r="176" spans="1:10" customFormat="1" ht="16" hidden="1" x14ac:dyDescent="0.2">
      <c r="A176" s="6" t="s">
        <v>390</v>
      </c>
      <c r="B176" s="6" t="s">
        <v>391</v>
      </c>
      <c r="C176" s="4" t="b">
        <v>0</v>
      </c>
      <c r="D176" s="4" t="b">
        <v>0</v>
      </c>
      <c r="E176" s="4" t="b">
        <v>0</v>
      </c>
      <c r="F176" s="4"/>
      <c r="G176" s="4" t="b">
        <f t="shared" si="2"/>
        <v>0</v>
      </c>
      <c r="H176" s="4"/>
      <c r="I176" s="4"/>
      <c r="J176" s="4" t="s">
        <v>98</v>
      </c>
    </row>
    <row r="177" spans="1:11" ht="64" x14ac:dyDescent="0.2">
      <c r="A177" s="6" t="s">
        <v>392</v>
      </c>
      <c r="B177" s="6" t="s">
        <v>393</v>
      </c>
      <c r="C177" s="4" t="b">
        <v>1</v>
      </c>
      <c r="D177" s="4" t="b">
        <v>0</v>
      </c>
      <c r="E177" s="4" t="b">
        <v>1</v>
      </c>
      <c r="F177" s="4" t="s">
        <v>12</v>
      </c>
      <c r="G177" s="4" t="b">
        <f t="shared" si="2"/>
        <v>1</v>
      </c>
      <c r="H177" s="4" t="s">
        <v>3238</v>
      </c>
      <c r="I177" s="4"/>
      <c r="J177" s="4" t="s">
        <v>98</v>
      </c>
      <c r="K177"/>
    </row>
    <row r="178" spans="1:11" ht="16" hidden="1" x14ac:dyDescent="0.2">
      <c r="A178" s="6" t="s">
        <v>394</v>
      </c>
      <c r="B178" s="6" t="s">
        <v>395</v>
      </c>
      <c r="C178" s="4" t="b">
        <v>0</v>
      </c>
      <c r="D178" s="4" t="b">
        <v>0</v>
      </c>
      <c r="E178" s="4" t="b">
        <v>0</v>
      </c>
      <c r="F178" s="4"/>
      <c r="G178" s="4" t="b">
        <f t="shared" si="2"/>
        <v>0</v>
      </c>
      <c r="H178" s="4"/>
      <c r="I178" s="4"/>
      <c r="J178" s="4" t="s">
        <v>98</v>
      </c>
      <c r="K178"/>
    </row>
    <row r="179" spans="1:11" ht="16" hidden="1" x14ac:dyDescent="0.2">
      <c r="A179" s="6" t="s">
        <v>396</v>
      </c>
      <c r="B179" s="6" t="s">
        <v>397</v>
      </c>
      <c r="C179" s="4" t="b">
        <v>0</v>
      </c>
      <c r="D179" s="4" t="b">
        <v>0</v>
      </c>
      <c r="E179" s="4" t="b">
        <v>1</v>
      </c>
      <c r="F179" s="4"/>
      <c r="G179" s="4" t="b">
        <f t="shared" si="2"/>
        <v>0</v>
      </c>
      <c r="H179" s="4"/>
      <c r="I179" s="4"/>
      <c r="J179" s="4" t="s">
        <v>98</v>
      </c>
      <c r="K179"/>
    </row>
    <row r="180" spans="1:11" ht="48" hidden="1" x14ac:dyDescent="0.2">
      <c r="A180" s="6" t="s">
        <v>398</v>
      </c>
      <c r="B180" s="6" t="s">
        <v>399</v>
      </c>
      <c r="C180" s="4" t="b">
        <v>0</v>
      </c>
      <c r="D180" s="4" t="b">
        <v>0</v>
      </c>
      <c r="E180" s="4" t="b">
        <v>1</v>
      </c>
      <c r="F180" s="4" t="s">
        <v>12</v>
      </c>
      <c r="G180" s="4" t="b">
        <f t="shared" si="2"/>
        <v>1</v>
      </c>
      <c r="H180" s="4" t="s">
        <v>2857</v>
      </c>
      <c r="I180" s="4"/>
      <c r="J180" s="4" t="s">
        <v>94</v>
      </c>
      <c r="K180"/>
    </row>
    <row r="181" spans="1:11" ht="16" hidden="1" x14ac:dyDescent="0.2">
      <c r="A181" s="6" t="s">
        <v>400</v>
      </c>
      <c r="B181" s="6" t="s">
        <v>401</v>
      </c>
      <c r="C181" s="4" t="b">
        <v>0</v>
      </c>
      <c r="D181" s="4" t="b">
        <v>0</v>
      </c>
      <c r="E181" s="4" t="b">
        <v>0</v>
      </c>
      <c r="F181" s="4" t="s">
        <v>12</v>
      </c>
      <c r="G181" s="4" t="b">
        <f t="shared" si="2"/>
        <v>1</v>
      </c>
      <c r="H181" s="4"/>
      <c r="I181" s="4"/>
      <c r="J181" s="4" t="s">
        <v>94</v>
      </c>
      <c r="K181"/>
    </row>
    <row r="182" spans="1:11" ht="16" x14ac:dyDescent="0.2">
      <c r="A182" s="6" t="s">
        <v>402</v>
      </c>
      <c r="B182" s="6" t="s">
        <v>403</v>
      </c>
      <c r="C182" s="4" t="b">
        <v>1</v>
      </c>
      <c r="D182" s="4" t="b">
        <v>0</v>
      </c>
      <c r="E182" s="4" t="b">
        <v>1</v>
      </c>
      <c r="F182" s="4" t="s">
        <v>12</v>
      </c>
      <c r="G182" s="4" t="b">
        <f t="shared" si="2"/>
        <v>1</v>
      </c>
      <c r="H182" s="4"/>
      <c r="I182" s="4"/>
      <c r="J182" s="4" t="s">
        <v>94</v>
      </c>
    </row>
    <row r="183" spans="1:11" ht="80" x14ac:dyDescent="0.2">
      <c r="A183" s="6" t="s">
        <v>404</v>
      </c>
      <c r="B183" s="6" t="s">
        <v>405</v>
      </c>
      <c r="C183" s="4" t="b">
        <v>1</v>
      </c>
      <c r="D183" s="4" t="b">
        <v>0</v>
      </c>
      <c r="E183" s="4" t="b">
        <v>1</v>
      </c>
      <c r="F183" s="4" t="s">
        <v>12</v>
      </c>
      <c r="G183" s="4" t="b">
        <f t="shared" si="2"/>
        <v>1</v>
      </c>
      <c r="H183" s="4" t="s">
        <v>2858</v>
      </c>
      <c r="I183" s="4"/>
      <c r="J183" s="4" t="s">
        <v>94</v>
      </c>
    </row>
    <row r="184" spans="1:11" ht="32" x14ac:dyDescent="0.2">
      <c r="A184" s="6" t="s">
        <v>406</v>
      </c>
      <c r="B184" s="6" t="s">
        <v>407</v>
      </c>
      <c r="C184" s="4" t="b">
        <v>1</v>
      </c>
      <c r="D184" s="4" t="b">
        <v>0</v>
      </c>
      <c r="E184" s="4" t="b">
        <v>1</v>
      </c>
      <c r="F184" s="4" t="s">
        <v>12</v>
      </c>
      <c r="G184" s="4" t="b">
        <f t="shared" si="2"/>
        <v>1</v>
      </c>
      <c r="H184" s="4" t="s">
        <v>2859</v>
      </c>
      <c r="I184" s="4"/>
      <c r="J184" s="4" t="s">
        <v>94</v>
      </c>
    </row>
    <row r="185" spans="1:11" ht="48" x14ac:dyDescent="0.2">
      <c r="A185" s="6" t="s">
        <v>408</v>
      </c>
      <c r="B185" s="6" t="s">
        <v>409</v>
      </c>
      <c r="C185" s="4" t="b">
        <v>1</v>
      </c>
      <c r="D185" s="4" t="b">
        <v>0</v>
      </c>
      <c r="E185" s="4" t="b">
        <v>1</v>
      </c>
      <c r="F185" s="4" t="s">
        <v>12</v>
      </c>
      <c r="G185" s="4" t="b">
        <f t="shared" si="2"/>
        <v>1</v>
      </c>
      <c r="H185" s="4" t="s">
        <v>2860</v>
      </c>
      <c r="I185" s="4"/>
      <c r="J185" s="4" t="s">
        <v>94</v>
      </c>
    </row>
    <row r="186" spans="1:11" ht="32" x14ac:dyDescent="0.2">
      <c r="A186" s="6" t="s">
        <v>410</v>
      </c>
      <c r="B186" s="6" t="s">
        <v>411</v>
      </c>
      <c r="C186" s="4" t="b">
        <v>1</v>
      </c>
      <c r="D186" s="4" t="b">
        <v>0</v>
      </c>
      <c r="E186" s="4" t="b">
        <v>1</v>
      </c>
      <c r="F186" s="4" t="s">
        <v>12</v>
      </c>
      <c r="G186" s="4" t="b">
        <f t="shared" si="2"/>
        <v>1</v>
      </c>
      <c r="H186" s="4" t="s">
        <v>2861</v>
      </c>
      <c r="I186" s="4"/>
      <c r="J186" s="4" t="s">
        <v>94</v>
      </c>
    </row>
    <row r="187" spans="1:11" ht="16" hidden="1" x14ac:dyDescent="0.2">
      <c r="A187" s="6" t="s">
        <v>412</v>
      </c>
      <c r="B187" s="6" t="s">
        <v>413</v>
      </c>
      <c r="C187" s="4" t="b">
        <v>0</v>
      </c>
      <c r="D187" s="4" t="b">
        <v>0</v>
      </c>
      <c r="E187" s="4" t="b">
        <v>0</v>
      </c>
      <c r="F187" s="4" t="s">
        <v>12</v>
      </c>
      <c r="G187" s="4" t="b">
        <f t="shared" si="2"/>
        <v>1</v>
      </c>
      <c r="H187" s="4" t="s">
        <v>2862</v>
      </c>
      <c r="I187" s="4"/>
      <c r="J187" s="4" t="s">
        <v>94</v>
      </c>
      <c r="K187"/>
    </row>
    <row r="188" spans="1:11" ht="16" hidden="1" x14ac:dyDescent="0.2">
      <c r="A188" s="6" t="s">
        <v>414</v>
      </c>
      <c r="B188" s="6" t="s">
        <v>415</v>
      </c>
      <c r="C188" s="4" t="b">
        <v>0</v>
      </c>
      <c r="D188" s="4" t="b">
        <v>0</v>
      </c>
      <c r="E188" s="4" t="b">
        <v>1</v>
      </c>
      <c r="F188" s="4" t="s">
        <v>12</v>
      </c>
      <c r="G188" s="4" t="b">
        <f t="shared" si="2"/>
        <v>1</v>
      </c>
      <c r="H188" s="4" t="s">
        <v>2862</v>
      </c>
      <c r="I188" s="4"/>
      <c r="J188" s="4" t="s">
        <v>94</v>
      </c>
      <c r="K188"/>
    </row>
    <row r="189" spans="1:11" ht="80" x14ac:dyDescent="0.2">
      <c r="A189" s="6" t="s">
        <v>416</v>
      </c>
      <c r="B189" s="6" t="s">
        <v>417</v>
      </c>
      <c r="C189" s="4" t="b">
        <v>1</v>
      </c>
      <c r="D189" s="4" t="b">
        <v>1</v>
      </c>
      <c r="E189" s="4" t="b">
        <v>1</v>
      </c>
      <c r="F189" s="4" t="s">
        <v>12</v>
      </c>
      <c r="G189" s="4" t="b">
        <f t="shared" si="2"/>
        <v>1</v>
      </c>
      <c r="H189" s="4" t="s">
        <v>2863</v>
      </c>
      <c r="I189" s="4"/>
      <c r="J189" s="4" t="s">
        <v>94</v>
      </c>
    </row>
    <row r="190" spans="1:11" ht="16" hidden="1" x14ac:dyDescent="0.2">
      <c r="A190" s="6" t="s">
        <v>418</v>
      </c>
      <c r="B190" s="6" t="s">
        <v>419</v>
      </c>
      <c r="C190" s="4" t="b">
        <v>0</v>
      </c>
      <c r="D190" s="4" t="b">
        <v>0</v>
      </c>
      <c r="E190" s="4" t="b">
        <v>0</v>
      </c>
      <c r="F190" s="4" t="s">
        <v>12</v>
      </c>
      <c r="G190" s="4" t="b">
        <f t="shared" si="2"/>
        <v>1</v>
      </c>
      <c r="H190" s="4"/>
      <c r="I190" s="4"/>
      <c r="J190" s="4" t="s">
        <v>94</v>
      </c>
      <c r="K190"/>
    </row>
    <row r="191" spans="1:11" ht="16" hidden="1" x14ac:dyDescent="0.2">
      <c r="A191" s="6" t="s">
        <v>420</v>
      </c>
      <c r="B191" s="6" t="s">
        <v>421</v>
      </c>
      <c r="C191" s="4" t="b">
        <v>0</v>
      </c>
      <c r="D191" s="4" t="b">
        <v>0</v>
      </c>
      <c r="E191" s="4" t="b">
        <v>1</v>
      </c>
      <c r="F191" s="4" t="s">
        <v>12</v>
      </c>
      <c r="G191" s="4" t="b">
        <f t="shared" si="2"/>
        <v>1</v>
      </c>
      <c r="H191" s="4"/>
      <c r="I191" s="4"/>
      <c r="J191" s="4" t="s">
        <v>94</v>
      </c>
      <c r="K191"/>
    </row>
    <row r="192" spans="1:11" ht="16" hidden="1" x14ac:dyDescent="0.2">
      <c r="A192" s="6" t="s">
        <v>422</v>
      </c>
      <c r="B192" s="6" t="s">
        <v>423</v>
      </c>
      <c r="C192" s="4" t="b">
        <v>0</v>
      </c>
      <c r="D192" s="4" t="b">
        <v>0</v>
      </c>
      <c r="E192" s="4" t="b">
        <v>0</v>
      </c>
      <c r="F192" s="4" t="s">
        <v>12</v>
      </c>
      <c r="G192" s="4" t="b">
        <f t="shared" si="2"/>
        <v>1</v>
      </c>
      <c r="H192" s="4"/>
      <c r="I192" s="4"/>
      <c r="J192" s="4" t="s">
        <v>94</v>
      </c>
      <c r="K192"/>
    </row>
    <row r="193" spans="1:11" ht="144" x14ac:dyDescent="0.2">
      <c r="A193" s="6" t="s">
        <v>424</v>
      </c>
      <c r="B193" s="6" t="s">
        <v>425</v>
      </c>
      <c r="C193" s="4" t="b">
        <v>1</v>
      </c>
      <c r="D193" s="4" t="b">
        <v>1</v>
      </c>
      <c r="E193" s="4" t="b">
        <v>1</v>
      </c>
      <c r="F193" s="4" t="s">
        <v>12</v>
      </c>
      <c r="G193" s="4" t="b">
        <f t="shared" si="2"/>
        <v>1</v>
      </c>
      <c r="H193" s="4" t="s">
        <v>2864</v>
      </c>
      <c r="I193" s="4"/>
      <c r="J193" s="4" t="s">
        <v>94</v>
      </c>
    </row>
    <row r="194" spans="1:11" ht="16" hidden="1" x14ac:dyDescent="0.2">
      <c r="A194" s="6" t="s">
        <v>426</v>
      </c>
      <c r="B194" s="6" t="s">
        <v>427</v>
      </c>
      <c r="C194" s="4" t="b">
        <v>0</v>
      </c>
      <c r="D194" s="4" t="b">
        <v>0</v>
      </c>
      <c r="E194" s="4" t="b">
        <v>1</v>
      </c>
      <c r="F194" s="4" t="s">
        <v>12</v>
      </c>
      <c r="G194" s="4" t="b">
        <f t="shared" ref="G194:G257" si="3">IF(F194="✔", TRUE, FALSE)</f>
        <v>1</v>
      </c>
      <c r="I194" s="4"/>
      <c r="J194" s="4" t="s">
        <v>94</v>
      </c>
      <c r="K194"/>
    </row>
    <row r="195" spans="1:11" ht="16" x14ac:dyDescent="0.2">
      <c r="A195" s="6" t="s">
        <v>428</v>
      </c>
      <c r="B195" s="6" t="s">
        <v>429</v>
      </c>
      <c r="C195" s="4" t="b">
        <v>1</v>
      </c>
      <c r="D195" s="4" t="b">
        <v>0</v>
      </c>
      <c r="E195" s="4" t="b">
        <v>1</v>
      </c>
      <c r="F195" s="4" t="s">
        <v>12</v>
      </c>
      <c r="G195" s="4" t="b">
        <f t="shared" si="3"/>
        <v>1</v>
      </c>
      <c r="H195" s="4" t="s">
        <v>2865</v>
      </c>
      <c r="I195" s="4"/>
      <c r="J195" s="4" t="s">
        <v>94</v>
      </c>
    </row>
    <row r="196" spans="1:11" ht="112" x14ac:dyDescent="0.2">
      <c r="A196" s="6" t="s">
        <v>430</v>
      </c>
      <c r="B196" s="6" t="s">
        <v>431</v>
      </c>
      <c r="C196" s="4" t="b">
        <v>1</v>
      </c>
      <c r="D196" s="4" t="b">
        <v>1</v>
      </c>
      <c r="E196" s="4" t="b">
        <v>1</v>
      </c>
      <c r="F196" s="4" t="s">
        <v>12</v>
      </c>
      <c r="G196" s="4" t="b">
        <f t="shared" si="3"/>
        <v>1</v>
      </c>
      <c r="H196" s="4" t="s">
        <v>2866</v>
      </c>
      <c r="I196" s="4"/>
      <c r="J196" s="4" t="s">
        <v>94</v>
      </c>
    </row>
    <row r="197" spans="1:11" ht="16" x14ac:dyDescent="0.2">
      <c r="A197" s="6" t="s">
        <v>432</v>
      </c>
      <c r="B197" s="6" t="s">
        <v>433</v>
      </c>
      <c r="C197" s="4" t="b">
        <v>1</v>
      </c>
      <c r="D197" s="4" t="b">
        <v>0</v>
      </c>
      <c r="E197" s="4" t="b">
        <v>1</v>
      </c>
      <c r="F197" s="4" t="s">
        <v>12</v>
      </c>
      <c r="G197" s="4" t="b">
        <f t="shared" si="3"/>
        <v>1</v>
      </c>
      <c r="H197" s="4"/>
      <c r="I197" s="4"/>
      <c r="J197" s="4" t="s">
        <v>94</v>
      </c>
    </row>
    <row r="198" spans="1:11" ht="32" x14ac:dyDescent="0.2">
      <c r="A198" s="6" t="s">
        <v>434</v>
      </c>
      <c r="B198" s="6" t="s">
        <v>435</v>
      </c>
      <c r="C198" s="4" t="b">
        <v>1</v>
      </c>
      <c r="D198" s="4" t="b">
        <v>0</v>
      </c>
      <c r="E198" s="4" t="b">
        <v>1</v>
      </c>
      <c r="F198" s="4" t="s">
        <v>12</v>
      </c>
      <c r="G198" s="4" t="b">
        <f t="shared" si="3"/>
        <v>1</v>
      </c>
      <c r="H198" s="4" t="s">
        <v>2867</v>
      </c>
      <c r="I198" s="4"/>
      <c r="J198" s="4" t="s">
        <v>94</v>
      </c>
    </row>
    <row r="199" spans="1:11" ht="32" x14ac:dyDescent="0.2">
      <c r="A199" s="6" t="s">
        <v>436</v>
      </c>
      <c r="B199" s="6" t="s">
        <v>437</v>
      </c>
      <c r="C199" s="4" t="b">
        <v>1</v>
      </c>
      <c r="D199" s="4" t="b">
        <v>0</v>
      </c>
      <c r="E199" s="4" t="b">
        <v>1</v>
      </c>
      <c r="F199" s="4" t="s">
        <v>12</v>
      </c>
      <c r="G199" s="4" t="b">
        <f t="shared" si="3"/>
        <v>1</v>
      </c>
      <c r="H199" s="4" t="s">
        <v>2868</v>
      </c>
      <c r="I199" s="4"/>
      <c r="J199" s="4" t="s">
        <v>94</v>
      </c>
    </row>
    <row r="200" spans="1:11" ht="96" x14ac:dyDescent="0.2">
      <c r="A200" s="6" t="s">
        <v>438</v>
      </c>
      <c r="B200" s="6" t="s">
        <v>439</v>
      </c>
      <c r="C200" s="4" t="b">
        <v>1</v>
      </c>
      <c r="D200" s="4" t="b">
        <v>0</v>
      </c>
      <c r="E200" s="4" t="b">
        <v>1</v>
      </c>
      <c r="F200" s="4" t="s">
        <v>12</v>
      </c>
      <c r="G200" s="4" t="b">
        <f t="shared" si="3"/>
        <v>1</v>
      </c>
      <c r="H200" s="4" t="s">
        <v>2869</v>
      </c>
      <c r="I200" s="4"/>
      <c r="J200" s="4" t="s">
        <v>94</v>
      </c>
    </row>
    <row r="201" spans="1:11" ht="160" x14ac:dyDescent="0.2">
      <c r="A201" s="6" t="s">
        <v>440</v>
      </c>
      <c r="B201" s="6" t="s">
        <v>441</v>
      </c>
      <c r="C201" s="4" t="b">
        <v>1</v>
      </c>
      <c r="D201" s="4" t="b">
        <v>0</v>
      </c>
      <c r="E201" s="4" t="b">
        <v>1</v>
      </c>
      <c r="F201" s="4" t="s">
        <v>12</v>
      </c>
      <c r="G201" s="4" t="b">
        <f t="shared" si="3"/>
        <v>1</v>
      </c>
      <c r="H201" s="4" t="s">
        <v>2870</v>
      </c>
      <c r="I201" s="4"/>
      <c r="J201" s="4" t="s">
        <v>94</v>
      </c>
    </row>
    <row r="202" spans="1:11" ht="48" hidden="1" x14ac:dyDescent="0.2">
      <c r="A202" s="6" t="s">
        <v>442</v>
      </c>
      <c r="B202" s="6" t="s">
        <v>443</v>
      </c>
      <c r="C202" s="4" t="b">
        <v>0</v>
      </c>
      <c r="D202" s="4" t="b">
        <v>0</v>
      </c>
      <c r="E202" s="4" t="b">
        <v>1</v>
      </c>
      <c r="F202" s="4" t="s">
        <v>12</v>
      </c>
      <c r="G202" s="4" t="b">
        <f t="shared" si="3"/>
        <v>1</v>
      </c>
      <c r="H202" s="4" t="s">
        <v>2871</v>
      </c>
      <c r="I202" s="4"/>
      <c r="J202" s="4" t="s">
        <v>94</v>
      </c>
      <c r="K202"/>
    </row>
    <row r="203" spans="1:11" ht="32" x14ac:dyDescent="0.2">
      <c r="A203" s="6" t="s">
        <v>444</v>
      </c>
      <c r="B203" s="6" t="s">
        <v>445</v>
      </c>
      <c r="C203" s="4" t="b">
        <v>1</v>
      </c>
      <c r="D203" s="4" t="b">
        <v>0</v>
      </c>
      <c r="E203" s="4" t="b">
        <v>1</v>
      </c>
      <c r="F203" s="4" t="s">
        <v>12</v>
      </c>
      <c r="G203" s="4" t="b">
        <f t="shared" si="3"/>
        <v>1</v>
      </c>
      <c r="H203" s="4" t="s">
        <v>2872</v>
      </c>
      <c r="I203" s="4"/>
      <c r="J203" s="4" t="s">
        <v>94</v>
      </c>
    </row>
    <row r="204" spans="1:11" ht="16" x14ac:dyDescent="0.2">
      <c r="A204" s="6" t="s">
        <v>446</v>
      </c>
      <c r="B204" s="6" t="s">
        <v>447</v>
      </c>
      <c r="C204" s="4" t="b">
        <v>1</v>
      </c>
      <c r="D204" s="4" t="b">
        <v>0</v>
      </c>
      <c r="E204" s="4" t="b">
        <v>1</v>
      </c>
      <c r="F204" s="4" t="s">
        <v>12</v>
      </c>
      <c r="G204" s="4" t="b">
        <f t="shared" si="3"/>
        <v>1</v>
      </c>
      <c r="H204" s="4" t="s">
        <v>2873</v>
      </c>
      <c r="I204" s="4"/>
      <c r="J204" s="4" t="s">
        <v>94</v>
      </c>
    </row>
    <row r="205" spans="1:11" ht="272" x14ac:dyDescent="0.2">
      <c r="A205" s="6" t="s">
        <v>448</v>
      </c>
      <c r="B205" s="6" t="s">
        <v>449</v>
      </c>
      <c r="C205" s="4" t="b">
        <v>1</v>
      </c>
      <c r="D205" s="4" t="b">
        <v>1</v>
      </c>
      <c r="E205" s="4" t="b">
        <v>1</v>
      </c>
      <c r="F205" s="4" t="s">
        <v>12</v>
      </c>
      <c r="G205" s="4" t="b">
        <f t="shared" si="3"/>
        <v>1</v>
      </c>
      <c r="H205" s="4" t="s">
        <v>2883</v>
      </c>
      <c r="I205" s="4"/>
      <c r="J205" s="4" t="s">
        <v>94</v>
      </c>
    </row>
    <row r="206" spans="1:11" ht="144" x14ac:dyDescent="0.2">
      <c r="A206" s="6" t="s">
        <v>450</v>
      </c>
      <c r="B206" s="6" t="s">
        <v>451</v>
      </c>
      <c r="C206" s="4" t="b">
        <v>1</v>
      </c>
      <c r="D206" s="4" t="b">
        <v>1</v>
      </c>
      <c r="E206" s="4" t="b">
        <v>1</v>
      </c>
      <c r="F206" s="4" t="s">
        <v>12</v>
      </c>
      <c r="G206" s="4" t="b">
        <f t="shared" si="3"/>
        <v>1</v>
      </c>
      <c r="H206" s="4" t="s">
        <v>2884</v>
      </c>
      <c r="I206" s="4"/>
      <c r="J206" s="4" t="s">
        <v>94</v>
      </c>
    </row>
    <row r="207" spans="1:11" ht="16" hidden="1" x14ac:dyDescent="0.2">
      <c r="A207" s="6" t="s">
        <v>452</v>
      </c>
      <c r="B207" s="6" t="s">
        <v>453</v>
      </c>
      <c r="C207" s="4" t="b">
        <v>0</v>
      </c>
      <c r="D207" s="4" t="b">
        <v>0</v>
      </c>
      <c r="E207" s="4" t="b">
        <v>1</v>
      </c>
      <c r="F207" s="4"/>
      <c r="G207" s="4" t="b">
        <f t="shared" si="3"/>
        <v>0</v>
      </c>
      <c r="H207" s="4"/>
      <c r="I207" s="4"/>
      <c r="J207" s="4" t="s">
        <v>94</v>
      </c>
      <c r="K207"/>
    </row>
    <row r="208" spans="1:11" ht="16" hidden="1" x14ac:dyDescent="0.2">
      <c r="A208" s="6" t="s">
        <v>454</v>
      </c>
      <c r="B208" s="6" t="s">
        <v>455</v>
      </c>
      <c r="C208" s="4" t="b">
        <v>0</v>
      </c>
      <c r="D208" s="4" t="b">
        <v>0</v>
      </c>
      <c r="E208" s="4" t="b">
        <v>1</v>
      </c>
      <c r="F208" s="4"/>
      <c r="G208" s="4" t="b">
        <f t="shared" si="3"/>
        <v>0</v>
      </c>
      <c r="H208" s="4"/>
      <c r="I208" s="4"/>
      <c r="J208" s="4" t="s">
        <v>94</v>
      </c>
      <c r="K208"/>
    </row>
    <row r="209" spans="1:11" ht="112" x14ac:dyDescent="0.2">
      <c r="A209" s="6" t="s">
        <v>456</v>
      </c>
      <c r="B209" s="6" t="s">
        <v>457</v>
      </c>
      <c r="C209" s="4" t="b">
        <v>1</v>
      </c>
      <c r="D209" s="4" t="b">
        <v>1</v>
      </c>
      <c r="E209" s="4" t="b">
        <v>1</v>
      </c>
      <c r="F209" s="4" t="s">
        <v>12</v>
      </c>
      <c r="G209" s="4" t="b">
        <f t="shared" si="3"/>
        <v>1</v>
      </c>
      <c r="H209" s="4" t="s">
        <v>2885</v>
      </c>
      <c r="I209" s="4"/>
      <c r="J209" s="4" t="s">
        <v>94</v>
      </c>
    </row>
    <row r="210" spans="1:11" ht="32" x14ac:dyDescent="0.2">
      <c r="A210" s="6" t="s">
        <v>458</v>
      </c>
      <c r="B210" s="6" t="s">
        <v>459</v>
      </c>
      <c r="C210" s="4" t="b">
        <v>1</v>
      </c>
      <c r="D210" s="4" t="b">
        <v>0</v>
      </c>
      <c r="E210" s="4" t="b">
        <v>1</v>
      </c>
      <c r="F210" s="4" t="s">
        <v>12</v>
      </c>
      <c r="G210" s="4" t="b">
        <f t="shared" si="3"/>
        <v>1</v>
      </c>
      <c r="H210" s="4" t="s">
        <v>2886</v>
      </c>
      <c r="I210" s="4"/>
      <c r="J210" s="4" t="s">
        <v>94</v>
      </c>
    </row>
    <row r="211" spans="1:11" ht="80" x14ac:dyDescent="0.2">
      <c r="A211" s="6" t="s">
        <v>460</v>
      </c>
      <c r="B211" s="6" t="s">
        <v>461</v>
      </c>
      <c r="C211" s="4" t="b">
        <v>1</v>
      </c>
      <c r="D211" s="4" t="b">
        <v>0</v>
      </c>
      <c r="E211" s="4" t="b">
        <v>1</v>
      </c>
      <c r="F211" s="4" t="s">
        <v>12</v>
      </c>
      <c r="G211" s="4" t="b">
        <f t="shared" si="3"/>
        <v>1</v>
      </c>
      <c r="H211" s="4" t="s">
        <v>2887</v>
      </c>
      <c r="I211" s="4"/>
      <c r="J211" s="4" t="s">
        <v>94</v>
      </c>
    </row>
    <row r="212" spans="1:11" ht="16" hidden="1" x14ac:dyDescent="0.2">
      <c r="A212" s="6" t="s">
        <v>462</v>
      </c>
      <c r="B212" s="6" t="s">
        <v>463</v>
      </c>
      <c r="C212" s="4" t="b">
        <v>0</v>
      </c>
      <c r="D212" s="4" t="b">
        <v>0</v>
      </c>
      <c r="E212" s="4" t="b">
        <v>1</v>
      </c>
      <c r="F212" s="4"/>
      <c r="G212" s="4" t="b">
        <f t="shared" si="3"/>
        <v>0</v>
      </c>
      <c r="H212" s="4"/>
      <c r="I212" s="4"/>
      <c r="J212" s="4" t="s">
        <v>94</v>
      </c>
      <c r="K212"/>
    </row>
    <row r="213" spans="1:11" ht="16" hidden="1" x14ac:dyDescent="0.2">
      <c r="A213" s="6" t="s">
        <v>464</v>
      </c>
      <c r="B213" s="6" t="s">
        <v>465</v>
      </c>
      <c r="C213" s="4" t="b">
        <v>0</v>
      </c>
      <c r="D213" s="4" t="b">
        <v>0</v>
      </c>
      <c r="E213" s="4" t="b">
        <v>0</v>
      </c>
      <c r="F213" s="4"/>
      <c r="G213" s="4" t="b">
        <f t="shared" si="3"/>
        <v>0</v>
      </c>
      <c r="H213" s="4"/>
      <c r="I213" s="4"/>
      <c r="J213" s="4" t="s">
        <v>94</v>
      </c>
      <c r="K213"/>
    </row>
    <row r="214" spans="1:11" ht="16" hidden="1" x14ac:dyDescent="0.2">
      <c r="A214" s="6" t="s">
        <v>466</v>
      </c>
      <c r="B214" s="6" t="s">
        <v>467</v>
      </c>
      <c r="C214" s="4" t="b">
        <v>0</v>
      </c>
      <c r="D214" s="4" t="b">
        <v>0</v>
      </c>
      <c r="E214" s="4" t="b">
        <v>0</v>
      </c>
      <c r="F214" s="4"/>
      <c r="G214" s="4" t="b">
        <f t="shared" si="3"/>
        <v>0</v>
      </c>
      <c r="H214" s="4"/>
      <c r="I214" s="4"/>
      <c r="J214" s="4" t="s">
        <v>94</v>
      </c>
      <c r="K214"/>
    </row>
    <row r="215" spans="1:11" ht="16" hidden="1" x14ac:dyDescent="0.2">
      <c r="A215" s="6" t="s">
        <v>468</v>
      </c>
      <c r="B215" s="6" t="s">
        <v>469</v>
      </c>
      <c r="C215" s="4" t="b">
        <v>0</v>
      </c>
      <c r="D215" s="4" t="b">
        <v>0</v>
      </c>
      <c r="E215" s="4" t="b">
        <v>1</v>
      </c>
      <c r="F215" s="4"/>
      <c r="G215" s="4" t="b">
        <f t="shared" si="3"/>
        <v>0</v>
      </c>
      <c r="H215" s="4"/>
      <c r="I215" s="4"/>
      <c r="J215" s="4" t="s">
        <v>94</v>
      </c>
      <c r="K215"/>
    </row>
    <row r="216" spans="1:11" ht="16" hidden="1" x14ac:dyDescent="0.2">
      <c r="A216" s="6" t="s">
        <v>470</v>
      </c>
      <c r="B216" s="6" t="s">
        <v>471</v>
      </c>
      <c r="C216" s="4" t="b">
        <v>0</v>
      </c>
      <c r="D216" s="4" t="b">
        <v>0</v>
      </c>
      <c r="E216" s="4" t="b">
        <v>1</v>
      </c>
      <c r="F216" s="4"/>
      <c r="G216" s="4" t="b">
        <f t="shared" si="3"/>
        <v>0</v>
      </c>
      <c r="H216" s="4"/>
      <c r="I216" s="4"/>
      <c r="J216" s="4" t="s">
        <v>94</v>
      </c>
      <c r="K216"/>
    </row>
    <row r="217" spans="1:11" ht="16" hidden="1" x14ac:dyDescent="0.2">
      <c r="A217" s="6" t="s">
        <v>472</v>
      </c>
      <c r="B217" s="6" t="s">
        <v>473</v>
      </c>
      <c r="C217" s="4" t="b">
        <v>0</v>
      </c>
      <c r="D217" s="4" t="b">
        <v>0</v>
      </c>
      <c r="E217" s="4" t="b">
        <v>1</v>
      </c>
      <c r="F217" s="4"/>
      <c r="G217" s="4" t="b">
        <f t="shared" si="3"/>
        <v>0</v>
      </c>
      <c r="H217" s="4"/>
      <c r="I217" s="4"/>
      <c r="J217" s="4" t="s">
        <v>94</v>
      </c>
      <c r="K217"/>
    </row>
    <row r="218" spans="1:11" ht="16" hidden="1" x14ac:dyDescent="0.2">
      <c r="A218" s="6" t="s">
        <v>474</v>
      </c>
      <c r="B218" s="6" t="s">
        <v>475</v>
      </c>
      <c r="C218" s="4" t="b">
        <v>0</v>
      </c>
      <c r="D218" s="4" t="b">
        <v>0</v>
      </c>
      <c r="E218" s="4" t="b">
        <v>0</v>
      </c>
      <c r="F218" s="4"/>
      <c r="G218" s="4" t="b">
        <f t="shared" si="3"/>
        <v>0</v>
      </c>
      <c r="H218" s="4"/>
      <c r="I218" s="4"/>
      <c r="J218" s="4" t="s">
        <v>94</v>
      </c>
      <c r="K218"/>
    </row>
    <row r="219" spans="1:11" ht="16" hidden="1" x14ac:dyDescent="0.2">
      <c r="A219" s="6" t="s">
        <v>476</v>
      </c>
      <c r="B219" s="6" t="s">
        <v>477</v>
      </c>
      <c r="C219" s="4" t="b">
        <v>0</v>
      </c>
      <c r="D219" s="4" t="b">
        <v>0</v>
      </c>
      <c r="E219" s="4" t="b">
        <v>1</v>
      </c>
      <c r="F219" s="4"/>
      <c r="G219" s="4" t="b">
        <f t="shared" si="3"/>
        <v>0</v>
      </c>
      <c r="H219" s="4"/>
      <c r="I219" s="4"/>
      <c r="J219" s="4" t="s">
        <v>94</v>
      </c>
      <c r="K219"/>
    </row>
    <row r="220" spans="1:11" ht="16" hidden="1" x14ac:dyDescent="0.2">
      <c r="A220" s="6" t="s">
        <v>478</v>
      </c>
      <c r="B220" s="6" t="s">
        <v>479</v>
      </c>
      <c r="C220" s="4" t="b">
        <v>0</v>
      </c>
      <c r="D220" s="4" t="b">
        <v>0</v>
      </c>
      <c r="E220" s="4" t="b">
        <v>1</v>
      </c>
      <c r="F220" s="4"/>
      <c r="G220" s="4" t="b">
        <f t="shared" si="3"/>
        <v>0</v>
      </c>
      <c r="H220" s="4"/>
      <c r="I220" s="4"/>
      <c r="J220" s="4" t="s">
        <v>94</v>
      </c>
      <c r="K220"/>
    </row>
    <row r="221" spans="1:11" ht="64" x14ac:dyDescent="0.2">
      <c r="A221" s="6" t="s">
        <v>480</v>
      </c>
      <c r="B221" s="6" t="s">
        <v>481</v>
      </c>
      <c r="C221" s="4" t="b">
        <v>1</v>
      </c>
      <c r="D221" s="4" t="b">
        <v>0</v>
      </c>
      <c r="E221" s="4" t="b">
        <v>1</v>
      </c>
      <c r="F221" s="4" t="s">
        <v>12</v>
      </c>
      <c r="G221" s="4" t="b">
        <f t="shared" si="3"/>
        <v>1</v>
      </c>
      <c r="H221" s="4" t="s">
        <v>2888</v>
      </c>
      <c r="I221" s="4"/>
      <c r="J221" s="4" t="s">
        <v>94</v>
      </c>
    </row>
    <row r="222" spans="1:11" ht="16" hidden="1" x14ac:dyDescent="0.2">
      <c r="A222" s="6" t="s">
        <v>482</v>
      </c>
      <c r="B222" s="6" t="s">
        <v>483</v>
      </c>
      <c r="C222" s="4" t="b">
        <v>0</v>
      </c>
      <c r="D222" s="4" t="b">
        <v>0</v>
      </c>
      <c r="E222" s="4" t="b">
        <v>0</v>
      </c>
      <c r="F222" s="4"/>
      <c r="G222" s="4" t="b">
        <f t="shared" si="3"/>
        <v>0</v>
      </c>
      <c r="H222" s="4"/>
      <c r="I222" s="4"/>
      <c r="J222" s="4" t="s">
        <v>94</v>
      </c>
      <c r="K222"/>
    </row>
    <row r="223" spans="1:11" ht="64" x14ac:dyDescent="0.2">
      <c r="A223" s="6" t="s">
        <v>484</v>
      </c>
      <c r="B223" s="6" t="s">
        <v>485</v>
      </c>
      <c r="C223" s="4" t="b">
        <v>1</v>
      </c>
      <c r="D223" s="4" t="b">
        <v>0</v>
      </c>
      <c r="E223" s="4" t="b">
        <v>1</v>
      </c>
      <c r="F223" s="4" t="s">
        <v>12</v>
      </c>
      <c r="G223" s="4" t="b">
        <f t="shared" si="3"/>
        <v>1</v>
      </c>
      <c r="H223" s="4" t="s">
        <v>2889</v>
      </c>
      <c r="I223" s="4"/>
      <c r="J223" s="4" t="s">
        <v>94</v>
      </c>
    </row>
    <row r="224" spans="1:11" ht="16" hidden="1" x14ac:dyDescent="0.2">
      <c r="A224" s="6" t="s">
        <v>486</v>
      </c>
      <c r="B224" s="6" t="s">
        <v>487</v>
      </c>
      <c r="C224" s="4" t="b">
        <v>0</v>
      </c>
      <c r="D224" s="4" t="b">
        <v>0</v>
      </c>
      <c r="E224" s="4" t="b">
        <v>0</v>
      </c>
      <c r="F224" s="4"/>
      <c r="G224" s="4" t="b">
        <f t="shared" si="3"/>
        <v>0</v>
      </c>
      <c r="H224" s="4"/>
      <c r="I224" s="4"/>
      <c r="J224" s="4" t="s">
        <v>94</v>
      </c>
      <c r="K224"/>
    </row>
    <row r="225" spans="1:11" ht="16" hidden="1" x14ac:dyDescent="0.2">
      <c r="A225" s="6" t="s">
        <v>488</v>
      </c>
      <c r="B225" s="6" t="s">
        <v>489</v>
      </c>
      <c r="C225" s="4" t="b">
        <v>0</v>
      </c>
      <c r="D225" s="4" t="b">
        <v>0</v>
      </c>
      <c r="E225" s="4" t="b">
        <v>0</v>
      </c>
      <c r="F225" s="4"/>
      <c r="G225" s="4" t="b">
        <f t="shared" si="3"/>
        <v>0</v>
      </c>
      <c r="H225" s="4"/>
      <c r="I225" s="4"/>
      <c r="J225" s="4" t="s">
        <v>94</v>
      </c>
      <c r="K225"/>
    </row>
    <row r="226" spans="1:11" ht="16" hidden="1" x14ac:dyDescent="0.2">
      <c r="A226" s="6" t="s">
        <v>490</v>
      </c>
      <c r="B226" s="6" t="s">
        <v>491</v>
      </c>
      <c r="C226" s="4" t="b">
        <v>0</v>
      </c>
      <c r="D226" s="4" t="b">
        <v>0</v>
      </c>
      <c r="E226" s="4" t="b">
        <v>0</v>
      </c>
      <c r="F226" s="4"/>
      <c r="G226" s="4" t="b">
        <f t="shared" si="3"/>
        <v>0</v>
      </c>
      <c r="H226" s="4"/>
      <c r="I226" s="4"/>
      <c r="J226" s="4" t="s">
        <v>94</v>
      </c>
      <c r="K226"/>
    </row>
    <row r="227" spans="1:11" ht="16" x14ac:dyDescent="0.2">
      <c r="A227" s="6" t="s">
        <v>492</v>
      </c>
      <c r="B227" s="6" t="s">
        <v>493</v>
      </c>
      <c r="C227" s="4" t="b">
        <v>1</v>
      </c>
      <c r="D227" s="4" t="b">
        <v>0</v>
      </c>
      <c r="E227" s="4" t="b">
        <v>1</v>
      </c>
      <c r="F227" s="4" t="s">
        <v>12</v>
      </c>
      <c r="G227" s="4" t="b">
        <f t="shared" si="3"/>
        <v>1</v>
      </c>
      <c r="H227" s="4" t="s">
        <v>2890</v>
      </c>
      <c r="I227" s="4"/>
      <c r="J227" s="4" t="s">
        <v>94</v>
      </c>
    </row>
    <row r="228" spans="1:11" ht="16" hidden="1" x14ac:dyDescent="0.2">
      <c r="A228" s="6" t="s">
        <v>494</v>
      </c>
      <c r="B228" s="6" t="s">
        <v>495</v>
      </c>
      <c r="C228" s="4" t="b">
        <v>0</v>
      </c>
      <c r="D228" s="4" t="b">
        <v>0</v>
      </c>
      <c r="E228" s="4" t="b">
        <v>0</v>
      </c>
      <c r="F228" s="4"/>
      <c r="G228" s="4" t="b">
        <f t="shared" si="3"/>
        <v>0</v>
      </c>
      <c r="H228" s="4"/>
      <c r="I228" s="4"/>
      <c r="J228" s="4" t="s">
        <v>94</v>
      </c>
      <c r="K228"/>
    </row>
    <row r="229" spans="1:11" ht="16" hidden="1" x14ac:dyDescent="0.2">
      <c r="A229" s="6" t="s">
        <v>496</v>
      </c>
      <c r="B229" s="6" t="s">
        <v>2853</v>
      </c>
      <c r="C229" s="4" t="b">
        <v>0</v>
      </c>
      <c r="D229" s="4" t="b">
        <v>0</v>
      </c>
      <c r="E229" s="4" t="b">
        <v>1</v>
      </c>
      <c r="F229" s="4"/>
      <c r="G229" s="4" t="b">
        <f t="shared" si="3"/>
        <v>0</v>
      </c>
      <c r="H229" s="4"/>
      <c r="I229" s="4"/>
      <c r="J229" s="4" t="s">
        <v>94</v>
      </c>
      <c r="K229"/>
    </row>
    <row r="230" spans="1:11" ht="16" x14ac:dyDescent="0.2">
      <c r="A230" s="6" t="s">
        <v>497</v>
      </c>
      <c r="B230" s="6" t="s">
        <v>498</v>
      </c>
      <c r="C230" s="4" t="b">
        <v>1</v>
      </c>
      <c r="D230" s="4" t="b">
        <v>0</v>
      </c>
      <c r="E230" s="4" t="b">
        <v>1</v>
      </c>
      <c r="F230" s="4" t="s">
        <v>12</v>
      </c>
      <c r="G230" s="4" t="b">
        <f t="shared" si="3"/>
        <v>1</v>
      </c>
      <c r="H230" s="4" t="s">
        <v>2891</v>
      </c>
      <c r="I230" s="4"/>
      <c r="J230" s="4" t="s">
        <v>94</v>
      </c>
    </row>
    <row r="231" spans="1:11" ht="16" hidden="1" x14ac:dyDescent="0.2">
      <c r="A231" s="6" t="s">
        <v>499</v>
      </c>
      <c r="B231" s="6" t="s">
        <v>500</v>
      </c>
      <c r="C231" s="4" t="b">
        <v>0</v>
      </c>
      <c r="D231" s="4" t="b">
        <v>0</v>
      </c>
      <c r="E231" s="4" t="b">
        <v>1</v>
      </c>
      <c r="F231" s="4"/>
      <c r="G231" s="4" t="b">
        <f t="shared" si="3"/>
        <v>0</v>
      </c>
      <c r="H231" s="4"/>
      <c r="I231" s="4"/>
      <c r="J231" s="4" t="s">
        <v>94</v>
      </c>
      <c r="K231"/>
    </row>
    <row r="232" spans="1:11" ht="16" hidden="1" x14ac:dyDescent="0.2">
      <c r="A232" s="6" t="s">
        <v>501</v>
      </c>
      <c r="B232" s="6" t="s">
        <v>502</v>
      </c>
      <c r="C232" s="4" t="b">
        <v>0</v>
      </c>
      <c r="D232" s="4" t="b">
        <v>0</v>
      </c>
      <c r="E232" s="4" t="b">
        <v>0</v>
      </c>
      <c r="F232" s="4"/>
      <c r="G232" s="4" t="b">
        <f t="shared" si="3"/>
        <v>0</v>
      </c>
      <c r="H232" s="4"/>
      <c r="I232" s="4"/>
      <c r="J232" s="4" t="s">
        <v>94</v>
      </c>
      <c r="K232"/>
    </row>
    <row r="233" spans="1:11" ht="16" hidden="1" x14ac:dyDescent="0.2">
      <c r="A233" s="6" t="s">
        <v>503</v>
      </c>
      <c r="B233" s="6" t="s">
        <v>504</v>
      </c>
      <c r="C233" s="4" t="b">
        <v>0</v>
      </c>
      <c r="D233" s="4" t="b">
        <v>0</v>
      </c>
      <c r="E233" s="4" t="b">
        <v>1</v>
      </c>
      <c r="F233" s="4"/>
      <c r="G233" s="4" t="b">
        <f t="shared" si="3"/>
        <v>0</v>
      </c>
      <c r="H233" s="4"/>
      <c r="I233" s="4"/>
      <c r="J233" s="4" t="s">
        <v>94</v>
      </c>
      <c r="K233"/>
    </row>
    <row r="234" spans="1:11" ht="16" hidden="1" x14ac:dyDescent="0.2">
      <c r="A234" s="6" t="s">
        <v>505</v>
      </c>
      <c r="B234" s="6" t="s">
        <v>506</v>
      </c>
      <c r="C234" s="4" t="b">
        <v>0</v>
      </c>
      <c r="D234" s="4" t="b">
        <v>0</v>
      </c>
      <c r="E234" s="4" t="b">
        <v>1</v>
      </c>
      <c r="F234" s="4"/>
      <c r="G234" s="4" t="b">
        <f t="shared" si="3"/>
        <v>0</v>
      </c>
      <c r="H234" s="4"/>
      <c r="I234" s="4"/>
      <c r="J234" s="4" t="s">
        <v>94</v>
      </c>
      <c r="K234"/>
    </row>
    <row r="235" spans="1:11" ht="16" hidden="1" x14ac:dyDescent="0.2">
      <c r="A235" s="6" t="s">
        <v>507</v>
      </c>
      <c r="B235" s="6" t="s">
        <v>508</v>
      </c>
      <c r="C235" s="4" t="b">
        <v>0</v>
      </c>
      <c r="D235" s="4" t="b">
        <v>0</v>
      </c>
      <c r="E235" s="4" t="b">
        <v>0</v>
      </c>
      <c r="F235" s="4" t="s">
        <v>12</v>
      </c>
      <c r="G235" s="4" t="b">
        <f t="shared" si="3"/>
        <v>1</v>
      </c>
      <c r="H235" s="4"/>
      <c r="I235" s="4"/>
      <c r="J235" s="4" t="s">
        <v>94</v>
      </c>
      <c r="K235"/>
    </row>
    <row r="236" spans="1:11" ht="16" hidden="1" x14ac:dyDescent="0.2">
      <c r="A236" s="6" t="s">
        <v>509</v>
      </c>
      <c r="B236" s="6" t="s">
        <v>510</v>
      </c>
      <c r="C236" s="4" t="b">
        <v>0</v>
      </c>
      <c r="D236" s="4" t="b">
        <v>0</v>
      </c>
      <c r="E236" s="4" t="b">
        <v>0</v>
      </c>
      <c r="F236" s="4"/>
      <c r="G236" s="4" t="b">
        <f t="shared" si="3"/>
        <v>0</v>
      </c>
      <c r="H236" s="4"/>
      <c r="I236" s="4"/>
      <c r="J236" s="4" t="s">
        <v>94</v>
      </c>
      <c r="K236"/>
    </row>
    <row r="237" spans="1:11" ht="16" hidden="1" x14ac:dyDescent="0.2">
      <c r="A237" s="6" t="s">
        <v>511</v>
      </c>
      <c r="B237" s="6" t="s">
        <v>512</v>
      </c>
      <c r="C237" s="4" t="b">
        <v>0</v>
      </c>
      <c r="D237" s="4" t="b">
        <v>0</v>
      </c>
      <c r="E237" s="4" t="b">
        <v>1</v>
      </c>
      <c r="F237" s="4"/>
      <c r="G237" s="4" t="b">
        <f t="shared" si="3"/>
        <v>0</v>
      </c>
      <c r="H237" s="4"/>
      <c r="I237" s="4"/>
      <c r="J237" s="4" t="s">
        <v>94</v>
      </c>
      <c r="K237"/>
    </row>
    <row r="238" spans="1:11" ht="16" hidden="1" x14ac:dyDescent="0.2">
      <c r="A238" s="6" t="s">
        <v>513</v>
      </c>
      <c r="B238" s="6" t="s">
        <v>514</v>
      </c>
      <c r="C238" s="4" t="b">
        <v>0</v>
      </c>
      <c r="D238" s="4" t="b">
        <v>0</v>
      </c>
      <c r="E238" s="4" t="b">
        <v>0</v>
      </c>
      <c r="F238" s="4"/>
      <c r="G238" s="4" t="b">
        <f t="shared" si="3"/>
        <v>0</v>
      </c>
      <c r="H238" s="4"/>
      <c r="I238" s="4"/>
      <c r="J238" s="4" t="s">
        <v>94</v>
      </c>
      <c r="K238"/>
    </row>
    <row r="239" spans="1:11" ht="16" hidden="1" x14ac:dyDescent="0.2">
      <c r="A239" s="6" t="s">
        <v>515</v>
      </c>
      <c r="B239" s="6" t="s">
        <v>516</v>
      </c>
      <c r="C239" s="4" t="b">
        <v>0</v>
      </c>
      <c r="D239" s="4" t="b">
        <v>0</v>
      </c>
      <c r="E239" s="4" t="b">
        <v>0</v>
      </c>
      <c r="F239" s="4"/>
      <c r="G239" s="4" t="b">
        <f t="shared" si="3"/>
        <v>0</v>
      </c>
      <c r="H239" s="4"/>
      <c r="I239" s="4"/>
      <c r="J239" s="4" t="s">
        <v>94</v>
      </c>
      <c r="K239"/>
    </row>
    <row r="240" spans="1:11" ht="272" x14ac:dyDescent="0.2">
      <c r="A240" s="6" t="s">
        <v>517</v>
      </c>
      <c r="B240" s="6" t="s">
        <v>518</v>
      </c>
      <c r="C240" s="4" t="b">
        <v>1</v>
      </c>
      <c r="D240" s="4" t="b">
        <v>0</v>
      </c>
      <c r="E240" s="4" t="b">
        <v>1</v>
      </c>
      <c r="F240" s="4" t="s">
        <v>12</v>
      </c>
      <c r="G240" s="4" t="b">
        <f t="shared" si="3"/>
        <v>1</v>
      </c>
      <c r="H240" s="4" t="s">
        <v>2892</v>
      </c>
      <c r="I240" s="4"/>
      <c r="J240" s="4" t="s">
        <v>94</v>
      </c>
    </row>
    <row r="241" spans="1:11" ht="32" x14ac:dyDescent="0.2">
      <c r="A241" s="6" t="s">
        <v>519</v>
      </c>
      <c r="B241" s="6" t="s">
        <v>520</v>
      </c>
      <c r="C241" s="4" t="b">
        <v>1</v>
      </c>
      <c r="D241" s="4" t="b">
        <v>0</v>
      </c>
      <c r="E241" s="4" t="b">
        <v>1</v>
      </c>
      <c r="F241" s="4" t="s">
        <v>12</v>
      </c>
      <c r="G241" s="4" t="b">
        <f t="shared" si="3"/>
        <v>1</v>
      </c>
      <c r="H241" s="4" t="s">
        <v>2893</v>
      </c>
      <c r="I241" s="4"/>
      <c r="J241" s="4" t="s">
        <v>94</v>
      </c>
    </row>
    <row r="242" spans="1:11" ht="32" x14ac:dyDescent="0.2">
      <c r="A242" s="6" t="s">
        <v>521</v>
      </c>
      <c r="B242" s="6" t="s">
        <v>522</v>
      </c>
      <c r="C242" s="4" t="b">
        <v>1</v>
      </c>
      <c r="D242" s="4" t="b">
        <v>1</v>
      </c>
      <c r="E242" s="4" t="b">
        <v>1</v>
      </c>
      <c r="F242" s="4" t="s">
        <v>12</v>
      </c>
      <c r="G242" s="4" t="b">
        <f t="shared" si="3"/>
        <v>1</v>
      </c>
      <c r="H242" s="4" t="s">
        <v>2894</v>
      </c>
      <c r="I242" s="4"/>
      <c r="J242" s="4" t="s">
        <v>94</v>
      </c>
    </row>
    <row r="243" spans="1:11" ht="16" hidden="1" x14ac:dyDescent="0.2">
      <c r="A243" s="6" t="s">
        <v>523</v>
      </c>
      <c r="B243" s="6" t="s">
        <v>524</v>
      </c>
      <c r="C243" s="4" t="b">
        <v>0</v>
      </c>
      <c r="D243" s="4" t="b">
        <v>0</v>
      </c>
      <c r="E243" s="4" t="b">
        <v>0</v>
      </c>
      <c r="F243" s="4"/>
      <c r="G243" s="4" t="b">
        <f t="shared" si="3"/>
        <v>0</v>
      </c>
      <c r="H243" s="4"/>
      <c r="I243" s="4"/>
      <c r="J243" s="4" t="s">
        <v>94</v>
      </c>
      <c r="K243"/>
    </row>
    <row r="244" spans="1:11" ht="16" hidden="1" x14ac:dyDescent="0.2">
      <c r="A244" s="6" t="s">
        <v>525</v>
      </c>
      <c r="B244" s="6" t="s">
        <v>526</v>
      </c>
      <c r="C244" s="4" t="b">
        <v>0</v>
      </c>
      <c r="D244" s="4" t="b">
        <v>0</v>
      </c>
      <c r="E244" s="4" t="b">
        <v>0</v>
      </c>
      <c r="F244" s="4"/>
      <c r="G244" s="4" t="b">
        <f t="shared" si="3"/>
        <v>0</v>
      </c>
      <c r="H244" s="4"/>
      <c r="I244" s="4"/>
      <c r="J244" s="4" t="s">
        <v>94</v>
      </c>
      <c r="K244"/>
    </row>
    <row r="245" spans="1:11" ht="16" x14ac:dyDescent="0.2">
      <c r="A245" s="6" t="s">
        <v>527</v>
      </c>
      <c r="B245" s="6" t="s">
        <v>528</v>
      </c>
      <c r="C245" s="4" t="b">
        <v>1</v>
      </c>
      <c r="D245" s="4" t="b">
        <v>0</v>
      </c>
      <c r="E245" s="4" t="b">
        <v>1</v>
      </c>
      <c r="F245" s="4" t="s">
        <v>12</v>
      </c>
      <c r="G245" s="4" t="b">
        <f t="shared" si="3"/>
        <v>1</v>
      </c>
      <c r="H245" s="4" t="s">
        <v>2895</v>
      </c>
      <c r="I245" s="4"/>
      <c r="J245" s="4" t="s">
        <v>94</v>
      </c>
    </row>
    <row r="246" spans="1:11" ht="96" x14ac:dyDescent="0.2">
      <c r="A246" s="6" t="s">
        <v>529</v>
      </c>
      <c r="B246" s="6" t="s">
        <v>530</v>
      </c>
      <c r="C246" s="4" t="b">
        <v>1</v>
      </c>
      <c r="D246" s="4" t="b">
        <v>0</v>
      </c>
      <c r="E246" s="4" t="b">
        <v>1</v>
      </c>
      <c r="F246" s="4" t="s">
        <v>12</v>
      </c>
      <c r="G246" s="4" t="b">
        <f t="shared" si="3"/>
        <v>1</v>
      </c>
      <c r="H246" s="4" t="s">
        <v>2896</v>
      </c>
      <c r="I246" s="4"/>
      <c r="J246" s="4" t="s">
        <v>94</v>
      </c>
    </row>
    <row r="247" spans="1:11" ht="144" x14ac:dyDescent="0.2">
      <c r="A247" s="6" t="s">
        <v>531</v>
      </c>
      <c r="B247" s="6" t="s">
        <v>532</v>
      </c>
      <c r="C247" s="4" t="b">
        <v>1</v>
      </c>
      <c r="D247" s="4" t="b">
        <v>1</v>
      </c>
      <c r="E247" s="4" t="b">
        <v>1</v>
      </c>
      <c r="F247" s="4" t="s">
        <v>12</v>
      </c>
      <c r="G247" s="4" t="b">
        <f t="shared" si="3"/>
        <v>1</v>
      </c>
      <c r="H247" s="4" t="s">
        <v>2897</v>
      </c>
      <c r="I247" s="4"/>
      <c r="J247" s="4" t="s">
        <v>94</v>
      </c>
    </row>
    <row r="248" spans="1:11" ht="208" x14ac:dyDescent="0.2">
      <c r="A248" s="6" t="s">
        <v>533</v>
      </c>
      <c r="B248" s="6" t="s">
        <v>534</v>
      </c>
      <c r="C248" s="4" t="b">
        <v>1</v>
      </c>
      <c r="D248" s="4" t="b">
        <v>1</v>
      </c>
      <c r="E248" s="4" t="b">
        <v>1</v>
      </c>
      <c r="F248" s="4" t="s">
        <v>12</v>
      </c>
      <c r="G248" s="4" t="b">
        <f t="shared" si="3"/>
        <v>1</v>
      </c>
      <c r="H248" s="4" t="s">
        <v>2898</v>
      </c>
      <c r="I248" s="4"/>
      <c r="J248" s="4" t="s">
        <v>94</v>
      </c>
    </row>
    <row r="249" spans="1:11" ht="16" x14ac:dyDescent="0.2">
      <c r="A249" s="6" t="s">
        <v>535</v>
      </c>
      <c r="B249" s="6" t="s">
        <v>536</v>
      </c>
      <c r="C249" s="4" t="b">
        <v>1</v>
      </c>
      <c r="D249" s="4" t="b">
        <v>0</v>
      </c>
      <c r="E249" s="4" t="b">
        <v>1</v>
      </c>
      <c r="F249" s="4" t="s">
        <v>12</v>
      </c>
      <c r="G249" s="4" t="b">
        <f t="shared" si="3"/>
        <v>1</v>
      </c>
      <c r="H249" s="4" t="s">
        <v>2899</v>
      </c>
      <c r="I249" s="4"/>
      <c r="J249" s="4" t="s">
        <v>94</v>
      </c>
    </row>
    <row r="250" spans="1:11" ht="16" hidden="1" x14ac:dyDescent="0.2">
      <c r="A250" s="6" t="s">
        <v>537</v>
      </c>
      <c r="B250" s="6" t="s">
        <v>538</v>
      </c>
      <c r="C250" s="4" t="b">
        <v>0</v>
      </c>
      <c r="D250" s="4" t="b">
        <v>0</v>
      </c>
      <c r="E250" s="4" t="b">
        <v>1</v>
      </c>
      <c r="F250" s="4"/>
      <c r="G250" s="4" t="b">
        <f t="shared" si="3"/>
        <v>0</v>
      </c>
      <c r="H250" s="4"/>
      <c r="I250" s="4"/>
      <c r="J250" s="4" t="s">
        <v>94</v>
      </c>
      <c r="K250"/>
    </row>
    <row r="251" spans="1:11" ht="16" hidden="1" x14ac:dyDescent="0.2">
      <c r="A251" s="6" t="s">
        <v>539</v>
      </c>
      <c r="B251" s="6" t="s">
        <v>540</v>
      </c>
      <c r="C251" s="4" t="b">
        <v>0</v>
      </c>
      <c r="D251" s="4" t="b">
        <v>0</v>
      </c>
      <c r="E251" s="4" t="b">
        <v>1</v>
      </c>
      <c r="F251" s="4"/>
      <c r="G251" s="4" t="b">
        <f t="shared" si="3"/>
        <v>0</v>
      </c>
      <c r="H251" s="4"/>
      <c r="I251" s="4"/>
      <c r="J251" s="4" t="s">
        <v>94</v>
      </c>
      <c r="K251"/>
    </row>
    <row r="252" spans="1:11" ht="48" x14ac:dyDescent="0.2">
      <c r="A252" s="6" t="s">
        <v>541</v>
      </c>
      <c r="B252" s="6" t="s">
        <v>542</v>
      </c>
      <c r="C252" s="4" t="b">
        <v>1</v>
      </c>
      <c r="D252" s="4" t="b">
        <v>0</v>
      </c>
      <c r="E252" s="4" t="b">
        <v>1</v>
      </c>
      <c r="F252" s="4" t="s">
        <v>12</v>
      </c>
      <c r="G252" s="4" t="b">
        <f t="shared" si="3"/>
        <v>1</v>
      </c>
      <c r="H252" s="4" t="s">
        <v>2900</v>
      </c>
      <c r="I252" s="4"/>
      <c r="J252" s="4" t="s">
        <v>94</v>
      </c>
    </row>
    <row r="253" spans="1:11" ht="160" x14ac:dyDescent="0.2">
      <c r="A253" s="6" t="s">
        <v>543</v>
      </c>
      <c r="B253" s="6" t="s">
        <v>544</v>
      </c>
      <c r="C253" s="4" t="b">
        <v>1</v>
      </c>
      <c r="D253" s="4" t="b">
        <v>0</v>
      </c>
      <c r="E253" s="4" t="b">
        <v>1</v>
      </c>
      <c r="F253" s="4" t="s">
        <v>12</v>
      </c>
      <c r="G253" s="4" t="b">
        <f t="shared" si="3"/>
        <v>1</v>
      </c>
      <c r="H253" s="4" t="s">
        <v>2901</v>
      </c>
      <c r="I253" s="4"/>
      <c r="J253" s="4" t="s">
        <v>94</v>
      </c>
    </row>
    <row r="254" spans="1:11" ht="112" x14ac:dyDescent="0.2">
      <c r="A254" s="6" t="s">
        <v>545</v>
      </c>
      <c r="B254" s="6" t="s">
        <v>546</v>
      </c>
      <c r="C254" s="4" t="b">
        <v>1</v>
      </c>
      <c r="D254" s="4" t="b">
        <v>0</v>
      </c>
      <c r="E254" s="4" t="b">
        <v>1</v>
      </c>
      <c r="F254" s="4" t="s">
        <v>12</v>
      </c>
      <c r="G254" s="4" t="b">
        <f t="shared" si="3"/>
        <v>1</v>
      </c>
      <c r="H254" s="4" t="s">
        <v>2902</v>
      </c>
      <c r="I254" s="4"/>
      <c r="J254" s="4" t="s">
        <v>94</v>
      </c>
    </row>
    <row r="255" spans="1:11" ht="16" hidden="1" x14ac:dyDescent="0.2">
      <c r="A255" s="6" t="s">
        <v>547</v>
      </c>
      <c r="B255" s="6" t="s">
        <v>548</v>
      </c>
      <c r="C255" s="4" t="b">
        <v>0</v>
      </c>
      <c r="D255" s="4" t="b">
        <v>0</v>
      </c>
      <c r="E255" s="4" t="b">
        <v>0</v>
      </c>
      <c r="F255" s="4"/>
      <c r="G255" s="4" t="b">
        <f t="shared" si="3"/>
        <v>0</v>
      </c>
      <c r="H255" s="4"/>
      <c r="I255" s="4"/>
      <c r="J255" s="4" t="s">
        <v>20</v>
      </c>
      <c r="K255"/>
    </row>
    <row r="256" spans="1:11" ht="16" hidden="1" x14ac:dyDescent="0.2">
      <c r="A256" s="6" t="s">
        <v>549</v>
      </c>
      <c r="B256" s="6" t="s">
        <v>550</v>
      </c>
      <c r="C256" s="4" t="b">
        <v>0</v>
      </c>
      <c r="D256" s="4" t="b">
        <v>0</v>
      </c>
      <c r="E256" s="4" t="b">
        <v>0</v>
      </c>
      <c r="F256" s="4"/>
      <c r="G256" s="4" t="b">
        <f t="shared" si="3"/>
        <v>0</v>
      </c>
      <c r="H256" s="4"/>
      <c r="I256" s="4"/>
      <c r="J256" s="4" t="s">
        <v>20</v>
      </c>
      <c r="K256"/>
    </row>
    <row r="257" spans="1:11" ht="64" x14ac:dyDescent="0.2">
      <c r="A257" s="6" t="s">
        <v>551</v>
      </c>
      <c r="B257" s="6" t="s">
        <v>552</v>
      </c>
      <c r="C257" s="4" t="b">
        <v>1</v>
      </c>
      <c r="D257" s="4" t="b">
        <v>0</v>
      </c>
      <c r="E257" s="4" t="b">
        <v>1</v>
      </c>
      <c r="F257" s="4" t="s">
        <v>12</v>
      </c>
      <c r="G257" s="4" t="b">
        <f t="shared" si="3"/>
        <v>1</v>
      </c>
      <c r="H257" s="4" t="s">
        <v>2905</v>
      </c>
      <c r="I257" s="4"/>
      <c r="J257" s="4" t="s">
        <v>20</v>
      </c>
    </row>
    <row r="258" spans="1:11" ht="48" x14ac:dyDescent="0.2">
      <c r="A258" s="6" t="s">
        <v>553</v>
      </c>
      <c r="B258" s="6" t="s">
        <v>554</v>
      </c>
      <c r="C258" s="4" t="b">
        <v>1</v>
      </c>
      <c r="D258" s="4" t="b">
        <v>0</v>
      </c>
      <c r="E258" s="4" t="b">
        <v>1</v>
      </c>
      <c r="F258" s="4" t="s">
        <v>12</v>
      </c>
      <c r="G258" s="4" t="b">
        <f t="shared" ref="G258:G321" si="4">IF(F258="✔", TRUE, FALSE)</f>
        <v>1</v>
      </c>
      <c r="H258" s="4" t="s">
        <v>2906</v>
      </c>
      <c r="I258" s="4"/>
      <c r="J258" s="4" t="s">
        <v>20</v>
      </c>
    </row>
    <row r="259" spans="1:11" ht="16" hidden="1" x14ac:dyDescent="0.2">
      <c r="A259" s="6" t="s">
        <v>555</v>
      </c>
      <c r="B259" s="6" t="s">
        <v>556</v>
      </c>
      <c r="C259" s="4" t="b">
        <v>0</v>
      </c>
      <c r="D259" s="4" t="b">
        <v>0</v>
      </c>
      <c r="E259" s="4" t="b">
        <v>1</v>
      </c>
      <c r="F259" s="4"/>
      <c r="G259" s="4" t="b">
        <f t="shared" si="4"/>
        <v>0</v>
      </c>
      <c r="H259" s="4"/>
      <c r="I259" s="4"/>
      <c r="J259" s="4" t="s">
        <v>20</v>
      </c>
      <c r="K259"/>
    </row>
    <row r="260" spans="1:11" ht="16" hidden="1" x14ac:dyDescent="0.2">
      <c r="A260" s="6" t="s">
        <v>557</v>
      </c>
      <c r="B260" s="6" t="s">
        <v>558</v>
      </c>
      <c r="C260" s="4" t="b">
        <v>0</v>
      </c>
      <c r="D260" s="4" t="b">
        <v>0</v>
      </c>
      <c r="E260" s="4" t="b">
        <v>0</v>
      </c>
      <c r="F260" s="4"/>
      <c r="G260" s="4" t="b">
        <f t="shared" si="4"/>
        <v>0</v>
      </c>
      <c r="H260" s="4"/>
      <c r="I260" s="4"/>
      <c r="J260" s="4" t="s">
        <v>20</v>
      </c>
      <c r="K260"/>
    </row>
    <row r="261" spans="1:11" ht="16" x14ac:dyDescent="0.2">
      <c r="A261" s="6" t="s">
        <v>559</v>
      </c>
      <c r="B261" s="6" t="s">
        <v>560</v>
      </c>
      <c r="C261" s="4" t="b">
        <v>1</v>
      </c>
      <c r="D261" s="4" t="b">
        <v>0</v>
      </c>
      <c r="E261" s="4" t="b">
        <v>1</v>
      </c>
      <c r="F261" s="4" t="s">
        <v>12</v>
      </c>
      <c r="G261" s="4" t="b">
        <f t="shared" si="4"/>
        <v>1</v>
      </c>
      <c r="H261" s="4"/>
      <c r="I261" s="4"/>
      <c r="J261" s="4" t="s">
        <v>20</v>
      </c>
    </row>
    <row r="262" spans="1:11" ht="16" hidden="1" x14ac:dyDescent="0.2">
      <c r="A262" s="6" t="s">
        <v>561</v>
      </c>
      <c r="B262" s="6" t="s">
        <v>562</v>
      </c>
      <c r="C262" s="4" t="b">
        <v>0</v>
      </c>
      <c r="D262" s="4" t="b">
        <v>0</v>
      </c>
      <c r="E262" s="4" t="b">
        <v>0</v>
      </c>
      <c r="F262" s="4"/>
      <c r="G262" s="4" t="b">
        <f t="shared" si="4"/>
        <v>0</v>
      </c>
      <c r="H262" s="4"/>
      <c r="I262" s="4"/>
      <c r="J262" s="4" t="s">
        <v>20</v>
      </c>
      <c r="K262"/>
    </row>
    <row r="263" spans="1:11" ht="16" x14ac:dyDescent="0.2">
      <c r="A263" s="6" t="s">
        <v>563</v>
      </c>
      <c r="B263" s="6" t="s">
        <v>564</v>
      </c>
      <c r="C263" s="4" t="b">
        <v>1</v>
      </c>
      <c r="D263" s="4" t="b">
        <v>0</v>
      </c>
      <c r="E263" s="4" t="b">
        <v>1</v>
      </c>
      <c r="F263" s="4" t="s">
        <v>12</v>
      </c>
      <c r="G263" s="4" t="b">
        <f t="shared" si="4"/>
        <v>1</v>
      </c>
      <c r="H263" s="4"/>
      <c r="I263" s="4"/>
      <c r="J263" s="4" t="s">
        <v>20</v>
      </c>
    </row>
    <row r="264" spans="1:11" ht="32" x14ac:dyDescent="0.2">
      <c r="A264" s="6" t="s">
        <v>565</v>
      </c>
      <c r="B264" s="6" t="s">
        <v>566</v>
      </c>
      <c r="C264" s="4" t="b">
        <v>1</v>
      </c>
      <c r="D264" s="4" t="b">
        <v>0</v>
      </c>
      <c r="E264" s="4" t="b">
        <v>1</v>
      </c>
      <c r="F264" s="4" t="s">
        <v>12</v>
      </c>
      <c r="G264" s="4" t="b">
        <f t="shared" si="4"/>
        <v>1</v>
      </c>
      <c r="H264" s="4" t="s">
        <v>2937</v>
      </c>
      <c r="I264" s="4"/>
      <c r="J264" s="4" t="s">
        <v>20</v>
      </c>
    </row>
    <row r="265" spans="1:11" ht="16" hidden="1" x14ac:dyDescent="0.2">
      <c r="A265" s="6" t="s">
        <v>567</v>
      </c>
      <c r="B265" s="6" t="s">
        <v>568</v>
      </c>
      <c r="C265" s="4" t="b">
        <v>0</v>
      </c>
      <c r="D265" s="4" t="b">
        <v>0</v>
      </c>
      <c r="E265" s="4" t="b">
        <v>1</v>
      </c>
      <c r="F265" s="4"/>
      <c r="G265" s="4" t="b">
        <f t="shared" si="4"/>
        <v>0</v>
      </c>
      <c r="H265" s="4"/>
      <c r="I265" s="4"/>
      <c r="J265" s="4" t="s">
        <v>20</v>
      </c>
      <c r="K265"/>
    </row>
    <row r="266" spans="1:11" ht="16" hidden="1" x14ac:dyDescent="0.2">
      <c r="A266" s="6" t="s">
        <v>569</v>
      </c>
      <c r="B266" s="6" t="s">
        <v>570</v>
      </c>
      <c r="C266" s="4" t="b">
        <v>0</v>
      </c>
      <c r="D266" s="4" t="b">
        <v>0</v>
      </c>
      <c r="E266" s="4" t="b">
        <v>1</v>
      </c>
      <c r="F266" s="4"/>
      <c r="G266" s="4" t="b">
        <f t="shared" si="4"/>
        <v>0</v>
      </c>
      <c r="H266" s="4"/>
      <c r="I266" s="4"/>
      <c r="J266" s="4" t="s">
        <v>20</v>
      </c>
      <c r="K266"/>
    </row>
    <row r="267" spans="1:11" ht="16" x14ac:dyDescent="0.2">
      <c r="A267" s="6" t="s">
        <v>571</v>
      </c>
      <c r="B267" s="6" t="s">
        <v>572</v>
      </c>
      <c r="C267" s="4" t="b">
        <v>1</v>
      </c>
      <c r="D267" s="4" t="b">
        <v>0</v>
      </c>
      <c r="E267" s="4" t="b">
        <v>1</v>
      </c>
      <c r="F267" s="4" t="s">
        <v>12</v>
      </c>
      <c r="G267" s="4" t="b">
        <f t="shared" si="4"/>
        <v>1</v>
      </c>
      <c r="H267" s="4"/>
      <c r="I267" s="4"/>
      <c r="J267" s="4" t="s">
        <v>20</v>
      </c>
    </row>
    <row r="268" spans="1:11" ht="16" hidden="1" x14ac:dyDescent="0.2">
      <c r="A268" s="6" t="s">
        <v>573</v>
      </c>
      <c r="B268" s="6" t="s">
        <v>574</v>
      </c>
      <c r="C268" s="4" t="b">
        <v>0</v>
      </c>
      <c r="D268" s="4" t="b">
        <v>0</v>
      </c>
      <c r="E268" s="4" t="b">
        <v>0</v>
      </c>
      <c r="F268" s="4"/>
      <c r="G268" s="4" t="b">
        <f t="shared" si="4"/>
        <v>0</v>
      </c>
      <c r="H268" s="4"/>
      <c r="I268" s="4"/>
      <c r="J268" s="4" t="s">
        <v>20</v>
      </c>
      <c r="K268"/>
    </row>
    <row r="269" spans="1:11" ht="16" hidden="1" x14ac:dyDescent="0.2">
      <c r="A269" s="6" t="s">
        <v>575</v>
      </c>
      <c r="B269" s="6" t="s">
        <v>576</v>
      </c>
      <c r="C269" s="4" t="b">
        <v>0</v>
      </c>
      <c r="D269" s="4" t="b">
        <v>0</v>
      </c>
      <c r="E269" s="4" t="b">
        <v>0</v>
      </c>
      <c r="F269" s="4"/>
      <c r="G269" s="4" t="b">
        <f t="shared" si="4"/>
        <v>0</v>
      </c>
      <c r="H269" s="4"/>
      <c r="I269" s="4"/>
      <c r="J269" s="4" t="s">
        <v>20</v>
      </c>
      <c r="K269"/>
    </row>
    <row r="270" spans="1:11" ht="16" hidden="1" x14ac:dyDescent="0.2">
      <c r="A270" s="6" t="s">
        <v>577</v>
      </c>
      <c r="B270" s="6" t="s">
        <v>578</v>
      </c>
      <c r="C270" s="4" t="b">
        <v>0</v>
      </c>
      <c r="D270" s="4" t="b">
        <v>0</v>
      </c>
      <c r="E270" s="4" t="b">
        <v>0</v>
      </c>
      <c r="F270" s="4"/>
      <c r="G270" s="4" t="b">
        <f t="shared" si="4"/>
        <v>0</v>
      </c>
      <c r="H270" s="4"/>
      <c r="I270" s="4"/>
      <c r="J270" s="4" t="s">
        <v>20</v>
      </c>
      <c r="K270"/>
    </row>
    <row r="271" spans="1:11" ht="16" hidden="1" x14ac:dyDescent="0.2">
      <c r="A271" s="6" t="s">
        <v>579</v>
      </c>
      <c r="B271" s="6" t="s">
        <v>580</v>
      </c>
      <c r="C271" s="4" t="b">
        <v>0</v>
      </c>
      <c r="D271" s="4" t="b">
        <v>0</v>
      </c>
      <c r="E271" s="4" t="b">
        <v>0</v>
      </c>
      <c r="F271" s="4"/>
      <c r="G271" s="4" t="b">
        <f t="shared" si="4"/>
        <v>0</v>
      </c>
      <c r="H271" s="4"/>
      <c r="I271" s="4"/>
      <c r="J271" s="4" t="s">
        <v>20</v>
      </c>
      <c r="K271"/>
    </row>
    <row r="272" spans="1:11" ht="16" hidden="1" x14ac:dyDescent="0.2">
      <c r="A272" s="6" t="s">
        <v>581</v>
      </c>
      <c r="B272" s="6" t="s">
        <v>582</v>
      </c>
      <c r="C272" s="4" t="b">
        <v>0</v>
      </c>
      <c r="D272" s="4" t="b">
        <v>0</v>
      </c>
      <c r="E272" s="4" t="b">
        <v>1</v>
      </c>
      <c r="F272" s="4"/>
      <c r="G272" s="4" t="b">
        <f t="shared" si="4"/>
        <v>0</v>
      </c>
      <c r="H272" s="4"/>
      <c r="I272" s="4"/>
      <c r="J272" s="4" t="s">
        <v>20</v>
      </c>
      <c r="K272"/>
    </row>
    <row r="273" spans="1:11" ht="16" x14ac:dyDescent="0.2">
      <c r="A273" s="6" t="s">
        <v>583</v>
      </c>
      <c r="B273" s="6" t="s">
        <v>584</v>
      </c>
      <c r="C273" s="4" t="b">
        <v>1</v>
      </c>
      <c r="D273" s="4" t="b">
        <v>0</v>
      </c>
      <c r="E273" s="4" t="b">
        <v>1</v>
      </c>
      <c r="F273" s="4" t="s">
        <v>12</v>
      </c>
      <c r="G273" s="4" t="b">
        <f t="shared" si="4"/>
        <v>1</v>
      </c>
      <c r="H273" s="4"/>
      <c r="I273" s="4"/>
      <c r="J273" s="4" t="s">
        <v>20</v>
      </c>
    </row>
    <row r="274" spans="1:11" ht="16" x14ac:dyDescent="0.2">
      <c r="A274" s="6" t="s">
        <v>585</v>
      </c>
      <c r="B274" s="6" t="s">
        <v>586</v>
      </c>
      <c r="C274" s="4" t="b">
        <v>1</v>
      </c>
      <c r="D274" s="4" t="b">
        <v>0</v>
      </c>
      <c r="E274" s="4" t="b">
        <v>1</v>
      </c>
      <c r="F274" s="4" t="s">
        <v>12</v>
      </c>
      <c r="G274" s="4" t="b">
        <f t="shared" si="4"/>
        <v>1</v>
      </c>
      <c r="H274" s="4" t="s">
        <v>2938</v>
      </c>
      <c r="I274" s="4"/>
      <c r="J274" s="4" t="s">
        <v>20</v>
      </c>
    </row>
    <row r="275" spans="1:11" ht="16" hidden="1" x14ac:dyDescent="0.2">
      <c r="A275" s="6" t="s">
        <v>587</v>
      </c>
      <c r="B275" s="6" t="s">
        <v>588</v>
      </c>
      <c r="C275" s="4" t="b">
        <v>0</v>
      </c>
      <c r="D275" s="4" t="b">
        <v>0</v>
      </c>
      <c r="E275" s="4" t="b">
        <v>1</v>
      </c>
      <c r="F275" s="4"/>
      <c r="G275" s="4" t="b">
        <f t="shared" si="4"/>
        <v>0</v>
      </c>
      <c r="H275" s="4"/>
      <c r="I275" s="4"/>
      <c r="J275" s="4" t="s">
        <v>20</v>
      </c>
      <c r="K275"/>
    </row>
    <row r="276" spans="1:11" ht="16" hidden="1" x14ac:dyDescent="0.2">
      <c r="A276" s="6" t="s">
        <v>589</v>
      </c>
      <c r="B276" s="6" t="s">
        <v>590</v>
      </c>
      <c r="C276" s="4" t="b">
        <v>0</v>
      </c>
      <c r="D276" s="4" t="b">
        <v>0</v>
      </c>
      <c r="E276" s="4" t="b">
        <v>1</v>
      </c>
      <c r="F276" s="4"/>
      <c r="G276" s="4" t="b">
        <f t="shared" si="4"/>
        <v>0</v>
      </c>
      <c r="H276" s="4"/>
      <c r="I276" s="4"/>
      <c r="J276" s="4" t="s">
        <v>20</v>
      </c>
      <c r="K276"/>
    </row>
    <row r="277" spans="1:11" ht="16" hidden="1" x14ac:dyDescent="0.2">
      <c r="A277" s="6" t="s">
        <v>591</v>
      </c>
      <c r="B277" s="6" t="s">
        <v>592</v>
      </c>
      <c r="C277" s="4" t="b">
        <v>0</v>
      </c>
      <c r="D277" s="4" t="b">
        <v>0</v>
      </c>
      <c r="E277" s="4" t="b">
        <v>0</v>
      </c>
      <c r="F277" s="4"/>
      <c r="G277" s="4" t="b">
        <f t="shared" si="4"/>
        <v>0</v>
      </c>
      <c r="H277" s="4"/>
      <c r="I277" s="4"/>
      <c r="J277" s="4" t="s">
        <v>20</v>
      </c>
      <c r="K277"/>
    </row>
    <row r="278" spans="1:11" ht="16" hidden="1" x14ac:dyDescent="0.2">
      <c r="A278" s="6" t="s">
        <v>593</v>
      </c>
      <c r="B278" s="6" t="s">
        <v>594</v>
      </c>
      <c r="C278" s="4" t="b">
        <v>0</v>
      </c>
      <c r="D278" s="4" t="b">
        <v>0</v>
      </c>
      <c r="E278" s="4" t="b">
        <v>0</v>
      </c>
      <c r="F278" s="4"/>
      <c r="G278" s="4" t="b">
        <f t="shared" si="4"/>
        <v>0</v>
      </c>
      <c r="H278" s="4"/>
      <c r="I278" s="4"/>
      <c r="J278" s="4" t="s">
        <v>20</v>
      </c>
      <c r="K278"/>
    </row>
    <row r="279" spans="1:11" ht="16" hidden="1" x14ac:dyDescent="0.2">
      <c r="A279" s="6" t="s">
        <v>595</v>
      </c>
      <c r="B279" s="6" t="s">
        <v>596</v>
      </c>
      <c r="C279" s="4" t="b">
        <v>0</v>
      </c>
      <c r="D279" s="4" t="b">
        <v>0</v>
      </c>
      <c r="E279" s="4" t="b">
        <v>1</v>
      </c>
      <c r="F279" s="4"/>
      <c r="G279" s="4" t="b">
        <f t="shared" si="4"/>
        <v>0</v>
      </c>
      <c r="H279" s="4"/>
      <c r="I279" s="4"/>
      <c r="J279" s="4" t="s">
        <v>20</v>
      </c>
      <c r="K279"/>
    </row>
    <row r="280" spans="1:11" ht="16" hidden="1" x14ac:dyDescent="0.2">
      <c r="A280" s="6" t="s">
        <v>597</v>
      </c>
      <c r="B280" s="6" t="s">
        <v>598</v>
      </c>
      <c r="C280" s="4" t="b">
        <v>0</v>
      </c>
      <c r="D280" s="4" t="b">
        <v>0</v>
      </c>
      <c r="E280" s="4" t="b">
        <v>0</v>
      </c>
      <c r="F280" s="4"/>
      <c r="G280" s="4" t="b">
        <f t="shared" si="4"/>
        <v>0</v>
      </c>
      <c r="H280" s="4"/>
      <c r="I280" s="4"/>
      <c r="J280" s="4" t="s">
        <v>20</v>
      </c>
      <c r="K280"/>
    </row>
    <row r="281" spans="1:11" ht="16" hidden="1" x14ac:dyDescent="0.2">
      <c r="A281" s="6" t="s">
        <v>599</v>
      </c>
      <c r="B281" s="6" t="s">
        <v>600</v>
      </c>
      <c r="C281" s="4" t="b">
        <v>0</v>
      </c>
      <c r="D281" s="4" t="b">
        <v>0</v>
      </c>
      <c r="E281" s="4" t="b">
        <v>0</v>
      </c>
      <c r="F281" s="4"/>
      <c r="G281" s="4" t="b">
        <f t="shared" si="4"/>
        <v>0</v>
      </c>
      <c r="H281" s="4"/>
      <c r="I281" s="4"/>
      <c r="J281" s="4" t="s">
        <v>20</v>
      </c>
      <c r="K281"/>
    </row>
    <row r="282" spans="1:11" ht="64" x14ac:dyDescent="0.2">
      <c r="A282" s="6" t="s">
        <v>601</v>
      </c>
      <c r="B282" s="6" t="s">
        <v>602</v>
      </c>
      <c r="C282" s="4" t="b">
        <v>1</v>
      </c>
      <c r="D282" s="4" t="b">
        <v>0</v>
      </c>
      <c r="E282" s="4" t="b">
        <v>1</v>
      </c>
      <c r="F282" s="4" t="s">
        <v>12</v>
      </c>
      <c r="G282" s="4" t="b">
        <f t="shared" si="4"/>
        <v>1</v>
      </c>
      <c r="H282" s="4" t="s">
        <v>2939</v>
      </c>
      <c r="I282" s="4"/>
      <c r="J282" s="4" t="s">
        <v>20</v>
      </c>
    </row>
    <row r="283" spans="1:11" ht="16" hidden="1" x14ac:dyDescent="0.2">
      <c r="A283" s="6" t="s">
        <v>603</v>
      </c>
      <c r="B283" s="6" t="s">
        <v>604</v>
      </c>
      <c r="C283" s="4" t="b">
        <v>0</v>
      </c>
      <c r="D283" s="4" t="b">
        <v>0</v>
      </c>
      <c r="E283" s="4" t="b">
        <v>1</v>
      </c>
      <c r="F283" s="4" t="s">
        <v>12</v>
      </c>
      <c r="G283" s="4" t="b">
        <f t="shared" si="4"/>
        <v>1</v>
      </c>
      <c r="H283" s="4"/>
      <c r="I283" s="4"/>
      <c r="J283" s="4" t="s">
        <v>20</v>
      </c>
    </row>
    <row r="284" spans="1:11" ht="16" hidden="1" x14ac:dyDescent="0.2">
      <c r="A284" s="6" t="s">
        <v>605</v>
      </c>
      <c r="B284" s="6" t="s">
        <v>606</v>
      </c>
      <c r="C284" s="4" t="b">
        <v>0</v>
      </c>
      <c r="D284" s="4" t="b">
        <v>0</v>
      </c>
      <c r="E284" s="4" t="b">
        <v>1</v>
      </c>
      <c r="F284" s="4"/>
      <c r="G284" s="4" t="b">
        <f t="shared" si="4"/>
        <v>0</v>
      </c>
      <c r="H284" s="4"/>
      <c r="I284" s="4"/>
      <c r="J284" s="4" t="s">
        <v>20</v>
      </c>
      <c r="K284"/>
    </row>
    <row r="285" spans="1:11" ht="16" x14ac:dyDescent="0.2">
      <c r="A285" s="6" t="s">
        <v>607</v>
      </c>
      <c r="B285" s="6" t="s">
        <v>608</v>
      </c>
      <c r="C285" s="4" t="b">
        <v>1</v>
      </c>
      <c r="D285" s="4" t="b">
        <v>0</v>
      </c>
      <c r="E285" s="4" t="b">
        <v>1</v>
      </c>
      <c r="F285" s="4" t="s">
        <v>12</v>
      </c>
      <c r="G285" s="4" t="b">
        <f t="shared" si="4"/>
        <v>1</v>
      </c>
      <c r="H285" s="4" t="s">
        <v>2940</v>
      </c>
      <c r="I285" s="4"/>
      <c r="J285" s="4" t="s">
        <v>20</v>
      </c>
    </row>
    <row r="286" spans="1:11" ht="80" x14ac:dyDescent="0.2">
      <c r="A286" s="6" t="s">
        <v>609</v>
      </c>
      <c r="B286" s="6" t="s">
        <v>610</v>
      </c>
      <c r="C286" s="4" t="b">
        <v>1</v>
      </c>
      <c r="D286" s="4" t="b">
        <v>1</v>
      </c>
      <c r="E286" s="4" t="b">
        <v>1</v>
      </c>
      <c r="F286" s="4" t="s">
        <v>12</v>
      </c>
      <c r="G286" s="4" t="b">
        <f t="shared" si="4"/>
        <v>1</v>
      </c>
      <c r="H286" s="4" t="s">
        <v>2942</v>
      </c>
      <c r="I286" s="4"/>
      <c r="J286" s="4" t="s">
        <v>20</v>
      </c>
    </row>
    <row r="287" spans="1:11" ht="16" hidden="1" x14ac:dyDescent="0.2">
      <c r="A287" s="6" t="s">
        <v>611</v>
      </c>
      <c r="B287" s="6" t="s">
        <v>612</v>
      </c>
      <c r="C287" s="4" t="b">
        <v>0</v>
      </c>
      <c r="D287" s="4" t="b">
        <v>0</v>
      </c>
      <c r="E287" s="4" t="b">
        <v>0</v>
      </c>
      <c r="F287" s="4"/>
      <c r="G287" s="4" t="b">
        <f t="shared" si="4"/>
        <v>0</v>
      </c>
      <c r="H287" s="4"/>
      <c r="I287" s="4"/>
      <c r="J287" s="4" t="s">
        <v>20</v>
      </c>
      <c r="K287"/>
    </row>
    <row r="288" spans="1:11" ht="32" hidden="1" x14ac:dyDescent="0.2">
      <c r="A288" s="6" t="s">
        <v>613</v>
      </c>
      <c r="B288" s="6" t="s">
        <v>614</v>
      </c>
      <c r="C288" s="4" t="b">
        <v>0</v>
      </c>
      <c r="D288" s="4" t="b">
        <v>0</v>
      </c>
      <c r="E288" s="4" t="b">
        <v>1</v>
      </c>
      <c r="F288" s="4" t="s">
        <v>12</v>
      </c>
      <c r="G288" s="4" t="b">
        <f t="shared" si="4"/>
        <v>1</v>
      </c>
      <c r="H288" s="4" t="s">
        <v>2943</v>
      </c>
      <c r="I288" s="4"/>
      <c r="J288" s="4" t="s">
        <v>20</v>
      </c>
    </row>
    <row r="289" spans="1:11" ht="32" x14ac:dyDescent="0.2">
      <c r="A289" s="6" t="s">
        <v>615</v>
      </c>
      <c r="B289" s="6" t="s">
        <v>616</v>
      </c>
      <c r="C289" s="4" t="b">
        <v>1</v>
      </c>
      <c r="D289" s="4" t="b">
        <v>0</v>
      </c>
      <c r="E289" s="4" t="b">
        <v>1</v>
      </c>
      <c r="F289" s="4" t="s">
        <v>12</v>
      </c>
      <c r="G289" s="4" t="b">
        <f t="shared" si="4"/>
        <v>1</v>
      </c>
      <c r="H289" s="4" t="s">
        <v>2944</v>
      </c>
      <c r="I289" s="4"/>
      <c r="J289" s="4" t="s">
        <v>20</v>
      </c>
    </row>
    <row r="290" spans="1:11" ht="16" hidden="1" x14ac:dyDescent="0.2">
      <c r="A290" s="6" t="s">
        <v>617</v>
      </c>
      <c r="B290" s="6" t="s">
        <v>618</v>
      </c>
      <c r="C290" s="4" t="b">
        <v>0</v>
      </c>
      <c r="D290" s="4" t="b">
        <v>0</v>
      </c>
      <c r="E290" s="4" t="b">
        <v>0</v>
      </c>
      <c r="F290" s="4"/>
      <c r="G290" s="4" t="b">
        <f t="shared" si="4"/>
        <v>0</v>
      </c>
      <c r="H290" s="4"/>
      <c r="I290" s="4"/>
      <c r="J290" s="4" t="s">
        <v>20</v>
      </c>
      <c r="K290"/>
    </row>
    <row r="291" spans="1:11" ht="16" hidden="1" x14ac:dyDescent="0.2">
      <c r="A291" s="6" t="s">
        <v>619</v>
      </c>
      <c r="B291" s="6" t="s">
        <v>620</v>
      </c>
      <c r="C291" s="4" t="b">
        <v>0</v>
      </c>
      <c r="D291" s="4" t="b">
        <v>0</v>
      </c>
      <c r="E291" s="4" t="b">
        <v>0</v>
      </c>
      <c r="F291" s="4"/>
      <c r="G291" s="4" t="b">
        <f t="shared" si="4"/>
        <v>0</v>
      </c>
      <c r="H291" s="4"/>
      <c r="I291" s="4"/>
      <c r="J291" s="4" t="s">
        <v>621</v>
      </c>
      <c r="K291"/>
    </row>
    <row r="292" spans="1:11" ht="16" hidden="1" x14ac:dyDescent="0.2">
      <c r="A292" s="6" t="s">
        <v>622</v>
      </c>
      <c r="B292" s="6" t="s">
        <v>623</v>
      </c>
      <c r="C292" s="4" t="b">
        <v>0</v>
      </c>
      <c r="D292" s="4" t="b">
        <v>0</v>
      </c>
      <c r="E292" s="4" t="b">
        <v>0</v>
      </c>
      <c r="F292" s="4"/>
      <c r="G292" s="4" t="b">
        <f t="shared" si="4"/>
        <v>0</v>
      </c>
      <c r="H292" s="4"/>
      <c r="I292" s="4"/>
      <c r="J292" s="4" t="s">
        <v>621</v>
      </c>
      <c r="K292"/>
    </row>
    <row r="293" spans="1:11" ht="16" hidden="1" x14ac:dyDescent="0.2">
      <c r="A293" s="6" t="s">
        <v>624</v>
      </c>
      <c r="B293" s="6" t="s">
        <v>625</v>
      </c>
      <c r="C293" s="4" t="b">
        <v>0</v>
      </c>
      <c r="D293" s="4" t="b">
        <v>0</v>
      </c>
      <c r="E293" s="4" t="b">
        <v>0</v>
      </c>
      <c r="F293" s="4" t="s">
        <v>12</v>
      </c>
      <c r="G293" s="4" t="b">
        <f t="shared" si="4"/>
        <v>1</v>
      </c>
      <c r="H293" s="4"/>
      <c r="I293" s="4"/>
      <c r="J293" s="4" t="s">
        <v>621</v>
      </c>
      <c r="K293"/>
    </row>
    <row r="294" spans="1:11" ht="16" hidden="1" x14ac:dyDescent="0.2">
      <c r="A294" s="6" t="s">
        <v>626</v>
      </c>
      <c r="B294" s="6" t="s">
        <v>627</v>
      </c>
      <c r="C294" s="4" t="b">
        <v>0</v>
      </c>
      <c r="D294" s="4" t="b">
        <v>0</v>
      </c>
      <c r="E294" s="4" t="b">
        <v>0</v>
      </c>
      <c r="F294" s="4"/>
      <c r="G294" s="4" t="b">
        <f t="shared" si="4"/>
        <v>0</v>
      </c>
      <c r="H294" s="4"/>
      <c r="I294" s="4"/>
      <c r="J294" s="4" t="s">
        <v>621</v>
      </c>
      <c r="K294"/>
    </row>
    <row r="295" spans="1:11" ht="16" hidden="1" x14ac:dyDescent="0.2">
      <c r="A295" s="6" t="s">
        <v>628</v>
      </c>
      <c r="B295" s="6" t="s">
        <v>629</v>
      </c>
      <c r="C295" s="4" t="b">
        <v>0</v>
      </c>
      <c r="D295" s="4" t="b">
        <v>0</v>
      </c>
      <c r="E295" s="4" t="b">
        <v>0</v>
      </c>
      <c r="F295" s="4" t="s">
        <v>12</v>
      </c>
      <c r="G295" s="4" t="b">
        <f t="shared" si="4"/>
        <v>1</v>
      </c>
      <c r="H295" s="4"/>
      <c r="I295" s="4"/>
      <c r="J295" s="4" t="s">
        <v>621</v>
      </c>
    </row>
    <row r="296" spans="1:11" ht="16" hidden="1" x14ac:dyDescent="0.2">
      <c r="A296" s="6" t="s">
        <v>630</v>
      </c>
      <c r="B296" s="6" t="s">
        <v>631</v>
      </c>
      <c r="C296" s="4" t="b">
        <v>0</v>
      </c>
      <c r="D296" s="4" t="b">
        <v>0</v>
      </c>
      <c r="E296" s="4" t="b">
        <v>1</v>
      </c>
      <c r="F296" s="4"/>
      <c r="G296" s="4" t="b">
        <f t="shared" si="4"/>
        <v>0</v>
      </c>
      <c r="H296" s="4"/>
      <c r="I296" s="4"/>
      <c r="J296" s="4" t="s">
        <v>621</v>
      </c>
      <c r="K296"/>
    </row>
    <row r="297" spans="1:11" ht="16" hidden="1" x14ac:dyDescent="0.2">
      <c r="A297" s="6" t="s">
        <v>632</v>
      </c>
      <c r="B297" s="6" t="s">
        <v>633</v>
      </c>
      <c r="C297" s="4" t="b">
        <v>0</v>
      </c>
      <c r="D297" s="4" t="b">
        <v>0</v>
      </c>
      <c r="E297" s="4" t="b">
        <v>0</v>
      </c>
      <c r="F297" s="4"/>
      <c r="G297" s="4" t="b">
        <f t="shared" si="4"/>
        <v>0</v>
      </c>
      <c r="H297" s="4"/>
      <c r="I297" s="4"/>
      <c r="J297" s="4" t="s">
        <v>621</v>
      </c>
      <c r="K297"/>
    </row>
    <row r="298" spans="1:11" ht="16" x14ac:dyDescent="0.2">
      <c r="A298" s="6" t="s">
        <v>634</v>
      </c>
      <c r="B298" s="6" t="s">
        <v>635</v>
      </c>
      <c r="C298" s="4" t="b">
        <v>1</v>
      </c>
      <c r="D298" s="4" t="b">
        <v>0</v>
      </c>
      <c r="E298" s="4" t="b">
        <v>1</v>
      </c>
      <c r="F298" s="4" t="s">
        <v>12</v>
      </c>
      <c r="G298" s="4" t="b">
        <f t="shared" si="4"/>
        <v>1</v>
      </c>
      <c r="H298" s="4" t="s">
        <v>2946</v>
      </c>
      <c r="I298" s="4"/>
      <c r="J298" s="4" t="s">
        <v>621</v>
      </c>
    </row>
    <row r="299" spans="1:11" ht="16" x14ac:dyDescent="0.2">
      <c r="A299" s="6" t="s">
        <v>636</v>
      </c>
      <c r="B299" s="6" t="s">
        <v>637</v>
      </c>
      <c r="C299" s="4" t="b">
        <v>1</v>
      </c>
      <c r="D299" s="4" t="b">
        <v>1</v>
      </c>
      <c r="E299" s="4" t="b">
        <v>1</v>
      </c>
      <c r="F299" s="4" t="s">
        <v>12</v>
      </c>
      <c r="G299" s="4" t="b">
        <f t="shared" si="4"/>
        <v>1</v>
      </c>
      <c r="H299" s="4" t="s">
        <v>2947</v>
      </c>
      <c r="I299" s="4"/>
      <c r="J299" s="4" t="s">
        <v>621</v>
      </c>
    </row>
    <row r="300" spans="1:11" ht="16" hidden="1" x14ac:dyDescent="0.2">
      <c r="A300" s="6" t="s">
        <v>638</v>
      </c>
      <c r="B300" s="6" t="s">
        <v>639</v>
      </c>
      <c r="C300" s="4" t="b">
        <v>0</v>
      </c>
      <c r="D300" s="4" t="b">
        <v>0</v>
      </c>
      <c r="E300" s="4" t="b">
        <v>0</v>
      </c>
      <c r="F300" s="4"/>
      <c r="G300" s="4" t="b">
        <f t="shared" si="4"/>
        <v>0</v>
      </c>
      <c r="H300" s="4"/>
      <c r="I300" s="4"/>
      <c r="J300" s="4" t="s">
        <v>621</v>
      </c>
      <c r="K300"/>
    </row>
    <row r="301" spans="1:11" ht="16" hidden="1" x14ac:dyDescent="0.2">
      <c r="A301" s="6" t="s">
        <v>640</v>
      </c>
      <c r="B301" s="6" t="s">
        <v>641</v>
      </c>
      <c r="C301" s="4" t="b">
        <v>0</v>
      </c>
      <c r="D301" s="4" t="b">
        <v>0</v>
      </c>
      <c r="E301" s="4" t="b">
        <v>0</v>
      </c>
      <c r="F301" s="4"/>
      <c r="G301" s="4" t="b">
        <f t="shared" si="4"/>
        <v>0</v>
      </c>
      <c r="H301" s="4"/>
      <c r="I301" s="4"/>
      <c r="J301" s="4" t="s">
        <v>621</v>
      </c>
      <c r="K301"/>
    </row>
    <row r="302" spans="1:11" ht="32" x14ac:dyDescent="0.2">
      <c r="A302" s="6" t="s">
        <v>642</v>
      </c>
      <c r="B302" s="6" t="s">
        <v>643</v>
      </c>
      <c r="C302" s="4" t="b">
        <v>1</v>
      </c>
      <c r="D302" s="4" t="b">
        <v>0</v>
      </c>
      <c r="E302" s="4" t="b">
        <v>1</v>
      </c>
      <c r="F302" s="4" t="s">
        <v>12</v>
      </c>
      <c r="G302" s="4" t="b">
        <f t="shared" si="4"/>
        <v>1</v>
      </c>
      <c r="H302" s="4" t="s">
        <v>2948</v>
      </c>
      <c r="I302" s="4"/>
      <c r="J302" s="4" t="s">
        <v>621</v>
      </c>
    </row>
    <row r="303" spans="1:11" ht="16" hidden="1" x14ac:dyDescent="0.2">
      <c r="A303" s="6" t="s">
        <v>644</v>
      </c>
      <c r="B303" s="6" t="s">
        <v>645</v>
      </c>
      <c r="C303" s="4" t="b">
        <v>0</v>
      </c>
      <c r="D303" s="4" t="b">
        <v>0</v>
      </c>
      <c r="E303" s="4" t="b">
        <v>1</v>
      </c>
      <c r="F303" s="4"/>
      <c r="G303" s="4" t="b">
        <f t="shared" si="4"/>
        <v>0</v>
      </c>
      <c r="H303" s="4"/>
      <c r="I303" s="4"/>
      <c r="J303" s="4" t="s">
        <v>621</v>
      </c>
      <c r="K303"/>
    </row>
    <row r="304" spans="1:11" ht="16" hidden="1" x14ac:dyDescent="0.2">
      <c r="A304" s="6" t="s">
        <v>646</v>
      </c>
      <c r="B304" s="6" t="s">
        <v>647</v>
      </c>
      <c r="C304" s="4" t="b">
        <v>0</v>
      </c>
      <c r="D304" s="4" t="b">
        <v>0</v>
      </c>
      <c r="E304" s="4" t="b">
        <v>0</v>
      </c>
      <c r="F304" s="4"/>
      <c r="G304" s="4" t="b">
        <f t="shared" si="4"/>
        <v>0</v>
      </c>
      <c r="H304" s="4"/>
      <c r="I304" s="4"/>
      <c r="J304" s="4" t="s">
        <v>621</v>
      </c>
      <c r="K304"/>
    </row>
    <row r="305" spans="1:11" ht="16" hidden="1" x14ac:dyDescent="0.2">
      <c r="A305" s="6" t="s">
        <v>648</v>
      </c>
      <c r="B305" s="6" t="s">
        <v>649</v>
      </c>
      <c r="C305" s="4" t="b">
        <v>0</v>
      </c>
      <c r="D305" s="4" t="b">
        <v>0</v>
      </c>
      <c r="E305" s="4" t="b">
        <v>0</v>
      </c>
      <c r="F305" s="4"/>
      <c r="G305" s="4" t="b">
        <f t="shared" si="4"/>
        <v>0</v>
      </c>
      <c r="H305" s="4"/>
      <c r="I305" s="4"/>
      <c r="J305" s="4" t="s">
        <v>621</v>
      </c>
      <c r="K305"/>
    </row>
    <row r="306" spans="1:11" ht="48" x14ac:dyDescent="0.2">
      <c r="A306" s="6" t="s">
        <v>650</v>
      </c>
      <c r="B306" s="6" t="s">
        <v>651</v>
      </c>
      <c r="C306" s="4" t="b">
        <v>1</v>
      </c>
      <c r="D306" s="4" t="b">
        <v>1</v>
      </c>
      <c r="E306" s="4" t="b">
        <v>1</v>
      </c>
      <c r="F306" s="4" t="s">
        <v>12</v>
      </c>
      <c r="G306" s="4" t="b">
        <f t="shared" si="4"/>
        <v>1</v>
      </c>
      <c r="H306" s="4" t="s">
        <v>2949</v>
      </c>
      <c r="I306" s="4"/>
      <c r="J306" s="4" t="s">
        <v>621</v>
      </c>
    </row>
    <row r="307" spans="1:11" ht="16" hidden="1" x14ac:dyDescent="0.2">
      <c r="A307" s="6" t="s">
        <v>652</v>
      </c>
      <c r="B307" s="6" t="s">
        <v>653</v>
      </c>
      <c r="C307" s="4" t="b">
        <v>0</v>
      </c>
      <c r="D307" s="4" t="b">
        <v>0</v>
      </c>
      <c r="E307" s="4" t="b">
        <v>0</v>
      </c>
      <c r="F307" s="4"/>
      <c r="G307" s="4" t="b">
        <f t="shared" si="4"/>
        <v>0</v>
      </c>
      <c r="H307" s="4"/>
      <c r="I307" s="4"/>
      <c r="J307" s="4" t="s">
        <v>621</v>
      </c>
      <c r="K307"/>
    </row>
    <row r="308" spans="1:11" ht="16" hidden="1" x14ac:dyDescent="0.2">
      <c r="A308" s="6" t="s">
        <v>654</v>
      </c>
      <c r="B308" s="6" t="s">
        <v>655</v>
      </c>
      <c r="C308" s="4" t="b">
        <v>0</v>
      </c>
      <c r="D308" s="4" t="b">
        <v>0</v>
      </c>
      <c r="E308" s="4" t="b">
        <v>0</v>
      </c>
      <c r="F308" s="4"/>
      <c r="G308" s="4" t="b">
        <f t="shared" si="4"/>
        <v>0</v>
      </c>
      <c r="H308" s="4"/>
      <c r="I308" s="4"/>
      <c r="J308" s="4" t="s">
        <v>621</v>
      </c>
      <c r="K308"/>
    </row>
    <row r="309" spans="1:11" ht="48" x14ac:dyDescent="0.2">
      <c r="A309" s="6" t="s">
        <v>656</v>
      </c>
      <c r="B309" s="6" t="s">
        <v>657</v>
      </c>
      <c r="C309" s="4" t="b">
        <v>1</v>
      </c>
      <c r="D309" s="4" t="b">
        <v>0</v>
      </c>
      <c r="E309" s="4" t="b">
        <v>1</v>
      </c>
      <c r="F309" s="4" t="s">
        <v>12</v>
      </c>
      <c r="G309" s="4" t="b">
        <f t="shared" si="4"/>
        <v>1</v>
      </c>
      <c r="H309" s="4" t="s">
        <v>3143</v>
      </c>
      <c r="I309" s="4"/>
      <c r="J309" s="4" t="s">
        <v>621</v>
      </c>
    </row>
    <row r="310" spans="1:11" ht="16" x14ac:dyDescent="0.2">
      <c r="A310" s="6" t="s">
        <v>658</v>
      </c>
      <c r="B310" s="6" t="s">
        <v>659</v>
      </c>
      <c r="C310" s="4" t="b">
        <v>1</v>
      </c>
      <c r="D310" s="4" t="b">
        <v>0</v>
      </c>
      <c r="E310" s="4" t="b">
        <v>1</v>
      </c>
      <c r="F310" s="4" t="s">
        <v>12</v>
      </c>
      <c r="G310" s="4" t="b">
        <f t="shared" si="4"/>
        <v>1</v>
      </c>
      <c r="H310" s="4" t="s">
        <v>3142</v>
      </c>
      <c r="I310" s="4"/>
      <c r="J310" s="4" t="s">
        <v>621</v>
      </c>
    </row>
    <row r="311" spans="1:11" ht="16" hidden="1" x14ac:dyDescent="0.2">
      <c r="A311" s="6" t="s">
        <v>660</v>
      </c>
      <c r="B311" s="6" t="s">
        <v>661</v>
      </c>
      <c r="C311" s="4" t="b">
        <v>0</v>
      </c>
      <c r="D311" s="4" t="b">
        <v>0</v>
      </c>
      <c r="E311" s="4" t="b">
        <v>0</v>
      </c>
      <c r="F311" s="4"/>
      <c r="G311" s="4" t="b">
        <f t="shared" si="4"/>
        <v>0</v>
      </c>
      <c r="H311" s="4"/>
      <c r="I311" s="4"/>
      <c r="J311" s="4" t="s">
        <v>621</v>
      </c>
      <c r="K311"/>
    </row>
    <row r="312" spans="1:11" ht="16" hidden="1" x14ac:dyDescent="0.2">
      <c r="A312" s="6" t="s">
        <v>662</v>
      </c>
      <c r="B312" s="6" t="s">
        <v>663</v>
      </c>
      <c r="C312" s="4" t="b">
        <v>0</v>
      </c>
      <c r="D312" s="4" t="b">
        <v>0</v>
      </c>
      <c r="E312" s="4" t="b">
        <v>1</v>
      </c>
      <c r="F312" s="4"/>
      <c r="G312" s="4" t="b">
        <f t="shared" si="4"/>
        <v>0</v>
      </c>
      <c r="H312" s="4"/>
      <c r="I312" s="4"/>
      <c r="J312" s="4" t="s">
        <v>621</v>
      </c>
      <c r="K312"/>
    </row>
    <row r="313" spans="1:11" ht="16" hidden="1" x14ac:dyDescent="0.2">
      <c r="A313" s="6" t="s">
        <v>664</v>
      </c>
      <c r="B313" s="6" t="s">
        <v>665</v>
      </c>
      <c r="C313" s="4" t="b">
        <v>0</v>
      </c>
      <c r="D313" s="4" t="b">
        <v>0</v>
      </c>
      <c r="E313" s="4" t="b">
        <v>0</v>
      </c>
      <c r="F313" s="4"/>
      <c r="G313" s="4" t="b">
        <f t="shared" si="4"/>
        <v>0</v>
      </c>
      <c r="H313" s="4"/>
      <c r="I313" s="4"/>
      <c r="J313" s="4" t="s">
        <v>621</v>
      </c>
      <c r="K313"/>
    </row>
    <row r="314" spans="1:11" ht="16" hidden="1" x14ac:dyDescent="0.2">
      <c r="A314" s="6" t="s">
        <v>666</v>
      </c>
      <c r="B314" s="6" t="s">
        <v>667</v>
      </c>
      <c r="C314" s="4" t="b">
        <v>0</v>
      </c>
      <c r="D314" s="4" t="b">
        <v>0</v>
      </c>
      <c r="E314" s="4" t="b">
        <v>0</v>
      </c>
      <c r="F314" s="4"/>
      <c r="G314" s="4" t="b">
        <f t="shared" si="4"/>
        <v>0</v>
      </c>
      <c r="H314" s="4"/>
      <c r="I314" s="4"/>
      <c r="J314" s="4" t="s">
        <v>621</v>
      </c>
      <c r="K314"/>
    </row>
    <row r="315" spans="1:11" ht="16" hidden="1" x14ac:dyDescent="0.2">
      <c r="A315" s="6" t="s">
        <v>668</v>
      </c>
      <c r="B315" s="6" t="s">
        <v>669</v>
      </c>
      <c r="C315" s="4" t="b">
        <v>0</v>
      </c>
      <c r="D315" s="4" t="b">
        <v>0</v>
      </c>
      <c r="E315" s="4" t="b">
        <v>0</v>
      </c>
      <c r="F315" s="4"/>
      <c r="G315" s="4" t="b">
        <f t="shared" si="4"/>
        <v>0</v>
      </c>
      <c r="H315" s="4"/>
      <c r="I315" s="4"/>
      <c r="J315" s="4" t="s">
        <v>621</v>
      </c>
      <c r="K315"/>
    </row>
    <row r="316" spans="1:11" ht="16" hidden="1" x14ac:dyDescent="0.2">
      <c r="A316" s="6" t="s">
        <v>670</v>
      </c>
      <c r="B316" s="6" t="s">
        <v>671</v>
      </c>
      <c r="C316" s="4" t="b">
        <v>0</v>
      </c>
      <c r="D316" s="4" t="b">
        <v>0</v>
      </c>
      <c r="E316" s="4" t="b">
        <v>0</v>
      </c>
      <c r="F316" s="4"/>
      <c r="G316" s="4" t="b">
        <f t="shared" si="4"/>
        <v>0</v>
      </c>
      <c r="H316" s="4"/>
      <c r="I316" s="4"/>
      <c r="J316" s="4" t="s">
        <v>621</v>
      </c>
      <c r="K316"/>
    </row>
    <row r="317" spans="1:11" ht="176" x14ac:dyDescent="0.2">
      <c r="A317" s="6" t="s">
        <v>672</v>
      </c>
      <c r="B317" s="6" t="s">
        <v>673</v>
      </c>
      <c r="C317" s="4" t="b">
        <v>1</v>
      </c>
      <c r="D317" s="4" t="b">
        <v>0</v>
      </c>
      <c r="E317" s="4" t="b">
        <v>1</v>
      </c>
      <c r="F317" s="4" t="s">
        <v>12</v>
      </c>
      <c r="G317" s="4" t="b">
        <f t="shared" si="4"/>
        <v>1</v>
      </c>
      <c r="H317" s="4" t="s">
        <v>3141</v>
      </c>
      <c r="I317" s="4"/>
      <c r="J317" s="4" t="s">
        <v>621</v>
      </c>
      <c r="K317" s="1" t="s">
        <v>2998</v>
      </c>
    </row>
    <row r="318" spans="1:11" ht="48" x14ac:dyDescent="0.2">
      <c r="A318" s="6" t="s">
        <v>674</v>
      </c>
      <c r="B318" s="6" t="s">
        <v>675</v>
      </c>
      <c r="C318" s="4" t="b">
        <v>1</v>
      </c>
      <c r="D318" s="4" t="b">
        <v>0</v>
      </c>
      <c r="E318" s="4" t="b">
        <v>1</v>
      </c>
      <c r="F318" s="4" t="s">
        <v>12</v>
      </c>
      <c r="G318" s="4" t="b">
        <f t="shared" si="4"/>
        <v>1</v>
      </c>
      <c r="H318" s="4" t="s">
        <v>3140</v>
      </c>
      <c r="I318" s="4"/>
      <c r="J318" s="4" t="s">
        <v>621</v>
      </c>
    </row>
    <row r="319" spans="1:11" ht="16" hidden="1" x14ac:dyDescent="0.2">
      <c r="A319" s="6" t="s">
        <v>676</v>
      </c>
      <c r="B319" s="6" t="s">
        <v>677</v>
      </c>
      <c r="C319" s="4" t="b">
        <v>0</v>
      </c>
      <c r="D319" s="4" t="b">
        <v>0</v>
      </c>
      <c r="E319" s="4" t="b">
        <v>0</v>
      </c>
      <c r="F319" s="4"/>
      <c r="G319" s="4" t="b">
        <f t="shared" si="4"/>
        <v>0</v>
      </c>
      <c r="H319" s="4"/>
      <c r="I319" s="4"/>
      <c r="J319" s="4" t="s">
        <v>621</v>
      </c>
      <c r="K319"/>
    </row>
    <row r="320" spans="1:11" ht="16" hidden="1" x14ac:dyDescent="0.2">
      <c r="A320" s="6" t="s">
        <v>678</v>
      </c>
      <c r="B320" s="6" t="s">
        <v>679</v>
      </c>
      <c r="C320" s="4" t="b">
        <v>0</v>
      </c>
      <c r="D320" s="4" t="b">
        <v>0</v>
      </c>
      <c r="E320" s="4" t="b">
        <v>1</v>
      </c>
      <c r="F320" s="4"/>
      <c r="G320" s="4" t="b">
        <f t="shared" si="4"/>
        <v>0</v>
      </c>
      <c r="H320" s="4"/>
      <c r="I320" s="4"/>
      <c r="J320" s="4" t="s">
        <v>621</v>
      </c>
      <c r="K320"/>
    </row>
    <row r="321" spans="1:11" ht="80" x14ac:dyDescent="0.2">
      <c r="A321" s="6" t="s">
        <v>680</v>
      </c>
      <c r="B321" s="6" t="s">
        <v>681</v>
      </c>
      <c r="C321" s="4" t="b">
        <v>1</v>
      </c>
      <c r="D321" s="4" t="b">
        <v>0</v>
      </c>
      <c r="E321" s="4" t="b">
        <v>1</v>
      </c>
      <c r="F321" s="4" t="s">
        <v>12</v>
      </c>
      <c r="G321" s="4" t="b">
        <f t="shared" si="4"/>
        <v>1</v>
      </c>
      <c r="H321" s="4" t="s">
        <v>3139</v>
      </c>
      <c r="I321" s="4"/>
      <c r="J321" s="4" t="s">
        <v>621</v>
      </c>
    </row>
    <row r="322" spans="1:11" ht="64" x14ac:dyDescent="0.2">
      <c r="A322" s="6" t="s">
        <v>682</v>
      </c>
      <c r="B322" s="6" t="s">
        <v>683</v>
      </c>
      <c r="C322" s="4" t="b">
        <v>1</v>
      </c>
      <c r="D322" s="4" t="b">
        <v>0</v>
      </c>
      <c r="E322" s="4" t="b">
        <v>1</v>
      </c>
      <c r="F322" s="4" t="s">
        <v>12</v>
      </c>
      <c r="G322" s="4" t="b">
        <f t="shared" ref="G322:G385" si="5">IF(F322="✔", TRUE, FALSE)</f>
        <v>1</v>
      </c>
      <c r="H322" s="4" t="s">
        <v>3138</v>
      </c>
      <c r="I322" s="4"/>
      <c r="J322" s="4" t="s">
        <v>621</v>
      </c>
    </row>
    <row r="323" spans="1:11" ht="16" hidden="1" x14ac:dyDescent="0.2">
      <c r="A323" s="6" t="s">
        <v>684</v>
      </c>
      <c r="B323" s="6" t="s">
        <v>685</v>
      </c>
      <c r="C323" s="4" t="b">
        <v>0</v>
      </c>
      <c r="D323" s="4" t="b">
        <v>0</v>
      </c>
      <c r="E323" s="4" t="b">
        <v>1</v>
      </c>
      <c r="F323" s="4"/>
      <c r="G323" s="4" t="b">
        <f t="shared" si="5"/>
        <v>0</v>
      </c>
      <c r="H323" s="4"/>
      <c r="I323" s="4"/>
      <c r="J323" s="4" t="s">
        <v>621</v>
      </c>
      <c r="K323"/>
    </row>
    <row r="324" spans="1:11" ht="16" hidden="1" x14ac:dyDescent="0.2">
      <c r="A324" s="6" t="s">
        <v>686</v>
      </c>
      <c r="B324" s="6" t="s">
        <v>687</v>
      </c>
      <c r="C324" s="4" t="b">
        <v>0</v>
      </c>
      <c r="D324" s="4" t="b">
        <v>0</v>
      </c>
      <c r="E324" s="4" t="b">
        <v>0</v>
      </c>
      <c r="F324" s="4"/>
      <c r="G324" s="4" t="b">
        <f t="shared" si="5"/>
        <v>0</v>
      </c>
      <c r="H324" s="4"/>
      <c r="I324" s="4"/>
      <c r="J324" s="4" t="s">
        <v>621</v>
      </c>
      <c r="K324"/>
    </row>
    <row r="325" spans="1:11" ht="16" hidden="1" x14ac:dyDescent="0.2">
      <c r="A325" s="6" t="s">
        <v>688</v>
      </c>
      <c r="B325" s="6" t="s">
        <v>689</v>
      </c>
      <c r="C325" s="4" t="b">
        <v>0</v>
      </c>
      <c r="D325" s="4" t="b">
        <v>0</v>
      </c>
      <c r="E325" s="4" t="b">
        <v>0</v>
      </c>
      <c r="F325" s="4"/>
      <c r="G325" s="4" t="b">
        <f t="shared" si="5"/>
        <v>0</v>
      </c>
      <c r="H325" s="4"/>
      <c r="I325" s="4"/>
      <c r="J325" s="4" t="s">
        <v>621</v>
      </c>
      <c r="K325"/>
    </row>
    <row r="326" spans="1:11" ht="80" x14ac:dyDescent="0.2">
      <c r="A326" s="6" t="s">
        <v>690</v>
      </c>
      <c r="B326" s="6" t="s">
        <v>691</v>
      </c>
      <c r="C326" s="4" t="b">
        <v>1</v>
      </c>
      <c r="D326" s="4" t="b">
        <v>0</v>
      </c>
      <c r="E326" s="4" t="b">
        <v>1</v>
      </c>
      <c r="F326" s="4" t="s">
        <v>12</v>
      </c>
      <c r="G326" s="4" t="b">
        <f t="shared" si="5"/>
        <v>1</v>
      </c>
      <c r="H326" s="4" t="s">
        <v>3137</v>
      </c>
      <c r="I326" s="4"/>
      <c r="J326" s="4" t="s">
        <v>621</v>
      </c>
    </row>
    <row r="327" spans="1:11" ht="32" hidden="1" x14ac:dyDescent="0.2">
      <c r="A327" s="6" t="s">
        <v>692</v>
      </c>
      <c r="B327" s="6" t="s">
        <v>693</v>
      </c>
      <c r="C327" s="4" t="b">
        <v>0</v>
      </c>
      <c r="D327" s="4" t="b">
        <v>0</v>
      </c>
      <c r="E327" s="4" t="b">
        <v>1</v>
      </c>
      <c r="F327" s="4" t="s">
        <v>12</v>
      </c>
      <c r="G327" s="4" t="b">
        <f t="shared" si="5"/>
        <v>1</v>
      </c>
      <c r="H327" s="4" t="s">
        <v>3136</v>
      </c>
      <c r="I327" s="4"/>
      <c r="J327" s="4" t="s">
        <v>621</v>
      </c>
    </row>
    <row r="328" spans="1:11" ht="16" x14ac:dyDescent="0.2">
      <c r="A328" s="6" t="s">
        <v>694</v>
      </c>
      <c r="B328" s="6" t="s">
        <v>695</v>
      </c>
      <c r="C328" s="4" t="b">
        <v>1</v>
      </c>
      <c r="D328" s="4" t="b">
        <v>0</v>
      </c>
      <c r="E328" s="4" t="b">
        <v>1</v>
      </c>
      <c r="F328" s="4" t="s">
        <v>12</v>
      </c>
      <c r="G328" s="4" t="b">
        <f t="shared" si="5"/>
        <v>1</v>
      </c>
      <c r="H328" s="4" t="s">
        <v>3135</v>
      </c>
      <c r="I328" s="4"/>
      <c r="J328" s="4" t="s">
        <v>621</v>
      </c>
    </row>
    <row r="329" spans="1:11" ht="16" hidden="1" x14ac:dyDescent="0.2">
      <c r="A329" s="6" t="s">
        <v>696</v>
      </c>
      <c r="B329" s="6" t="s">
        <v>697</v>
      </c>
      <c r="C329" s="4" t="b">
        <v>0</v>
      </c>
      <c r="D329" s="4" t="b">
        <v>0</v>
      </c>
      <c r="E329" s="4" t="b">
        <v>0</v>
      </c>
      <c r="F329" s="4"/>
      <c r="G329" s="4" t="b">
        <f t="shared" si="5"/>
        <v>0</v>
      </c>
      <c r="H329" s="4"/>
      <c r="I329" s="4"/>
      <c r="J329" s="4" t="s">
        <v>621</v>
      </c>
      <c r="K329"/>
    </row>
    <row r="330" spans="1:11" ht="32" x14ac:dyDescent="0.2">
      <c r="A330" s="6" t="s">
        <v>698</v>
      </c>
      <c r="B330" s="6" t="s">
        <v>699</v>
      </c>
      <c r="C330" s="4" t="b">
        <v>1</v>
      </c>
      <c r="D330" s="4" t="b">
        <v>0</v>
      </c>
      <c r="E330" s="4" t="b">
        <v>1</v>
      </c>
      <c r="F330" s="4" t="s">
        <v>12</v>
      </c>
      <c r="G330" s="4" t="b">
        <f t="shared" si="5"/>
        <v>1</v>
      </c>
      <c r="H330" s="4" t="s">
        <v>3134</v>
      </c>
      <c r="I330" s="4"/>
      <c r="J330" s="4" t="s">
        <v>621</v>
      </c>
    </row>
    <row r="331" spans="1:11" ht="16" hidden="1" x14ac:dyDescent="0.2">
      <c r="A331" s="6" t="s">
        <v>700</v>
      </c>
      <c r="B331" s="6" t="s">
        <v>701</v>
      </c>
      <c r="C331" s="4" t="b">
        <v>0</v>
      </c>
      <c r="D331" s="4" t="b">
        <v>0</v>
      </c>
      <c r="E331" s="4" t="b">
        <v>0</v>
      </c>
      <c r="F331" s="4"/>
      <c r="G331" s="4" t="b">
        <f t="shared" si="5"/>
        <v>0</v>
      </c>
      <c r="H331" s="4"/>
      <c r="I331" s="4"/>
      <c r="J331" s="4" t="s">
        <v>621</v>
      </c>
      <c r="K331"/>
    </row>
    <row r="332" spans="1:11" ht="176" x14ac:dyDescent="0.2">
      <c r="A332" s="6" t="s">
        <v>702</v>
      </c>
      <c r="B332" s="6" t="s">
        <v>703</v>
      </c>
      <c r="C332" s="4" t="b">
        <v>1</v>
      </c>
      <c r="D332" s="4" t="b">
        <v>1</v>
      </c>
      <c r="E332" s="4" t="b">
        <v>1</v>
      </c>
      <c r="F332" s="4" t="s">
        <v>12</v>
      </c>
      <c r="G332" s="4" t="b">
        <f t="shared" si="5"/>
        <v>1</v>
      </c>
      <c r="H332" s="4" t="s">
        <v>3133</v>
      </c>
      <c r="I332" s="4"/>
      <c r="J332" s="4" t="s">
        <v>621</v>
      </c>
    </row>
    <row r="333" spans="1:11" ht="16" hidden="1" x14ac:dyDescent="0.2">
      <c r="A333" s="6" t="s">
        <v>704</v>
      </c>
      <c r="B333" s="6" t="s">
        <v>705</v>
      </c>
      <c r="C333" s="4" t="b">
        <v>0</v>
      </c>
      <c r="D333" s="4" t="b">
        <v>0</v>
      </c>
      <c r="E333" s="4" t="b">
        <v>0</v>
      </c>
      <c r="F333" s="4"/>
      <c r="G333" s="4" t="b">
        <f t="shared" si="5"/>
        <v>0</v>
      </c>
      <c r="H333" s="4"/>
      <c r="I333" s="4"/>
      <c r="J333" s="4" t="s">
        <v>621</v>
      </c>
      <c r="K333"/>
    </row>
    <row r="334" spans="1:11" ht="16" hidden="1" x14ac:dyDescent="0.2">
      <c r="A334" s="6" t="s">
        <v>706</v>
      </c>
      <c r="B334" s="6" t="s">
        <v>707</v>
      </c>
      <c r="C334" s="4" t="b">
        <v>0</v>
      </c>
      <c r="D334" s="4" t="b">
        <v>0</v>
      </c>
      <c r="E334" s="4" t="b">
        <v>1</v>
      </c>
      <c r="F334" s="4"/>
      <c r="G334" s="4" t="b">
        <f t="shared" si="5"/>
        <v>0</v>
      </c>
      <c r="H334" s="4"/>
      <c r="I334" s="4"/>
      <c r="J334" s="4" t="s">
        <v>621</v>
      </c>
      <c r="K334"/>
    </row>
    <row r="335" spans="1:11" ht="16" hidden="1" x14ac:dyDescent="0.2">
      <c r="A335" s="6" t="s">
        <v>708</v>
      </c>
      <c r="B335" s="6" t="s">
        <v>709</v>
      </c>
      <c r="C335" s="4" t="b">
        <v>0</v>
      </c>
      <c r="D335" s="4" t="b">
        <v>0</v>
      </c>
      <c r="E335" s="4" t="b">
        <v>0</v>
      </c>
      <c r="F335" s="4"/>
      <c r="G335" s="4" t="b">
        <f t="shared" si="5"/>
        <v>0</v>
      </c>
      <c r="H335" s="4"/>
      <c r="I335" s="4"/>
      <c r="J335" s="4" t="s">
        <v>621</v>
      </c>
      <c r="K335"/>
    </row>
    <row r="336" spans="1:11" ht="32" x14ac:dyDescent="0.2">
      <c r="A336" s="6" t="s">
        <v>710</v>
      </c>
      <c r="B336" s="6" t="s">
        <v>711</v>
      </c>
      <c r="C336" s="4" t="b">
        <v>1</v>
      </c>
      <c r="D336" s="4" t="b">
        <v>0</v>
      </c>
      <c r="E336" s="4" t="b">
        <v>1</v>
      </c>
      <c r="F336" s="4" t="s">
        <v>12</v>
      </c>
      <c r="G336" s="4" t="b">
        <f t="shared" si="5"/>
        <v>1</v>
      </c>
      <c r="H336" s="4" t="s">
        <v>3132</v>
      </c>
      <c r="I336" s="4"/>
      <c r="J336" s="4" t="s">
        <v>621</v>
      </c>
    </row>
    <row r="337" spans="1:11" ht="16" hidden="1" x14ac:dyDescent="0.2">
      <c r="A337" s="6" t="s">
        <v>712</v>
      </c>
      <c r="B337" s="6" t="s">
        <v>713</v>
      </c>
      <c r="C337" s="4" t="b">
        <v>0</v>
      </c>
      <c r="D337" s="4" t="b">
        <v>0</v>
      </c>
      <c r="E337" s="4" t="b">
        <v>1</v>
      </c>
      <c r="F337" s="4"/>
      <c r="G337" s="4" t="b">
        <f t="shared" si="5"/>
        <v>0</v>
      </c>
      <c r="H337" s="4"/>
      <c r="I337" s="4"/>
      <c r="J337" s="4" t="s">
        <v>621</v>
      </c>
      <c r="K337"/>
    </row>
    <row r="338" spans="1:11" ht="16" hidden="1" x14ac:dyDescent="0.2">
      <c r="A338" s="6" t="s">
        <v>714</v>
      </c>
      <c r="B338" s="6" t="s">
        <v>715</v>
      </c>
      <c r="C338" s="4" t="b">
        <v>0</v>
      </c>
      <c r="D338" s="4" t="b">
        <v>0</v>
      </c>
      <c r="E338" s="4" t="b">
        <v>0</v>
      </c>
      <c r="F338" s="4"/>
      <c r="G338" s="4" t="b">
        <f t="shared" si="5"/>
        <v>0</v>
      </c>
      <c r="H338" s="4"/>
      <c r="I338" s="4"/>
      <c r="J338" s="4" t="s">
        <v>621</v>
      </c>
      <c r="K338"/>
    </row>
    <row r="339" spans="1:11" ht="80" x14ac:dyDescent="0.2">
      <c r="A339" s="6" t="s">
        <v>716</v>
      </c>
      <c r="B339" s="6" t="s">
        <v>717</v>
      </c>
      <c r="C339" s="4" t="b">
        <v>1</v>
      </c>
      <c r="D339" s="4" t="b">
        <v>0</v>
      </c>
      <c r="E339" s="4" t="b">
        <v>1</v>
      </c>
      <c r="F339" s="4" t="s">
        <v>12</v>
      </c>
      <c r="G339" s="4" t="b">
        <f t="shared" si="5"/>
        <v>1</v>
      </c>
      <c r="H339" s="4" t="s">
        <v>3131</v>
      </c>
      <c r="I339" s="4"/>
      <c r="J339" s="4" t="s">
        <v>621</v>
      </c>
    </row>
    <row r="340" spans="1:11" ht="16" hidden="1" x14ac:dyDescent="0.2">
      <c r="A340" s="6" t="s">
        <v>718</v>
      </c>
      <c r="B340" s="6" t="s">
        <v>719</v>
      </c>
      <c r="C340" s="4" t="b">
        <v>0</v>
      </c>
      <c r="D340" s="4" t="b">
        <v>0</v>
      </c>
      <c r="E340" s="4" t="b">
        <v>1</v>
      </c>
      <c r="F340" s="4"/>
      <c r="G340" s="4" t="b">
        <f t="shared" si="5"/>
        <v>0</v>
      </c>
      <c r="H340" s="4"/>
      <c r="I340" s="4"/>
      <c r="J340" s="4" t="s">
        <v>621</v>
      </c>
      <c r="K340"/>
    </row>
    <row r="341" spans="1:11" ht="176" x14ac:dyDescent="0.2">
      <c r="A341" s="6" t="s">
        <v>720</v>
      </c>
      <c r="B341" s="6" t="s">
        <v>721</v>
      </c>
      <c r="C341" s="4" t="b">
        <v>1</v>
      </c>
      <c r="D341" s="4" t="b">
        <v>1</v>
      </c>
      <c r="E341" s="4" t="b">
        <v>1</v>
      </c>
      <c r="F341" s="4" t="s">
        <v>12</v>
      </c>
      <c r="G341" s="4" t="b">
        <f t="shared" si="5"/>
        <v>1</v>
      </c>
      <c r="H341" s="4" t="s">
        <v>3130</v>
      </c>
      <c r="I341" s="4"/>
      <c r="J341" s="4" t="s">
        <v>621</v>
      </c>
    </row>
    <row r="342" spans="1:11" ht="16" x14ac:dyDescent="0.2">
      <c r="A342" s="6" t="s">
        <v>722</v>
      </c>
      <c r="B342" s="6" t="s">
        <v>723</v>
      </c>
      <c r="C342" s="4" t="b">
        <v>1</v>
      </c>
      <c r="D342" s="4" t="b">
        <v>0</v>
      </c>
      <c r="E342" s="4" t="b">
        <v>1</v>
      </c>
      <c r="F342" s="4" t="s">
        <v>12</v>
      </c>
      <c r="G342" s="4" t="b">
        <f t="shared" si="5"/>
        <v>1</v>
      </c>
      <c r="H342" s="4" t="s">
        <v>3129</v>
      </c>
      <c r="I342" s="4"/>
      <c r="J342" s="4" t="s">
        <v>621</v>
      </c>
    </row>
    <row r="343" spans="1:11" ht="16" hidden="1" x14ac:dyDescent="0.2">
      <c r="A343" s="6" t="s">
        <v>724</v>
      </c>
      <c r="B343" s="6" t="s">
        <v>725</v>
      </c>
      <c r="C343" s="4" t="b">
        <v>0</v>
      </c>
      <c r="D343" s="4" t="b">
        <v>0</v>
      </c>
      <c r="E343" s="4" t="b">
        <v>1</v>
      </c>
      <c r="F343" s="4"/>
      <c r="G343" s="4" t="b">
        <f t="shared" si="5"/>
        <v>0</v>
      </c>
      <c r="H343" s="4"/>
      <c r="I343" s="4"/>
      <c r="J343" s="4" t="s">
        <v>621</v>
      </c>
      <c r="K343"/>
    </row>
    <row r="344" spans="1:11" ht="16" hidden="1" x14ac:dyDescent="0.2">
      <c r="A344" s="6" t="s">
        <v>726</v>
      </c>
      <c r="B344" s="6" t="s">
        <v>727</v>
      </c>
      <c r="C344" s="4" t="b">
        <v>0</v>
      </c>
      <c r="D344" s="4" t="b">
        <v>0</v>
      </c>
      <c r="E344" s="4" t="b">
        <v>0</v>
      </c>
      <c r="F344" s="4"/>
      <c r="G344" s="4" t="b">
        <f t="shared" si="5"/>
        <v>0</v>
      </c>
      <c r="H344" s="4"/>
      <c r="I344" s="4"/>
      <c r="J344" s="4" t="s">
        <v>621</v>
      </c>
      <c r="K344"/>
    </row>
    <row r="345" spans="1:11" ht="16" x14ac:dyDescent="0.2">
      <c r="A345" s="6" t="s">
        <v>728</v>
      </c>
      <c r="B345" s="6" t="s">
        <v>729</v>
      </c>
      <c r="C345" s="4" t="b">
        <v>1</v>
      </c>
      <c r="D345" s="4" t="b">
        <v>0</v>
      </c>
      <c r="E345" s="4" t="b">
        <v>1</v>
      </c>
      <c r="F345" s="4" t="s">
        <v>12</v>
      </c>
      <c r="G345" s="4" t="b">
        <f t="shared" si="5"/>
        <v>1</v>
      </c>
      <c r="H345" s="4" t="s">
        <v>3128</v>
      </c>
      <c r="I345" s="4"/>
      <c r="J345" s="4" t="s">
        <v>621</v>
      </c>
    </row>
    <row r="346" spans="1:11" ht="16" hidden="1" x14ac:dyDescent="0.2">
      <c r="A346" s="6" t="s">
        <v>730</v>
      </c>
      <c r="B346" s="6" t="s">
        <v>731</v>
      </c>
      <c r="C346" s="4" t="b">
        <v>0</v>
      </c>
      <c r="D346" s="4" t="b">
        <v>0</v>
      </c>
      <c r="E346" s="4" t="b">
        <v>0</v>
      </c>
      <c r="F346" s="4"/>
      <c r="G346" s="4" t="b">
        <f t="shared" si="5"/>
        <v>0</v>
      </c>
      <c r="H346" s="4"/>
      <c r="I346" s="4"/>
      <c r="J346" s="4" t="s">
        <v>621</v>
      </c>
      <c r="K346"/>
    </row>
    <row r="347" spans="1:11" ht="32" x14ac:dyDescent="0.2">
      <c r="A347" s="6" t="s">
        <v>732</v>
      </c>
      <c r="B347" s="6" t="s">
        <v>733</v>
      </c>
      <c r="C347" s="4" t="b">
        <v>1</v>
      </c>
      <c r="D347" s="4" t="b">
        <v>0</v>
      </c>
      <c r="E347" s="4" t="b">
        <v>1</v>
      </c>
      <c r="F347" s="4" t="s">
        <v>12</v>
      </c>
      <c r="G347" s="4" t="b">
        <f t="shared" si="5"/>
        <v>1</v>
      </c>
      <c r="H347" s="4" t="s">
        <v>3127</v>
      </c>
      <c r="I347" s="4"/>
      <c r="J347" s="4" t="s">
        <v>621</v>
      </c>
    </row>
    <row r="348" spans="1:11" ht="16" hidden="1" x14ac:dyDescent="0.2">
      <c r="A348" s="6" t="s">
        <v>734</v>
      </c>
      <c r="B348" s="6" t="s">
        <v>735</v>
      </c>
      <c r="C348" s="4" t="b">
        <v>0</v>
      </c>
      <c r="D348" s="4" t="b">
        <v>0</v>
      </c>
      <c r="E348" s="4" t="b">
        <v>1</v>
      </c>
      <c r="F348" s="4"/>
      <c r="G348" s="4" t="b">
        <f t="shared" si="5"/>
        <v>0</v>
      </c>
      <c r="H348" s="4"/>
      <c r="I348" s="4"/>
      <c r="J348" s="4" t="s">
        <v>621</v>
      </c>
      <c r="K348"/>
    </row>
    <row r="349" spans="1:11" ht="335" x14ac:dyDescent="0.2">
      <c r="A349" s="6" t="s">
        <v>736</v>
      </c>
      <c r="B349" s="6" t="s">
        <v>737</v>
      </c>
      <c r="C349" s="4" t="b">
        <v>1</v>
      </c>
      <c r="D349" s="4" t="b">
        <v>1</v>
      </c>
      <c r="E349" s="4" t="b">
        <v>1</v>
      </c>
      <c r="F349" s="4" t="s">
        <v>12</v>
      </c>
      <c r="G349" s="4" t="b">
        <f t="shared" si="5"/>
        <v>1</v>
      </c>
      <c r="H349" s="4" t="s">
        <v>3126</v>
      </c>
      <c r="I349" s="4"/>
      <c r="J349" s="4" t="s">
        <v>621</v>
      </c>
    </row>
    <row r="350" spans="1:11" ht="144" x14ac:dyDescent="0.2">
      <c r="A350" s="6" t="s">
        <v>738</v>
      </c>
      <c r="B350" s="6" t="s">
        <v>739</v>
      </c>
      <c r="C350" s="4" t="b">
        <v>1</v>
      </c>
      <c r="D350" s="4" t="b">
        <v>0</v>
      </c>
      <c r="E350" s="4" t="b">
        <v>1</v>
      </c>
      <c r="F350" s="4" t="s">
        <v>12</v>
      </c>
      <c r="G350" s="4" t="b">
        <f t="shared" si="5"/>
        <v>1</v>
      </c>
      <c r="H350" s="4" t="s">
        <v>3125</v>
      </c>
      <c r="I350" s="4"/>
      <c r="J350" s="4" t="s">
        <v>621</v>
      </c>
    </row>
    <row r="351" spans="1:11" ht="16" hidden="1" x14ac:dyDescent="0.2">
      <c r="A351" s="6" t="s">
        <v>740</v>
      </c>
      <c r="B351" s="6" t="s">
        <v>741</v>
      </c>
      <c r="C351" s="4" t="b">
        <v>0</v>
      </c>
      <c r="D351" s="4" t="b">
        <v>0</v>
      </c>
      <c r="E351" s="4" t="b">
        <v>0</v>
      </c>
      <c r="F351" s="4"/>
      <c r="G351" s="4" t="b">
        <f t="shared" si="5"/>
        <v>0</v>
      </c>
      <c r="H351" s="4"/>
      <c r="I351" s="4"/>
      <c r="J351" s="4" t="s">
        <v>621</v>
      </c>
      <c r="K351"/>
    </row>
    <row r="352" spans="1:11" ht="16" hidden="1" x14ac:dyDescent="0.2">
      <c r="A352" s="6" t="s">
        <v>742</v>
      </c>
      <c r="B352" s="6" t="s">
        <v>743</v>
      </c>
      <c r="C352" s="4" t="b">
        <v>0</v>
      </c>
      <c r="D352" s="4" t="b">
        <v>0</v>
      </c>
      <c r="E352" s="4" t="b">
        <v>0</v>
      </c>
      <c r="F352" s="4"/>
      <c r="G352" s="4" t="b">
        <f t="shared" si="5"/>
        <v>0</v>
      </c>
      <c r="H352" s="4"/>
      <c r="I352" s="4"/>
      <c r="J352" s="4" t="s">
        <v>621</v>
      </c>
      <c r="K352"/>
    </row>
    <row r="353" spans="1:11" ht="16" hidden="1" x14ac:dyDescent="0.2">
      <c r="A353" s="6" t="s">
        <v>744</v>
      </c>
      <c r="B353" s="6" t="s">
        <v>745</v>
      </c>
      <c r="C353" s="4" t="b">
        <v>0</v>
      </c>
      <c r="D353" s="4" t="b">
        <v>0</v>
      </c>
      <c r="E353" s="4" t="b">
        <v>1</v>
      </c>
      <c r="F353" s="4"/>
      <c r="G353" s="4" t="b">
        <f t="shared" si="5"/>
        <v>0</v>
      </c>
      <c r="H353" s="4"/>
      <c r="I353" s="4"/>
      <c r="J353" s="4" t="s">
        <v>621</v>
      </c>
      <c r="K353"/>
    </row>
    <row r="354" spans="1:11" ht="16" hidden="1" x14ac:dyDescent="0.2">
      <c r="A354" s="6" t="s">
        <v>746</v>
      </c>
      <c r="B354" s="6" t="s">
        <v>747</v>
      </c>
      <c r="C354" s="4" t="b">
        <v>0</v>
      </c>
      <c r="D354" s="4" t="b">
        <v>0</v>
      </c>
      <c r="E354" s="4" t="b">
        <v>0</v>
      </c>
      <c r="F354" s="4"/>
      <c r="G354" s="4" t="b">
        <f t="shared" si="5"/>
        <v>0</v>
      </c>
      <c r="H354" s="4"/>
      <c r="I354" s="4"/>
      <c r="J354" s="4" t="s">
        <v>621</v>
      </c>
      <c r="K354"/>
    </row>
    <row r="355" spans="1:11" ht="16" hidden="1" x14ac:dyDescent="0.2">
      <c r="A355" s="6" t="s">
        <v>748</v>
      </c>
      <c r="B355" s="6" t="s">
        <v>749</v>
      </c>
      <c r="C355" s="4" t="b">
        <v>0</v>
      </c>
      <c r="D355" s="4" t="b">
        <v>0</v>
      </c>
      <c r="E355" s="4" t="b">
        <v>0</v>
      </c>
      <c r="F355" s="4"/>
      <c r="G355" s="4" t="b">
        <f t="shared" si="5"/>
        <v>0</v>
      </c>
      <c r="H355" s="4"/>
      <c r="I355" s="4"/>
      <c r="J355" s="4" t="s">
        <v>621</v>
      </c>
      <c r="K355"/>
    </row>
    <row r="356" spans="1:11" ht="16" hidden="1" x14ac:dyDescent="0.2">
      <c r="A356" s="6" t="s">
        <v>750</v>
      </c>
      <c r="B356" s="6" t="s">
        <v>751</v>
      </c>
      <c r="C356" s="4" t="b">
        <v>0</v>
      </c>
      <c r="D356" s="4" t="b">
        <v>0</v>
      </c>
      <c r="E356" s="4" t="b">
        <v>0</v>
      </c>
      <c r="F356" s="4"/>
      <c r="G356" s="4" t="b">
        <f t="shared" si="5"/>
        <v>0</v>
      </c>
      <c r="H356" s="4"/>
      <c r="I356" s="4"/>
      <c r="J356" s="4" t="s">
        <v>621</v>
      </c>
      <c r="K356"/>
    </row>
    <row r="357" spans="1:11" ht="32" x14ac:dyDescent="0.2">
      <c r="A357" s="6" t="s">
        <v>752</v>
      </c>
      <c r="B357" s="6" t="s">
        <v>753</v>
      </c>
      <c r="C357" s="4" t="b">
        <v>1</v>
      </c>
      <c r="D357" s="4" t="b">
        <v>0</v>
      </c>
      <c r="E357" s="4" t="b">
        <v>1</v>
      </c>
      <c r="F357" s="4" t="s">
        <v>12</v>
      </c>
      <c r="G357" s="4" t="b">
        <f t="shared" si="5"/>
        <v>1</v>
      </c>
      <c r="H357" s="4" t="s">
        <v>3124</v>
      </c>
      <c r="I357" s="4"/>
      <c r="J357" s="4" t="s">
        <v>621</v>
      </c>
    </row>
    <row r="358" spans="1:11" ht="16" hidden="1" x14ac:dyDescent="0.2">
      <c r="A358" s="6" t="s">
        <v>754</v>
      </c>
      <c r="B358" s="6" t="s">
        <v>755</v>
      </c>
      <c r="C358" s="4" t="b">
        <v>0</v>
      </c>
      <c r="D358" s="4" t="b">
        <v>0</v>
      </c>
      <c r="E358" s="4" t="b">
        <v>1</v>
      </c>
      <c r="F358" s="4"/>
      <c r="G358" s="4" t="b">
        <f t="shared" si="5"/>
        <v>0</v>
      </c>
      <c r="H358" s="4"/>
      <c r="I358" s="4"/>
      <c r="J358" s="4" t="s">
        <v>621</v>
      </c>
      <c r="K358"/>
    </row>
    <row r="359" spans="1:11" ht="16" hidden="1" x14ac:dyDescent="0.2">
      <c r="A359" s="6" t="s">
        <v>756</v>
      </c>
      <c r="B359" s="6" t="s">
        <v>757</v>
      </c>
      <c r="C359" s="4" t="b">
        <v>0</v>
      </c>
      <c r="D359" s="4" t="b">
        <v>0</v>
      </c>
      <c r="E359" s="4" t="b">
        <v>0</v>
      </c>
      <c r="F359" s="4"/>
      <c r="G359" s="4" t="b">
        <f t="shared" si="5"/>
        <v>0</v>
      </c>
      <c r="H359" s="4"/>
      <c r="I359" s="4"/>
      <c r="J359" s="4" t="s">
        <v>621</v>
      </c>
      <c r="K359"/>
    </row>
    <row r="360" spans="1:11" ht="48" x14ac:dyDescent="0.2">
      <c r="A360" s="6" t="s">
        <v>758</v>
      </c>
      <c r="B360" s="6" t="s">
        <v>759</v>
      </c>
      <c r="C360" s="4" t="b">
        <v>1</v>
      </c>
      <c r="D360" s="4" t="b">
        <v>1</v>
      </c>
      <c r="E360" s="4" t="b">
        <v>1</v>
      </c>
      <c r="F360" s="4" t="s">
        <v>12</v>
      </c>
      <c r="G360" s="4" t="b">
        <f t="shared" si="5"/>
        <v>1</v>
      </c>
      <c r="H360" s="4" t="s">
        <v>3123</v>
      </c>
      <c r="I360" s="4"/>
      <c r="J360" s="4" t="s">
        <v>621</v>
      </c>
      <c r="K360" s="1" t="s">
        <v>2998</v>
      </c>
    </row>
    <row r="361" spans="1:11" ht="16" hidden="1" x14ac:dyDescent="0.2">
      <c r="A361" s="6" t="s">
        <v>760</v>
      </c>
      <c r="B361" s="6" t="s">
        <v>761</v>
      </c>
      <c r="C361" s="4" t="b">
        <v>0</v>
      </c>
      <c r="D361" s="4" t="b">
        <v>0</v>
      </c>
      <c r="E361" s="4" t="b">
        <v>0</v>
      </c>
      <c r="F361" s="4"/>
      <c r="G361" s="4" t="b">
        <f t="shared" si="5"/>
        <v>0</v>
      </c>
      <c r="H361" s="4"/>
      <c r="I361" s="4"/>
      <c r="J361" s="4" t="s">
        <v>621</v>
      </c>
      <c r="K361"/>
    </row>
    <row r="362" spans="1:11" ht="16" hidden="1" x14ac:dyDescent="0.2">
      <c r="A362" s="6" t="s">
        <v>762</v>
      </c>
      <c r="B362" s="6" t="s">
        <v>763</v>
      </c>
      <c r="C362" s="4" t="b">
        <v>0</v>
      </c>
      <c r="D362" s="4" t="b">
        <v>0</v>
      </c>
      <c r="E362" s="4" t="b">
        <v>1</v>
      </c>
      <c r="F362" s="4"/>
      <c r="G362" s="4" t="b">
        <f t="shared" si="5"/>
        <v>0</v>
      </c>
      <c r="H362" s="4"/>
      <c r="I362" s="4"/>
      <c r="J362" s="4" t="s">
        <v>621</v>
      </c>
      <c r="K362"/>
    </row>
    <row r="363" spans="1:11" ht="16" hidden="1" x14ac:dyDescent="0.2">
      <c r="A363" s="6" t="s">
        <v>764</v>
      </c>
      <c r="B363" s="6" t="s">
        <v>765</v>
      </c>
      <c r="C363" s="4" t="b">
        <v>0</v>
      </c>
      <c r="D363" s="4" t="b">
        <v>0</v>
      </c>
      <c r="E363" s="4" t="b">
        <v>0</v>
      </c>
      <c r="F363" s="4"/>
      <c r="G363" s="4" t="b">
        <f t="shared" si="5"/>
        <v>0</v>
      </c>
      <c r="H363" s="4"/>
      <c r="I363" s="4"/>
      <c r="J363" s="4" t="s">
        <v>621</v>
      </c>
      <c r="K363"/>
    </row>
    <row r="364" spans="1:11" ht="16" hidden="1" x14ac:dyDescent="0.2">
      <c r="A364" s="6" t="s">
        <v>766</v>
      </c>
      <c r="B364" s="6" t="s">
        <v>767</v>
      </c>
      <c r="C364" s="4" t="b">
        <v>0</v>
      </c>
      <c r="D364" s="4" t="b">
        <v>0</v>
      </c>
      <c r="E364" s="4" t="b">
        <v>0</v>
      </c>
      <c r="F364" s="4"/>
      <c r="G364" s="4" t="b">
        <f t="shared" si="5"/>
        <v>0</v>
      </c>
      <c r="H364" s="4"/>
      <c r="I364" s="4"/>
      <c r="J364" s="4" t="s">
        <v>621</v>
      </c>
      <c r="K364"/>
    </row>
    <row r="365" spans="1:11" ht="16" hidden="1" x14ac:dyDescent="0.2">
      <c r="A365" s="6" t="s">
        <v>768</v>
      </c>
      <c r="B365" s="6" t="s">
        <v>769</v>
      </c>
      <c r="C365" s="4" t="b">
        <v>0</v>
      </c>
      <c r="D365" s="4" t="b">
        <v>0</v>
      </c>
      <c r="E365" s="4" t="b">
        <v>0</v>
      </c>
      <c r="F365" s="4" t="s">
        <v>12</v>
      </c>
      <c r="G365" s="4" t="b">
        <f t="shared" si="5"/>
        <v>1</v>
      </c>
      <c r="H365" s="4"/>
      <c r="I365" s="4"/>
      <c r="J365" s="4" t="s">
        <v>14</v>
      </c>
      <c r="K365"/>
    </row>
    <row r="366" spans="1:11" ht="32" x14ac:dyDescent="0.2">
      <c r="A366" s="6" t="s">
        <v>770</v>
      </c>
      <c r="B366" s="6" t="s">
        <v>771</v>
      </c>
      <c r="C366" s="4" t="b">
        <v>1</v>
      </c>
      <c r="D366" s="4" t="b">
        <v>0</v>
      </c>
      <c r="E366" s="4" t="b">
        <v>1</v>
      </c>
      <c r="F366" s="4" t="s">
        <v>12</v>
      </c>
      <c r="G366" s="4" t="b">
        <f t="shared" si="5"/>
        <v>1</v>
      </c>
      <c r="H366" s="4" t="s">
        <v>772</v>
      </c>
      <c r="I366" s="4"/>
      <c r="J366" s="4" t="s">
        <v>14</v>
      </c>
    </row>
    <row r="367" spans="1:11" ht="48" x14ac:dyDescent="0.2">
      <c r="A367" s="6" t="s">
        <v>773</v>
      </c>
      <c r="B367" s="6" t="s">
        <v>774</v>
      </c>
      <c r="C367" s="4" t="b">
        <v>1</v>
      </c>
      <c r="D367" s="4" t="b">
        <v>0</v>
      </c>
      <c r="E367" s="4" t="b">
        <v>1</v>
      </c>
      <c r="F367" s="4" t="s">
        <v>12</v>
      </c>
      <c r="G367" s="4" t="b">
        <f t="shared" si="5"/>
        <v>1</v>
      </c>
      <c r="H367" s="4" t="s">
        <v>775</v>
      </c>
      <c r="I367" s="4"/>
      <c r="J367" s="4" t="s">
        <v>14</v>
      </c>
    </row>
    <row r="368" spans="1:11" ht="16" hidden="1" x14ac:dyDescent="0.2">
      <c r="A368" s="6" t="s">
        <v>776</v>
      </c>
      <c r="B368" s="6" t="s">
        <v>777</v>
      </c>
      <c r="C368" s="4" t="b">
        <v>0</v>
      </c>
      <c r="D368" s="4" t="b">
        <v>0</v>
      </c>
      <c r="E368" s="4" t="b">
        <v>0</v>
      </c>
      <c r="F368" s="4" t="s">
        <v>12</v>
      </c>
      <c r="G368" s="4" t="b">
        <f t="shared" si="5"/>
        <v>1</v>
      </c>
      <c r="H368" s="4"/>
      <c r="I368" s="4"/>
      <c r="J368" s="4" t="s">
        <v>14</v>
      </c>
      <c r="K368"/>
    </row>
    <row r="369" spans="1:11" ht="32" x14ac:dyDescent="0.2">
      <c r="A369" s="6" t="s">
        <v>778</v>
      </c>
      <c r="B369" s="6" t="s">
        <v>779</v>
      </c>
      <c r="C369" s="4" t="b">
        <v>1</v>
      </c>
      <c r="D369" s="4" t="b">
        <v>1</v>
      </c>
      <c r="E369" s="4" t="b">
        <v>1</v>
      </c>
      <c r="F369" s="4" t="s">
        <v>12</v>
      </c>
      <c r="G369" s="4" t="b">
        <f t="shared" si="5"/>
        <v>1</v>
      </c>
      <c r="H369" s="4" t="s">
        <v>780</v>
      </c>
      <c r="I369" s="4"/>
      <c r="J369" s="4" t="s">
        <v>14</v>
      </c>
    </row>
    <row r="370" spans="1:11" ht="16" hidden="1" x14ac:dyDescent="0.2">
      <c r="A370" s="6" t="s">
        <v>781</v>
      </c>
      <c r="B370" s="6" t="s">
        <v>782</v>
      </c>
      <c r="C370" s="4" t="b">
        <v>0</v>
      </c>
      <c r="D370" s="4" t="b">
        <v>0</v>
      </c>
      <c r="E370" s="4" t="b">
        <v>0</v>
      </c>
      <c r="F370" s="4" t="s">
        <v>12</v>
      </c>
      <c r="G370" s="4" t="b">
        <f t="shared" si="5"/>
        <v>1</v>
      </c>
      <c r="H370" s="4"/>
      <c r="I370" s="4"/>
      <c r="J370" s="4" t="s">
        <v>14</v>
      </c>
      <c r="K370"/>
    </row>
    <row r="371" spans="1:11" ht="16" hidden="1" x14ac:dyDescent="0.2">
      <c r="A371" s="6" t="s">
        <v>783</v>
      </c>
      <c r="B371" s="6" t="s">
        <v>784</v>
      </c>
      <c r="C371" s="4" t="b">
        <v>0</v>
      </c>
      <c r="D371" s="4" t="b">
        <v>0</v>
      </c>
      <c r="E371" s="4" t="b">
        <v>0</v>
      </c>
      <c r="F371" s="4" t="s">
        <v>12</v>
      </c>
      <c r="G371" s="4" t="b">
        <f t="shared" si="5"/>
        <v>1</v>
      </c>
      <c r="H371" s="4"/>
      <c r="I371" s="4"/>
      <c r="J371" s="4" t="s">
        <v>98</v>
      </c>
      <c r="K371"/>
    </row>
    <row r="372" spans="1:11" ht="16" hidden="1" x14ac:dyDescent="0.2">
      <c r="A372" s="6" t="s">
        <v>785</v>
      </c>
      <c r="B372" s="6" t="s">
        <v>786</v>
      </c>
      <c r="C372" s="4" t="b">
        <v>0</v>
      </c>
      <c r="D372" s="4" t="b">
        <v>0</v>
      </c>
      <c r="E372" s="4" t="b">
        <v>0</v>
      </c>
      <c r="F372" s="4"/>
      <c r="G372" s="4" t="b">
        <f t="shared" si="5"/>
        <v>0</v>
      </c>
      <c r="H372" s="4"/>
      <c r="I372" s="4"/>
      <c r="J372" s="4" t="s">
        <v>26</v>
      </c>
      <c r="K372"/>
    </row>
    <row r="373" spans="1:11" ht="16" hidden="1" x14ac:dyDescent="0.2">
      <c r="A373" s="6" t="s">
        <v>787</v>
      </c>
      <c r="B373" s="6" t="s">
        <v>788</v>
      </c>
      <c r="C373" s="4" t="b">
        <v>0</v>
      </c>
      <c r="D373" s="4" t="b">
        <v>0</v>
      </c>
      <c r="E373" s="4" t="b">
        <v>1</v>
      </c>
      <c r="F373" s="4"/>
      <c r="G373" s="4" t="b">
        <f t="shared" si="5"/>
        <v>0</v>
      </c>
      <c r="H373" s="4"/>
      <c r="I373" s="4"/>
      <c r="J373" s="4" t="s">
        <v>26</v>
      </c>
      <c r="K373"/>
    </row>
    <row r="374" spans="1:11" ht="16" hidden="1" x14ac:dyDescent="0.2">
      <c r="A374" s="6" t="s">
        <v>789</v>
      </c>
      <c r="B374" s="6" t="s">
        <v>790</v>
      </c>
      <c r="C374" s="4" t="b">
        <v>0</v>
      </c>
      <c r="D374" s="4" t="b">
        <v>0</v>
      </c>
      <c r="E374" s="4" t="b">
        <v>1</v>
      </c>
      <c r="F374" s="4"/>
      <c r="G374" s="4" t="b">
        <f t="shared" si="5"/>
        <v>0</v>
      </c>
      <c r="H374" s="4"/>
      <c r="I374" s="4"/>
      <c r="J374" s="4" t="s">
        <v>26</v>
      </c>
      <c r="K374"/>
    </row>
    <row r="375" spans="1:11" ht="16" hidden="1" x14ac:dyDescent="0.2">
      <c r="A375" s="6" t="s">
        <v>791</v>
      </c>
      <c r="B375" s="6" t="s">
        <v>792</v>
      </c>
      <c r="C375" s="4" t="b">
        <v>0</v>
      </c>
      <c r="D375" s="4" t="b">
        <v>0</v>
      </c>
      <c r="E375" s="4" t="b">
        <v>0</v>
      </c>
      <c r="F375" s="4"/>
      <c r="G375" s="4" t="b">
        <f t="shared" si="5"/>
        <v>0</v>
      </c>
      <c r="H375" s="4"/>
      <c r="I375" s="4"/>
      <c r="J375" s="4" t="s">
        <v>26</v>
      </c>
      <c r="K375"/>
    </row>
    <row r="376" spans="1:11" ht="16" hidden="1" x14ac:dyDescent="0.2">
      <c r="A376" s="6" t="s">
        <v>793</v>
      </c>
      <c r="B376" s="6" t="s">
        <v>794</v>
      </c>
      <c r="C376" s="4" t="b">
        <v>0</v>
      </c>
      <c r="D376" s="4" t="b">
        <v>0</v>
      </c>
      <c r="E376" s="4" t="b">
        <v>0</v>
      </c>
      <c r="F376" s="4"/>
      <c r="G376" s="4" t="b">
        <f t="shared" si="5"/>
        <v>0</v>
      </c>
      <c r="H376" s="4"/>
      <c r="I376" s="4"/>
      <c r="J376" s="4" t="s">
        <v>26</v>
      </c>
      <c r="K376"/>
    </row>
    <row r="377" spans="1:11" ht="96" x14ac:dyDescent="0.2">
      <c r="A377" s="6" t="s">
        <v>795</v>
      </c>
      <c r="B377" s="6" t="s">
        <v>796</v>
      </c>
      <c r="C377" s="4" t="b">
        <v>1</v>
      </c>
      <c r="D377" s="4" t="b">
        <v>1</v>
      </c>
      <c r="E377" s="4" t="b">
        <v>1</v>
      </c>
      <c r="F377" s="4" t="s">
        <v>12</v>
      </c>
      <c r="G377" s="4" t="b">
        <f t="shared" si="5"/>
        <v>1</v>
      </c>
      <c r="H377" s="4" t="s">
        <v>3177</v>
      </c>
      <c r="I377" s="4"/>
      <c r="J377" s="4" t="s">
        <v>26</v>
      </c>
    </row>
    <row r="378" spans="1:11" ht="16" hidden="1" x14ac:dyDescent="0.2">
      <c r="A378" s="6" t="s">
        <v>797</v>
      </c>
      <c r="B378" s="6" t="s">
        <v>798</v>
      </c>
      <c r="C378" s="4" t="b">
        <v>0</v>
      </c>
      <c r="D378" s="4" t="b">
        <v>0</v>
      </c>
      <c r="E378" s="4" t="b">
        <v>1</v>
      </c>
      <c r="F378" s="4"/>
      <c r="G378" s="4" t="b">
        <f t="shared" si="5"/>
        <v>0</v>
      </c>
      <c r="H378" s="4"/>
      <c r="I378" s="4"/>
      <c r="J378" s="4" t="s">
        <v>26</v>
      </c>
      <c r="K378"/>
    </row>
    <row r="379" spans="1:11" ht="16" hidden="1" x14ac:dyDescent="0.2">
      <c r="A379" s="6" t="s">
        <v>799</v>
      </c>
      <c r="B379" s="6" t="s">
        <v>800</v>
      </c>
      <c r="C379" s="4" t="b">
        <v>0</v>
      </c>
      <c r="D379" s="4" t="b">
        <v>0</v>
      </c>
      <c r="E379" s="4" t="b">
        <v>0</v>
      </c>
      <c r="F379" s="4"/>
      <c r="G379" s="4" t="b">
        <f t="shared" si="5"/>
        <v>0</v>
      </c>
      <c r="H379" s="4"/>
      <c r="I379" s="4"/>
      <c r="J379" s="4" t="s">
        <v>26</v>
      </c>
      <c r="K379"/>
    </row>
    <row r="380" spans="1:11" ht="80" x14ac:dyDescent="0.2">
      <c r="A380" s="6" t="s">
        <v>801</v>
      </c>
      <c r="B380" s="6" t="s">
        <v>802</v>
      </c>
      <c r="C380" s="4" t="b">
        <v>1</v>
      </c>
      <c r="D380" s="4" t="b">
        <v>1</v>
      </c>
      <c r="E380" s="4" t="b">
        <v>1</v>
      </c>
      <c r="F380" s="4" t="s">
        <v>12</v>
      </c>
      <c r="G380" s="4" t="b">
        <f t="shared" si="5"/>
        <v>1</v>
      </c>
      <c r="H380" s="4" t="s">
        <v>3176</v>
      </c>
      <c r="I380" s="4"/>
      <c r="J380" s="4" t="s">
        <v>26</v>
      </c>
    </row>
    <row r="381" spans="1:11" ht="16" hidden="1" x14ac:dyDescent="0.2">
      <c r="A381" s="6" t="s">
        <v>803</v>
      </c>
      <c r="B381" s="6" t="s">
        <v>804</v>
      </c>
      <c r="C381" s="4" t="b">
        <v>0</v>
      </c>
      <c r="D381" s="4" t="b">
        <v>0</v>
      </c>
      <c r="E381" s="4" t="b">
        <v>0</v>
      </c>
      <c r="F381" s="4"/>
      <c r="G381" s="4" t="b">
        <f t="shared" si="5"/>
        <v>0</v>
      </c>
      <c r="H381" s="4"/>
      <c r="I381" s="4"/>
      <c r="J381" s="4" t="s">
        <v>26</v>
      </c>
      <c r="K381"/>
    </row>
    <row r="382" spans="1:11" ht="16" hidden="1" x14ac:dyDescent="0.2">
      <c r="A382" s="6" t="s">
        <v>805</v>
      </c>
      <c r="B382" s="6" t="s">
        <v>806</v>
      </c>
      <c r="C382" s="4" t="b">
        <v>0</v>
      </c>
      <c r="D382" s="4" t="b">
        <v>0</v>
      </c>
      <c r="E382" s="4" t="b">
        <v>0</v>
      </c>
      <c r="F382" s="4"/>
      <c r="G382" s="4" t="b">
        <f t="shared" si="5"/>
        <v>0</v>
      </c>
      <c r="H382" s="4"/>
      <c r="I382" s="4"/>
      <c r="J382" s="4" t="s">
        <v>26</v>
      </c>
      <c r="K382"/>
    </row>
    <row r="383" spans="1:11" ht="16" hidden="1" x14ac:dyDescent="0.2">
      <c r="A383" s="6" t="s">
        <v>807</v>
      </c>
      <c r="B383" s="6" t="s">
        <v>808</v>
      </c>
      <c r="C383" s="4" t="b">
        <v>0</v>
      </c>
      <c r="D383" s="4" t="b">
        <v>0</v>
      </c>
      <c r="E383" s="4" t="b">
        <v>1</v>
      </c>
      <c r="F383" s="4"/>
      <c r="G383" s="4" t="b">
        <f t="shared" si="5"/>
        <v>0</v>
      </c>
      <c r="H383" s="4"/>
      <c r="I383" s="4"/>
      <c r="J383" s="4" t="s">
        <v>26</v>
      </c>
      <c r="K383"/>
    </row>
    <row r="384" spans="1:11" ht="16" hidden="1" x14ac:dyDescent="0.2">
      <c r="A384" s="6" t="s">
        <v>809</v>
      </c>
      <c r="B384" s="6" t="s">
        <v>810</v>
      </c>
      <c r="C384" s="4" t="b">
        <v>0</v>
      </c>
      <c r="D384" s="4" t="b">
        <v>0</v>
      </c>
      <c r="E384" s="4" t="b">
        <v>1</v>
      </c>
      <c r="F384" s="4"/>
      <c r="G384" s="4" t="b">
        <f t="shared" si="5"/>
        <v>0</v>
      </c>
      <c r="H384" s="4"/>
      <c r="I384" s="4"/>
      <c r="J384" s="4" t="s">
        <v>26</v>
      </c>
      <c r="K384"/>
    </row>
    <row r="385" spans="1:11" ht="16" hidden="1" x14ac:dyDescent="0.2">
      <c r="A385" s="6" t="s">
        <v>811</v>
      </c>
      <c r="B385" s="6" t="s">
        <v>812</v>
      </c>
      <c r="C385" s="4" t="b">
        <v>0</v>
      </c>
      <c r="D385" s="4" t="b">
        <v>0</v>
      </c>
      <c r="E385" s="4" t="b">
        <v>0</v>
      </c>
      <c r="F385" s="4"/>
      <c r="G385" s="4" t="b">
        <f t="shared" si="5"/>
        <v>0</v>
      </c>
      <c r="H385" s="4"/>
      <c r="I385" s="4"/>
      <c r="J385" s="4" t="s">
        <v>26</v>
      </c>
      <c r="K385"/>
    </row>
    <row r="386" spans="1:11" ht="16" hidden="1" x14ac:dyDescent="0.2">
      <c r="A386" s="6" t="s">
        <v>813</v>
      </c>
      <c r="B386" s="6" t="s">
        <v>814</v>
      </c>
      <c r="C386" s="4" t="b">
        <v>0</v>
      </c>
      <c r="D386" s="4" t="b">
        <v>0</v>
      </c>
      <c r="E386" s="4" t="b">
        <v>0</v>
      </c>
      <c r="F386" s="4"/>
      <c r="G386" s="4" t="b">
        <f t="shared" ref="G386:G449" si="6">IF(F386="✔", TRUE, FALSE)</f>
        <v>0</v>
      </c>
      <c r="H386" s="4"/>
      <c r="I386" s="4"/>
      <c r="J386" s="4" t="s">
        <v>26</v>
      </c>
      <c r="K386"/>
    </row>
    <row r="387" spans="1:11" ht="16" hidden="1" x14ac:dyDescent="0.2">
      <c r="A387" s="6" t="s">
        <v>815</v>
      </c>
      <c r="B387" s="6" t="s">
        <v>816</v>
      </c>
      <c r="C387" s="4" t="b">
        <v>0</v>
      </c>
      <c r="D387" s="4" t="b">
        <v>0</v>
      </c>
      <c r="E387" s="4" t="b">
        <v>0</v>
      </c>
      <c r="F387" s="4"/>
      <c r="G387" s="4" t="b">
        <f t="shared" si="6"/>
        <v>0</v>
      </c>
      <c r="H387" s="4"/>
      <c r="I387" s="4"/>
      <c r="J387" s="4" t="s">
        <v>26</v>
      </c>
      <c r="K387"/>
    </row>
    <row r="388" spans="1:11" ht="32" x14ac:dyDescent="0.2">
      <c r="A388" s="6" t="s">
        <v>817</v>
      </c>
      <c r="B388" s="6" t="s">
        <v>818</v>
      </c>
      <c r="C388" s="4" t="b">
        <v>1</v>
      </c>
      <c r="D388" s="4" t="b">
        <v>0</v>
      </c>
      <c r="E388" s="4" t="b">
        <v>1</v>
      </c>
      <c r="F388" s="4" t="s">
        <v>12</v>
      </c>
      <c r="G388" s="4" t="b">
        <f t="shared" si="6"/>
        <v>1</v>
      </c>
      <c r="H388" s="4" t="s">
        <v>3175</v>
      </c>
      <c r="I388" s="4"/>
      <c r="J388" s="4" t="s">
        <v>26</v>
      </c>
      <c r="K388" s="1" t="s">
        <v>2998</v>
      </c>
    </row>
    <row r="389" spans="1:11" ht="128" x14ac:dyDescent="0.2">
      <c r="A389" s="6" t="s">
        <v>819</v>
      </c>
      <c r="B389" s="6" t="s">
        <v>820</v>
      </c>
      <c r="C389" s="4" t="b">
        <v>1</v>
      </c>
      <c r="D389" s="4" t="b">
        <v>0</v>
      </c>
      <c r="E389" s="4" t="b">
        <v>1</v>
      </c>
      <c r="F389" s="4" t="s">
        <v>12</v>
      </c>
      <c r="G389" s="4" t="b">
        <f t="shared" si="6"/>
        <v>1</v>
      </c>
      <c r="H389" s="4" t="s">
        <v>3174</v>
      </c>
      <c r="I389" s="4"/>
      <c r="J389" s="4" t="s">
        <v>26</v>
      </c>
      <c r="K389" s="1" t="s">
        <v>2998</v>
      </c>
    </row>
    <row r="390" spans="1:11" ht="112" x14ac:dyDescent="0.2">
      <c r="A390" s="6" t="s">
        <v>821</v>
      </c>
      <c r="B390" s="6" t="s">
        <v>822</v>
      </c>
      <c r="C390" s="4" t="b">
        <v>1</v>
      </c>
      <c r="D390" s="4" t="b">
        <v>1</v>
      </c>
      <c r="E390" s="4" t="b">
        <v>1</v>
      </c>
      <c r="F390" s="4" t="s">
        <v>12</v>
      </c>
      <c r="G390" s="4" t="b">
        <f t="shared" si="6"/>
        <v>1</v>
      </c>
      <c r="H390" s="4" t="s">
        <v>3173</v>
      </c>
      <c r="I390" s="4"/>
      <c r="J390" s="4" t="s">
        <v>26</v>
      </c>
    </row>
    <row r="391" spans="1:11" ht="16" hidden="1" x14ac:dyDescent="0.2">
      <c r="A391" s="6" t="s">
        <v>823</v>
      </c>
      <c r="B391" s="6" t="s">
        <v>824</v>
      </c>
      <c r="C391" s="4" t="b">
        <v>0</v>
      </c>
      <c r="D391" s="4" t="b">
        <v>0</v>
      </c>
      <c r="E391" s="4" t="b">
        <v>0</v>
      </c>
      <c r="F391" s="4"/>
      <c r="G391" s="4" t="b">
        <f t="shared" si="6"/>
        <v>0</v>
      </c>
      <c r="H391" s="4"/>
      <c r="I391" s="4"/>
      <c r="J391" s="4" t="s">
        <v>26</v>
      </c>
      <c r="K391"/>
    </row>
    <row r="392" spans="1:11" ht="80" x14ac:dyDescent="0.2">
      <c r="A392" s="6" t="s">
        <v>825</v>
      </c>
      <c r="B392" s="6" t="s">
        <v>826</v>
      </c>
      <c r="C392" s="4" t="b">
        <v>1</v>
      </c>
      <c r="D392" s="4" t="b">
        <v>1</v>
      </c>
      <c r="E392" s="4" t="b">
        <v>1</v>
      </c>
      <c r="F392" s="4" t="s">
        <v>12</v>
      </c>
      <c r="G392" s="4" t="b">
        <f t="shared" si="6"/>
        <v>1</v>
      </c>
      <c r="H392" s="4" t="s">
        <v>3172</v>
      </c>
      <c r="I392" s="4"/>
      <c r="J392" s="4" t="s">
        <v>26</v>
      </c>
    </row>
    <row r="393" spans="1:11" ht="16" hidden="1" x14ac:dyDescent="0.2">
      <c r="A393" s="6" t="s">
        <v>827</v>
      </c>
      <c r="B393" s="6" t="s">
        <v>828</v>
      </c>
      <c r="C393" s="4" t="b">
        <v>0</v>
      </c>
      <c r="D393" s="4" t="b">
        <v>0</v>
      </c>
      <c r="E393" s="4" t="b">
        <v>1</v>
      </c>
      <c r="F393" s="4"/>
      <c r="G393" s="4" t="b">
        <f t="shared" si="6"/>
        <v>0</v>
      </c>
      <c r="H393" s="4"/>
      <c r="I393" s="4"/>
      <c r="J393" s="4" t="s">
        <v>26</v>
      </c>
      <c r="K393"/>
    </row>
    <row r="394" spans="1:11" ht="16" hidden="1" x14ac:dyDescent="0.2">
      <c r="A394" s="6" t="s">
        <v>829</v>
      </c>
      <c r="B394" s="6" t="s">
        <v>830</v>
      </c>
      <c r="C394" s="4" t="b">
        <v>0</v>
      </c>
      <c r="D394" s="4" t="b">
        <v>0</v>
      </c>
      <c r="E394" s="4" t="b">
        <v>0</v>
      </c>
      <c r="F394" s="4"/>
      <c r="G394" s="4" t="b">
        <f t="shared" si="6"/>
        <v>0</v>
      </c>
      <c r="H394" s="4"/>
      <c r="I394" s="4"/>
      <c r="J394" s="4" t="s">
        <v>26</v>
      </c>
      <c r="K394"/>
    </row>
    <row r="395" spans="1:11" ht="16" hidden="1" x14ac:dyDescent="0.2">
      <c r="A395" s="6" t="s">
        <v>831</v>
      </c>
      <c r="B395" s="6" t="s">
        <v>832</v>
      </c>
      <c r="C395" s="4" t="b">
        <v>0</v>
      </c>
      <c r="D395" s="4" t="b">
        <v>0</v>
      </c>
      <c r="E395" s="4" t="b">
        <v>0</v>
      </c>
      <c r="F395" s="4"/>
      <c r="G395" s="4" t="b">
        <f t="shared" si="6"/>
        <v>0</v>
      </c>
      <c r="H395" s="4"/>
      <c r="I395" s="4"/>
      <c r="J395" s="4" t="s">
        <v>20</v>
      </c>
      <c r="K395"/>
    </row>
    <row r="396" spans="1:11" ht="16" hidden="1" x14ac:dyDescent="0.2">
      <c r="A396" s="6" t="s">
        <v>833</v>
      </c>
      <c r="B396" s="6" t="s">
        <v>834</v>
      </c>
      <c r="C396" s="4" t="b">
        <v>0</v>
      </c>
      <c r="D396" s="4" t="b">
        <v>0</v>
      </c>
      <c r="E396" s="4" t="b">
        <v>0</v>
      </c>
      <c r="F396" s="4"/>
      <c r="G396" s="4" t="b">
        <f t="shared" si="6"/>
        <v>0</v>
      </c>
      <c r="H396" s="4"/>
      <c r="I396" s="4"/>
      <c r="J396" s="4" t="s">
        <v>20</v>
      </c>
      <c r="K396"/>
    </row>
    <row r="397" spans="1:11" ht="16" x14ac:dyDescent="0.2">
      <c r="A397" s="6" t="s">
        <v>835</v>
      </c>
      <c r="B397" s="6" t="s">
        <v>836</v>
      </c>
      <c r="C397" s="4" t="b">
        <v>1</v>
      </c>
      <c r="D397" s="4" t="b">
        <v>0</v>
      </c>
      <c r="E397" s="4" t="b">
        <v>1</v>
      </c>
      <c r="F397" s="4" t="s">
        <v>12</v>
      </c>
      <c r="G397" s="4" t="b">
        <f t="shared" si="6"/>
        <v>1</v>
      </c>
      <c r="H397" s="4"/>
      <c r="I397" s="4"/>
      <c r="J397" s="4" t="s">
        <v>20</v>
      </c>
    </row>
    <row r="398" spans="1:11" ht="16" hidden="1" x14ac:dyDescent="0.2">
      <c r="A398" s="6" t="s">
        <v>837</v>
      </c>
      <c r="B398" s="6" t="s">
        <v>838</v>
      </c>
      <c r="C398" s="4" t="b">
        <v>0</v>
      </c>
      <c r="D398" s="4" t="b">
        <v>0</v>
      </c>
      <c r="E398" s="4" t="b">
        <v>0</v>
      </c>
      <c r="F398" s="4"/>
      <c r="G398" s="4" t="b">
        <f t="shared" si="6"/>
        <v>0</v>
      </c>
      <c r="H398" s="4"/>
      <c r="I398" s="4"/>
      <c r="J398" s="4" t="s">
        <v>20</v>
      </c>
      <c r="K398"/>
    </row>
    <row r="399" spans="1:11" ht="16" hidden="1" x14ac:dyDescent="0.2">
      <c r="A399" s="6" t="s">
        <v>839</v>
      </c>
      <c r="B399" s="6" t="s">
        <v>840</v>
      </c>
      <c r="C399" s="4" t="b">
        <v>0</v>
      </c>
      <c r="D399" s="4" t="b">
        <v>0</v>
      </c>
      <c r="E399" s="4" t="b">
        <v>0</v>
      </c>
      <c r="F399" s="4"/>
      <c r="G399" s="4" t="b">
        <f t="shared" si="6"/>
        <v>0</v>
      </c>
      <c r="H399" s="4"/>
      <c r="I399" s="4"/>
      <c r="J399" s="4" t="s">
        <v>20</v>
      </c>
      <c r="K399"/>
    </row>
    <row r="400" spans="1:11" ht="16" hidden="1" x14ac:dyDescent="0.2">
      <c r="A400" s="6" t="s">
        <v>841</v>
      </c>
      <c r="B400" s="6" t="s">
        <v>842</v>
      </c>
      <c r="C400" s="4" t="b">
        <v>0</v>
      </c>
      <c r="D400" s="4" t="b">
        <v>0</v>
      </c>
      <c r="E400" s="4" t="b">
        <v>0</v>
      </c>
      <c r="F400" s="4"/>
      <c r="G400" s="4" t="b">
        <f t="shared" si="6"/>
        <v>0</v>
      </c>
      <c r="H400" s="4"/>
      <c r="I400" s="4"/>
      <c r="J400" s="4" t="s">
        <v>20</v>
      </c>
      <c r="K400"/>
    </row>
    <row r="401" spans="1:11" ht="16" hidden="1" x14ac:dyDescent="0.2">
      <c r="A401" s="6" t="s">
        <v>843</v>
      </c>
      <c r="B401" s="6" t="s">
        <v>844</v>
      </c>
      <c r="C401" s="4" t="b">
        <v>0</v>
      </c>
      <c r="D401" s="4" t="b">
        <v>0</v>
      </c>
      <c r="E401" s="4" t="b">
        <v>0</v>
      </c>
      <c r="F401" s="4"/>
      <c r="G401" s="4" t="b">
        <f t="shared" si="6"/>
        <v>0</v>
      </c>
      <c r="H401" s="4"/>
      <c r="I401" s="4"/>
      <c r="J401" s="4" t="s">
        <v>20</v>
      </c>
      <c r="K401"/>
    </row>
    <row r="402" spans="1:11" ht="16" hidden="1" x14ac:dyDescent="0.2">
      <c r="A402" s="6" t="s">
        <v>845</v>
      </c>
      <c r="B402" s="6" t="s">
        <v>846</v>
      </c>
      <c r="C402" s="4" t="b">
        <v>0</v>
      </c>
      <c r="D402" s="4" t="b">
        <v>0</v>
      </c>
      <c r="E402" s="4" t="b">
        <v>0</v>
      </c>
      <c r="F402" s="4"/>
      <c r="G402" s="4" t="b">
        <f t="shared" si="6"/>
        <v>0</v>
      </c>
      <c r="H402" s="4"/>
      <c r="I402" s="4"/>
      <c r="J402" s="4" t="s">
        <v>20</v>
      </c>
      <c r="K402"/>
    </row>
    <row r="403" spans="1:11" ht="16" hidden="1" x14ac:dyDescent="0.2">
      <c r="A403" s="6" t="s">
        <v>847</v>
      </c>
      <c r="B403" s="6" t="s">
        <v>848</v>
      </c>
      <c r="C403" s="4" t="b">
        <v>0</v>
      </c>
      <c r="D403" s="4" t="b">
        <v>0</v>
      </c>
      <c r="E403" s="4" t="b">
        <v>0</v>
      </c>
      <c r="F403" s="4"/>
      <c r="G403" s="4" t="b">
        <f t="shared" si="6"/>
        <v>0</v>
      </c>
      <c r="H403" s="4"/>
      <c r="I403" s="4"/>
      <c r="J403" s="4" t="s">
        <v>20</v>
      </c>
      <c r="K403"/>
    </row>
    <row r="404" spans="1:11" ht="32" hidden="1" x14ac:dyDescent="0.2">
      <c r="A404" s="6" t="s">
        <v>849</v>
      </c>
      <c r="B404" s="6" t="s">
        <v>850</v>
      </c>
      <c r="C404" s="4" t="b">
        <v>0</v>
      </c>
      <c r="D404" s="4" t="b">
        <v>0</v>
      </c>
      <c r="E404" s="4" t="b">
        <v>0</v>
      </c>
      <c r="F404" s="4" t="s">
        <v>12</v>
      </c>
      <c r="G404" s="4" t="b">
        <f t="shared" si="6"/>
        <v>1</v>
      </c>
      <c r="H404" s="4" t="s">
        <v>3104</v>
      </c>
      <c r="I404" s="4"/>
      <c r="J404" s="4" t="s">
        <v>20</v>
      </c>
    </row>
    <row r="405" spans="1:11" ht="16" hidden="1" x14ac:dyDescent="0.2">
      <c r="A405" s="6" t="s">
        <v>851</v>
      </c>
      <c r="B405" s="6" t="s">
        <v>852</v>
      </c>
      <c r="C405" s="4" t="b">
        <v>0</v>
      </c>
      <c r="D405" s="4" t="b">
        <v>0</v>
      </c>
      <c r="E405" s="4" t="b">
        <v>0</v>
      </c>
      <c r="F405" s="4"/>
      <c r="G405" s="4" t="b">
        <f t="shared" si="6"/>
        <v>0</v>
      </c>
      <c r="H405" s="4"/>
      <c r="I405" s="4"/>
      <c r="J405" s="4" t="s">
        <v>20</v>
      </c>
      <c r="K405"/>
    </row>
    <row r="406" spans="1:11" ht="16" x14ac:dyDescent="0.2">
      <c r="A406" s="6" t="s">
        <v>853</v>
      </c>
      <c r="B406" s="6" t="s">
        <v>854</v>
      </c>
      <c r="C406" s="4" t="b">
        <v>1</v>
      </c>
      <c r="D406" s="4" t="b">
        <v>0</v>
      </c>
      <c r="E406" s="4" t="b">
        <v>1</v>
      </c>
      <c r="F406" s="4" t="s">
        <v>12</v>
      </c>
      <c r="G406" s="4" t="b">
        <f t="shared" si="6"/>
        <v>1</v>
      </c>
      <c r="H406" s="4" t="s">
        <v>3171</v>
      </c>
      <c r="I406" s="4"/>
      <c r="J406" s="4" t="s">
        <v>20</v>
      </c>
    </row>
    <row r="407" spans="1:11" ht="176" x14ac:dyDescent="0.2">
      <c r="A407" s="6" t="s">
        <v>855</v>
      </c>
      <c r="B407" s="6" t="s">
        <v>856</v>
      </c>
      <c r="C407" s="4" t="b">
        <v>1</v>
      </c>
      <c r="D407" s="4" t="b">
        <v>1</v>
      </c>
      <c r="E407" s="4" t="b">
        <v>1</v>
      </c>
      <c r="F407" s="4" t="s">
        <v>12</v>
      </c>
      <c r="G407" s="4" t="b">
        <f t="shared" si="6"/>
        <v>1</v>
      </c>
      <c r="H407" s="4" t="s">
        <v>3170</v>
      </c>
      <c r="I407" s="4"/>
      <c r="J407" s="4" t="s">
        <v>20</v>
      </c>
    </row>
    <row r="408" spans="1:11" ht="16" hidden="1" x14ac:dyDescent="0.2">
      <c r="A408" s="6" t="s">
        <v>857</v>
      </c>
      <c r="B408" s="6" t="s">
        <v>858</v>
      </c>
      <c r="C408" s="4" t="b">
        <v>0</v>
      </c>
      <c r="D408" s="4" t="b">
        <v>0</v>
      </c>
      <c r="E408" s="4" t="b">
        <v>0</v>
      </c>
      <c r="F408" s="4"/>
      <c r="G408" s="4" t="b">
        <f t="shared" si="6"/>
        <v>0</v>
      </c>
      <c r="H408" s="4"/>
      <c r="I408" s="4"/>
      <c r="J408" s="4" t="s">
        <v>20</v>
      </c>
      <c r="K408"/>
    </row>
    <row r="409" spans="1:11" ht="64" x14ac:dyDescent="0.2">
      <c r="A409" s="6" t="s">
        <v>859</v>
      </c>
      <c r="B409" s="6" t="s">
        <v>860</v>
      </c>
      <c r="C409" s="4" t="b">
        <v>1</v>
      </c>
      <c r="D409" s="4" t="b">
        <v>1</v>
      </c>
      <c r="E409" s="4" t="b">
        <v>1</v>
      </c>
      <c r="F409" s="4" t="s">
        <v>12</v>
      </c>
      <c r="G409" s="4" t="b">
        <f t="shared" si="6"/>
        <v>1</v>
      </c>
      <c r="H409" s="4" t="s">
        <v>3169</v>
      </c>
      <c r="I409" s="4"/>
      <c r="J409" s="4" t="s">
        <v>20</v>
      </c>
    </row>
    <row r="410" spans="1:11" ht="112" x14ac:dyDescent="0.2">
      <c r="A410" s="6" t="s">
        <v>861</v>
      </c>
      <c r="B410" s="6" t="s">
        <v>862</v>
      </c>
      <c r="C410" s="4" t="b">
        <v>1</v>
      </c>
      <c r="D410" s="4" t="b">
        <v>0</v>
      </c>
      <c r="E410" s="4" t="b">
        <v>1</v>
      </c>
      <c r="F410" s="4" t="s">
        <v>12</v>
      </c>
      <c r="G410" s="4" t="b">
        <f t="shared" si="6"/>
        <v>1</v>
      </c>
      <c r="H410" s="4" t="s">
        <v>3168</v>
      </c>
      <c r="I410" s="4"/>
      <c r="J410" s="4" t="s">
        <v>20</v>
      </c>
    </row>
    <row r="411" spans="1:11" ht="16" hidden="1" x14ac:dyDescent="0.2">
      <c r="A411" s="6" t="s">
        <v>863</v>
      </c>
      <c r="B411" s="6" t="s">
        <v>864</v>
      </c>
      <c r="C411" s="4" t="b">
        <v>0</v>
      </c>
      <c r="D411" s="4" t="b">
        <v>0</v>
      </c>
      <c r="E411" s="4" t="b">
        <v>0</v>
      </c>
      <c r="F411" s="4"/>
      <c r="G411" s="4" t="b">
        <f t="shared" si="6"/>
        <v>0</v>
      </c>
      <c r="H411" s="4"/>
      <c r="I411" s="4"/>
      <c r="J411" s="4" t="s">
        <v>20</v>
      </c>
      <c r="K411"/>
    </row>
    <row r="412" spans="1:11" ht="16" hidden="1" x14ac:dyDescent="0.2">
      <c r="A412" s="6" t="s">
        <v>865</v>
      </c>
      <c r="B412" s="6" t="s">
        <v>866</v>
      </c>
      <c r="C412" s="4" t="b">
        <v>0</v>
      </c>
      <c r="D412" s="4" t="b">
        <v>0</v>
      </c>
      <c r="E412" s="4" t="b">
        <v>0</v>
      </c>
      <c r="F412" s="4"/>
      <c r="G412" s="4" t="b">
        <f t="shared" si="6"/>
        <v>0</v>
      </c>
      <c r="H412" s="4"/>
      <c r="I412" s="4"/>
      <c r="J412" s="4" t="s">
        <v>20</v>
      </c>
      <c r="K412"/>
    </row>
    <row r="413" spans="1:11" ht="80" x14ac:dyDescent="0.2">
      <c r="A413" s="6" t="s">
        <v>867</v>
      </c>
      <c r="B413" s="6" t="s">
        <v>868</v>
      </c>
      <c r="C413" s="4" t="b">
        <v>1</v>
      </c>
      <c r="D413" s="4" t="b">
        <v>0</v>
      </c>
      <c r="E413" s="4" t="b">
        <v>1</v>
      </c>
      <c r="F413" s="4" t="s">
        <v>12</v>
      </c>
      <c r="G413" s="4" t="b">
        <f t="shared" si="6"/>
        <v>1</v>
      </c>
      <c r="H413" s="4" t="s">
        <v>3167</v>
      </c>
      <c r="I413" s="4"/>
      <c r="J413" s="4" t="s">
        <v>20</v>
      </c>
    </row>
    <row r="414" spans="1:11" ht="16" hidden="1" x14ac:dyDescent="0.2">
      <c r="A414" s="6" t="s">
        <v>869</v>
      </c>
      <c r="B414" s="6" t="s">
        <v>870</v>
      </c>
      <c r="C414" s="4" t="b">
        <v>0</v>
      </c>
      <c r="D414" s="4" t="b">
        <v>0</v>
      </c>
      <c r="E414" s="4" t="b">
        <v>1</v>
      </c>
      <c r="F414" s="4"/>
      <c r="G414" s="4" t="b">
        <f t="shared" si="6"/>
        <v>0</v>
      </c>
      <c r="H414" s="4"/>
      <c r="I414" s="4"/>
      <c r="J414" s="4" t="s">
        <v>20</v>
      </c>
      <c r="K414"/>
    </row>
    <row r="415" spans="1:11" ht="16" hidden="1" x14ac:dyDescent="0.2">
      <c r="A415" s="6" t="s">
        <v>871</v>
      </c>
      <c r="B415" s="6" t="s">
        <v>872</v>
      </c>
      <c r="C415" s="4" t="b">
        <v>0</v>
      </c>
      <c r="D415" s="4" t="b">
        <v>0</v>
      </c>
      <c r="E415" s="4" t="b">
        <v>0</v>
      </c>
      <c r="F415" s="4"/>
      <c r="G415" s="4" t="b">
        <f t="shared" si="6"/>
        <v>0</v>
      </c>
      <c r="H415" s="4"/>
      <c r="I415" s="4"/>
      <c r="J415" s="4" t="s">
        <v>20</v>
      </c>
      <c r="K415"/>
    </row>
    <row r="416" spans="1:11" ht="32" hidden="1" x14ac:dyDescent="0.2">
      <c r="A416" s="6" t="s">
        <v>873</v>
      </c>
      <c r="B416" s="6" t="s">
        <v>874</v>
      </c>
      <c r="C416" s="4" t="b">
        <v>0</v>
      </c>
      <c r="D416" s="4" t="b">
        <v>0</v>
      </c>
      <c r="E416" s="4" t="b">
        <v>1</v>
      </c>
      <c r="F416" s="4" t="s">
        <v>12</v>
      </c>
      <c r="G416" s="4" t="b">
        <f t="shared" si="6"/>
        <v>1</v>
      </c>
      <c r="H416" s="4" t="s">
        <v>3104</v>
      </c>
      <c r="I416" s="4"/>
      <c r="J416" s="4" t="s">
        <v>20</v>
      </c>
    </row>
    <row r="417" spans="1:11" ht="16" hidden="1" x14ac:dyDescent="0.2">
      <c r="A417" s="6" t="s">
        <v>875</v>
      </c>
      <c r="B417" s="6" t="s">
        <v>876</v>
      </c>
      <c r="C417" s="4" t="b">
        <v>0</v>
      </c>
      <c r="D417" s="4" t="b">
        <v>0</v>
      </c>
      <c r="E417" s="4" t="b">
        <v>1</v>
      </c>
      <c r="F417" s="4"/>
      <c r="G417" s="4" t="b">
        <f t="shared" si="6"/>
        <v>0</v>
      </c>
      <c r="H417" s="4"/>
      <c r="I417" s="4"/>
      <c r="J417" s="4" t="s">
        <v>20</v>
      </c>
      <c r="K417"/>
    </row>
    <row r="418" spans="1:11" ht="16" hidden="1" x14ac:dyDescent="0.2">
      <c r="A418" s="6" t="s">
        <v>877</v>
      </c>
      <c r="B418" s="6" t="s">
        <v>878</v>
      </c>
      <c r="C418" s="4" t="b">
        <v>0</v>
      </c>
      <c r="D418" s="4" t="b">
        <v>0</v>
      </c>
      <c r="E418" s="4" t="b">
        <v>0</v>
      </c>
      <c r="F418" s="4"/>
      <c r="G418" s="4" t="b">
        <f t="shared" si="6"/>
        <v>0</v>
      </c>
      <c r="H418" s="4"/>
      <c r="I418" s="4"/>
      <c r="J418" s="4" t="s">
        <v>20</v>
      </c>
      <c r="K418"/>
    </row>
    <row r="419" spans="1:11" ht="16" hidden="1" x14ac:dyDescent="0.2">
      <c r="A419" s="6" t="s">
        <v>879</v>
      </c>
      <c r="B419" s="6" t="s">
        <v>880</v>
      </c>
      <c r="C419" s="4" t="b">
        <v>0</v>
      </c>
      <c r="D419" s="4" t="b">
        <v>0</v>
      </c>
      <c r="E419" s="4" t="b">
        <v>1</v>
      </c>
      <c r="F419" s="4"/>
      <c r="G419" s="4" t="b">
        <f t="shared" si="6"/>
        <v>0</v>
      </c>
      <c r="H419" s="4"/>
      <c r="I419" s="4"/>
      <c r="J419" s="4" t="s">
        <v>20</v>
      </c>
      <c r="K419"/>
    </row>
    <row r="420" spans="1:11" ht="16" hidden="1" x14ac:dyDescent="0.2">
      <c r="A420" s="6" t="s">
        <v>881</v>
      </c>
      <c r="B420" s="6" t="s">
        <v>882</v>
      </c>
      <c r="C420" s="4" t="b">
        <v>0</v>
      </c>
      <c r="D420" s="4" t="b">
        <v>0</v>
      </c>
      <c r="E420" s="4" t="b">
        <v>1</v>
      </c>
      <c r="F420" s="4"/>
      <c r="G420" s="4" t="b">
        <f t="shared" si="6"/>
        <v>0</v>
      </c>
      <c r="H420" s="4"/>
      <c r="I420" s="4"/>
      <c r="J420" s="4" t="s">
        <v>20</v>
      </c>
      <c r="K420"/>
    </row>
    <row r="421" spans="1:11" ht="16" hidden="1" x14ac:dyDescent="0.2">
      <c r="A421" s="6" t="s">
        <v>883</v>
      </c>
      <c r="B421" s="6" t="s">
        <v>884</v>
      </c>
      <c r="C421" s="4" t="b">
        <v>0</v>
      </c>
      <c r="D421" s="4" t="b">
        <v>0</v>
      </c>
      <c r="E421" s="4" t="b">
        <v>0</v>
      </c>
      <c r="F421" s="4"/>
      <c r="G421" s="4" t="b">
        <f t="shared" si="6"/>
        <v>0</v>
      </c>
      <c r="H421" s="4"/>
      <c r="I421" s="4"/>
      <c r="J421" s="4" t="s">
        <v>20</v>
      </c>
      <c r="K421"/>
    </row>
    <row r="422" spans="1:11" ht="32" x14ac:dyDescent="0.2">
      <c r="A422" s="6" t="s">
        <v>885</v>
      </c>
      <c r="B422" s="6" t="s">
        <v>886</v>
      </c>
      <c r="C422" s="4" t="b">
        <v>1</v>
      </c>
      <c r="D422" s="4" t="b">
        <v>0</v>
      </c>
      <c r="E422" s="4" t="b">
        <v>1</v>
      </c>
      <c r="F422" s="4" t="s">
        <v>12</v>
      </c>
      <c r="G422" s="4" t="b">
        <f t="shared" si="6"/>
        <v>1</v>
      </c>
      <c r="H422" s="4" t="s">
        <v>3165</v>
      </c>
      <c r="I422" s="4"/>
      <c r="J422" s="4" t="s">
        <v>20</v>
      </c>
    </row>
    <row r="423" spans="1:11" ht="16" hidden="1" x14ac:dyDescent="0.2">
      <c r="A423" s="6" t="s">
        <v>887</v>
      </c>
      <c r="B423" s="6" t="s">
        <v>888</v>
      </c>
      <c r="C423" s="4" t="b">
        <v>0</v>
      </c>
      <c r="D423" s="4" t="b">
        <v>0</v>
      </c>
      <c r="E423" s="4" t="b">
        <v>1</v>
      </c>
      <c r="F423" s="4"/>
      <c r="G423" s="4" t="b">
        <f t="shared" si="6"/>
        <v>0</v>
      </c>
      <c r="H423" s="4"/>
      <c r="I423" s="4"/>
      <c r="J423" s="4" t="s">
        <v>20</v>
      </c>
      <c r="K423"/>
    </row>
    <row r="424" spans="1:11" ht="64" x14ac:dyDescent="0.2">
      <c r="A424" s="6" t="s">
        <v>889</v>
      </c>
      <c r="B424" s="6" t="s">
        <v>890</v>
      </c>
      <c r="C424" s="4" t="b">
        <v>1</v>
      </c>
      <c r="D424" s="4" t="b">
        <v>0</v>
      </c>
      <c r="E424" s="4" t="b">
        <v>1</v>
      </c>
      <c r="F424" s="4" t="s">
        <v>12</v>
      </c>
      <c r="G424" s="4" t="b">
        <f t="shared" si="6"/>
        <v>1</v>
      </c>
      <c r="H424" s="4" t="s">
        <v>3164</v>
      </c>
      <c r="I424" s="4"/>
      <c r="J424" s="4" t="s">
        <v>20</v>
      </c>
    </row>
    <row r="425" spans="1:11" ht="16" hidden="1" x14ac:dyDescent="0.2">
      <c r="A425" s="6" t="s">
        <v>891</v>
      </c>
      <c r="B425" s="6" t="s">
        <v>892</v>
      </c>
      <c r="C425" s="4" t="b">
        <v>0</v>
      </c>
      <c r="D425" s="4" t="b">
        <v>0</v>
      </c>
      <c r="E425" s="4" t="b">
        <v>0</v>
      </c>
      <c r="F425" s="4"/>
      <c r="G425" s="4" t="b">
        <f t="shared" si="6"/>
        <v>0</v>
      </c>
      <c r="H425" s="4"/>
      <c r="I425" s="4"/>
      <c r="J425" s="4" t="s">
        <v>20</v>
      </c>
      <c r="K425"/>
    </row>
    <row r="426" spans="1:11" ht="16" hidden="1" x14ac:dyDescent="0.2">
      <c r="A426" s="6" t="s">
        <v>893</v>
      </c>
      <c r="B426" s="6" t="s">
        <v>894</v>
      </c>
      <c r="C426" s="4" t="b">
        <v>0</v>
      </c>
      <c r="D426" s="4" t="b">
        <v>0</v>
      </c>
      <c r="E426" s="4" t="b">
        <v>0</v>
      </c>
      <c r="F426" s="4"/>
      <c r="G426" s="4" t="b">
        <f t="shared" si="6"/>
        <v>0</v>
      </c>
      <c r="H426" s="4"/>
      <c r="I426" s="4"/>
      <c r="J426" s="4" t="s">
        <v>20</v>
      </c>
      <c r="K426"/>
    </row>
    <row r="427" spans="1:11" ht="16" hidden="1" x14ac:dyDescent="0.2">
      <c r="A427" s="6" t="s">
        <v>895</v>
      </c>
      <c r="B427" s="6" t="s">
        <v>896</v>
      </c>
      <c r="C427" s="4" t="b">
        <v>0</v>
      </c>
      <c r="D427" s="4" t="b">
        <v>0</v>
      </c>
      <c r="E427" s="4" t="b">
        <v>0</v>
      </c>
      <c r="F427" s="4"/>
      <c r="G427" s="4" t="b">
        <f t="shared" si="6"/>
        <v>0</v>
      </c>
      <c r="H427" s="4"/>
      <c r="I427" s="4"/>
      <c r="J427" s="4" t="s">
        <v>20</v>
      </c>
      <c r="K427"/>
    </row>
    <row r="428" spans="1:11" ht="16" hidden="1" x14ac:dyDescent="0.2">
      <c r="A428" s="6" t="s">
        <v>897</v>
      </c>
      <c r="B428" s="6" t="s">
        <v>898</v>
      </c>
      <c r="C428" s="4" t="b">
        <v>0</v>
      </c>
      <c r="D428" s="4" t="b">
        <v>0</v>
      </c>
      <c r="E428" s="4" t="b">
        <v>0</v>
      </c>
      <c r="F428" s="4"/>
      <c r="G428" s="4" t="b">
        <f t="shared" si="6"/>
        <v>0</v>
      </c>
      <c r="H428" s="4"/>
      <c r="I428" s="4"/>
      <c r="J428" s="4" t="s">
        <v>20</v>
      </c>
      <c r="K428"/>
    </row>
    <row r="429" spans="1:11" ht="16" hidden="1" x14ac:dyDescent="0.2">
      <c r="A429" s="6" t="s">
        <v>899</v>
      </c>
      <c r="B429" s="6" t="s">
        <v>900</v>
      </c>
      <c r="C429" s="4" t="b">
        <v>0</v>
      </c>
      <c r="D429" s="4" t="b">
        <v>0</v>
      </c>
      <c r="E429" s="4" t="b">
        <v>0</v>
      </c>
      <c r="F429" s="4"/>
      <c r="G429" s="4" t="b">
        <f t="shared" si="6"/>
        <v>0</v>
      </c>
      <c r="H429" s="4"/>
      <c r="I429" s="4"/>
      <c r="J429" s="4" t="s">
        <v>20</v>
      </c>
      <c r="K429"/>
    </row>
    <row r="430" spans="1:11" ht="16" hidden="1" x14ac:dyDescent="0.2">
      <c r="A430" s="6" t="s">
        <v>901</v>
      </c>
      <c r="B430" s="6" t="s">
        <v>902</v>
      </c>
      <c r="C430" s="4" t="b">
        <v>0</v>
      </c>
      <c r="D430" s="4" t="b">
        <v>0</v>
      </c>
      <c r="E430" s="4" t="b">
        <v>0</v>
      </c>
      <c r="F430" s="4"/>
      <c r="G430" s="4" t="b">
        <f t="shared" si="6"/>
        <v>0</v>
      </c>
      <c r="H430" s="4"/>
      <c r="I430" s="4"/>
      <c r="J430" s="4" t="s">
        <v>20</v>
      </c>
      <c r="K430"/>
    </row>
    <row r="431" spans="1:11" ht="16" hidden="1" x14ac:dyDescent="0.2">
      <c r="A431" s="6" t="s">
        <v>903</v>
      </c>
      <c r="B431" s="6" t="s">
        <v>904</v>
      </c>
      <c r="C431" s="4" t="b">
        <v>0</v>
      </c>
      <c r="D431" s="4" t="b">
        <v>0</v>
      </c>
      <c r="E431" s="4" t="b">
        <v>0</v>
      </c>
      <c r="F431" s="4"/>
      <c r="G431" s="4" t="b">
        <f t="shared" si="6"/>
        <v>0</v>
      </c>
      <c r="H431" s="4"/>
      <c r="I431" s="4"/>
      <c r="J431" s="4" t="s">
        <v>20</v>
      </c>
      <c r="K431"/>
    </row>
    <row r="432" spans="1:11" ht="16" hidden="1" x14ac:dyDescent="0.2">
      <c r="A432" s="6" t="s">
        <v>905</v>
      </c>
      <c r="B432" s="6" t="s">
        <v>906</v>
      </c>
      <c r="C432" s="4" t="b">
        <v>0</v>
      </c>
      <c r="D432" s="4" t="b">
        <v>0</v>
      </c>
      <c r="E432" s="4" t="b">
        <v>1</v>
      </c>
      <c r="F432" s="4"/>
      <c r="G432" s="4" t="b">
        <f t="shared" si="6"/>
        <v>0</v>
      </c>
      <c r="H432" s="4"/>
      <c r="I432" s="4"/>
      <c r="J432" s="4" t="s">
        <v>20</v>
      </c>
      <c r="K432"/>
    </row>
    <row r="433" spans="1:11" ht="16" hidden="1" x14ac:dyDescent="0.2">
      <c r="A433" s="6" t="s">
        <v>907</v>
      </c>
      <c r="B433" s="6" t="s">
        <v>908</v>
      </c>
      <c r="C433" s="4" t="b">
        <v>0</v>
      </c>
      <c r="D433" s="4" t="b">
        <v>0</v>
      </c>
      <c r="E433" s="4" t="b">
        <v>0</v>
      </c>
      <c r="F433" s="4"/>
      <c r="G433" s="4" t="b">
        <f t="shared" si="6"/>
        <v>0</v>
      </c>
      <c r="H433" s="4"/>
      <c r="I433" s="4"/>
      <c r="J433" s="4" t="s">
        <v>20</v>
      </c>
      <c r="K433"/>
    </row>
    <row r="434" spans="1:11" ht="16" hidden="1" x14ac:dyDescent="0.2">
      <c r="A434" s="6" t="s">
        <v>909</v>
      </c>
      <c r="B434" s="6" t="s">
        <v>910</v>
      </c>
      <c r="C434" s="4" t="b">
        <v>0</v>
      </c>
      <c r="D434" s="4" t="b">
        <v>0</v>
      </c>
      <c r="E434" s="4" t="b">
        <v>0</v>
      </c>
      <c r="F434" s="4"/>
      <c r="G434" s="4" t="b">
        <f t="shared" si="6"/>
        <v>0</v>
      </c>
      <c r="H434" s="4"/>
      <c r="I434" s="4"/>
      <c r="J434" s="4" t="s">
        <v>20</v>
      </c>
      <c r="K434"/>
    </row>
    <row r="435" spans="1:11" ht="16" hidden="1" x14ac:dyDescent="0.2">
      <c r="A435" s="6" t="s">
        <v>911</v>
      </c>
      <c r="B435" s="6" t="s">
        <v>912</v>
      </c>
      <c r="C435" s="4" t="b">
        <v>0</v>
      </c>
      <c r="D435" s="4" t="b">
        <v>0</v>
      </c>
      <c r="E435" s="4" t="b">
        <v>1</v>
      </c>
      <c r="F435" s="4"/>
      <c r="G435" s="4" t="b">
        <f t="shared" si="6"/>
        <v>0</v>
      </c>
      <c r="H435" s="4"/>
      <c r="I435" s="4"/>
      <c r="J435" s="4" t="s">
        <v>20</v>
      </c>
      <c r="K435"/>
    </row>
    <row r="436" spans="1:11" ht="16" hidden="1" x14ac:dyDescent="0.2">
      <c r="A436" s="6" t="s">
        <v>913</v>
      </c>
      <c r="B436" s="6" t="s">
        <v>914</v>
      </c>
      <c r="C436" s="4" t="b">
        <v>0</v>
      </c>
      <c r="D436" s="4" t="b">
        <v>0</v>
      </c>
      <c r="E436" s="4" t="b">
        <v>0</v>
      </c>
      <c r="F436" s="4"/>
      <c r="G436" s="4" t="b">
        <f t="shared" si="6"/>
        <v>0</v>
      </c>
      <c r="H436" s="4"/>
      <c r="I436" s="4"/>
      <c r="J436" s="4" t="s">
        <v>20</v>
      </c>
      <c r="K436"/>
    </row>
    <row r="437" spans="1:11" ht="16" hidden="1" x14ac:dyDescent="0.2">
      <c r="A437" s="6" t="s">
        <v>915</v>
      </c>
      <c r="B437" s="6" t="s">
        <v>916</v>
      </c>
      <c r="C437" s="4" t="b">
        <v>0</v>
      </c>
      <c r="D437" s="4" t="b">
        <v>0</v>
      </c>
      <c r="E437" s="4" t="b">
        <v>0</v>
      </c>
      <c r="F437" s="4"/>
      <c r="G437" s="4" t="b">
        <f t="shared" si="6"/>
        <v>0</v>
      </c>
      <c r="H437" s="4"/>
      <c r="I437" s="4"/>
      <c r="J437" s="4" t="s">
        <v>20</v>
      </c>
      <c r="K437"/>
    </row>
    <row r="438" spans="1:11" ht="16" hidden="1" x14ac:dyDescent="0.2">
      <c r="A438" s="6" t="s">
        <v>917</v>
      </c>
      <c r="B438" s="6" t="s">
        <v>918</v>
      </c>
      <c r="C438" s="4" t="b">
        <v>0</v>
      </c>
      <c r="D438" s="4" t="b">
        <v>0</v>
      </c>
      <c r="E438" s="4" t="b">
        <v>0</v>
      </c>
      <c r="F438" s="4"/>
      <c r="G438" s="4" t="b">
        <f t="shared" si="6"/>
        <v>0</v>
      </c>
      <c r="H438" s="4"/>
      <c r="I438" s="4"/>
      <c r="J438" s="4" t="s">
        <v>20</v>
      </c>
      <c r="K438"/>
    </row>
    <row r="439" spans="1:11" ht="176" x14ac:dyDescent="0.2">
      <c r="A439" s="6" t="s">
        <v>919</v>
      </c>
      <c r="B439" s="6" t="s">
        <v>920</v>
      </c>
      <c r="C439" s="4" t="b">
        <v>1</v>
      </c>
      <c r="D439" s="4" t="b">
        <v>1</v>
      </c>
      <c r="E439" s="4" t="b">
        <v>1</v>
      </c>
      <c r="F439" s="4" t="s">
        <v>12</v>
      </c>
      <c r="G439" s="4" t="b">
        <f t="shared" si="6"/>
        <v>1</v>
      </c>
      <c r="H439" s="4" t="s">
        <v>3166</v>
      </c>
      <c r="I439" s="4"/>
      <c r="J439" s="4" t="s">
        <v>20</v>
      </c>
    </row>
    <row r="440" spans="1:11" ht="112" x14ac:dyDescent="0.2">
      <c r="A440" s="6" t="s">
        <v>921</v>
      </c>
      <c r="B440" s="6" t="s">
        <v>922</v>
      </c>
      <c r="C440" s="4" t="b">
        <v>1</v>
      </c>
      <c r="D440" s="4" t="b">
        <v>0</v>
      </c>
      <c r="E440" s="4" t="b">
        <v>1</v>
      </c>
      <c r="F440" s="4" t="s">
        <v>12</v>
      </c>
      <c r="G440" s="4" t="b">
        <f t="shared" si="6"/>
        <v>1</v>
      </c>
      <c r="H440" s="4" t="s">
        <v>3163</v>
      </c>
      <c r="I440" s="4"/>
      <c r="J440" s="4" t="s">
        <v>20</v>
      </c>
    </row>
    <row r="441" spans="1:11" ht="16" hidden="1" x14ac:dyDescent="0.2">
      <c r="A441" s="6" t="s">
        <v>923</v>
      </c>
      <c r="B441" s="6" t="s">
        <v>924</v>
      </c>
      <c r="C441" s="4" t="b">
        <v>0</v>
      </c>
      <c r="D441" s="4" t="b">
        <v>0</v>
      </c>
      <c r="E441" s="4" t="b">
        <v>1</v>
      </c>
      <c r="F441" s="4"/>
      <c r="G441" s="4" t="b">
        <f t="shared" si="6"/>
        <v>0</v>
      </c>
      <c r="H441" s="4"/>
      <c r="I441" s="4"/>
      <c r="J441" s="4" t="s">
        <v>20</v>
      </c>
      <c r="K441"/>
    </row>
    <row r="442" spans="1:11" ht="16" hidden="1" x14ac:dyDescent="0.2">
      <c r="A442" s="6" t="s">
        <v>925</v>
      </c>
      <c r="B442" s="6" t="s">
        <v>926</v>
      </c>
      <c r="C442" s="4" t="b">
        <v>0</v>
      </c>
      <c r="D442" s="4" t="b">
        <v>0</v>
      </c>
      <c r="E442" s="4" t="b">
        <v>0</v>
      </c>
      <c r="F442" s="4"/>
      <c r="G442" s="4" t="b">
        <f t="shared" si="6"/>
        <v>0</v>
      </c>
      <c r="H442" s="4"/>
      <c r="I442" s="4"/>
      <c r="J442" s="4" t="s">
        <v>20</v>
      </c>
      <c r="K442"/>
    </row>
    <row r="443" spans="1:11" ht="64" x14ac:dyDescent="0.2">
      <c r="A443" s="6" t="s">
        <v>927</v>
      </c>
      <c r="B443" s="6" t="s">
        <v>928</v>
      </c>
      <c r="C443" s="4" t="b">
        <v>1</v>
      </c>
      <c r="D443" s="4" t="b">
        <v>0</v>
      </c>
      <c r="E443" s="4" t="b">
        <v>1</v>
      </c>
      <c r="F443" s="4" t="s">
        <v>12</v>
      </c>
      <c r="G443" s="4" t="b">
        <f t="shared" si="6"/>
        <v>1</v>
      </c>
      <c r="H443" s="4" t="s">
        <v>3161</v>
      </c>
      <c r="I443" s="4"/>
      <c r="J443" s="4" t="s">
        <v>20</v>
      </c>
    </row>
    <row r="444" spans="1:11" ht="16" hidden="1" x14ac:dyDescent="0.2">
      <c r="A444" s="6" t="s">
        <v>929</v>
      </c>
      <c r="B444" s="6" t="s">
        <v>930</v>
      </c>
      <c r="C444" s="4" t="b">
        <v>0</v>
      </c>
      <c r="D444" s="4" t="b">
        <v>0</v>
      </c>
      <c r="E444" s="4" t="b">
        <v>1</v>
      </c>
      <c r="F444" s="4" t="s">
        <v>12</v>
      </c>
      <c r="G444" s="4" t="b">
        <f t="shared" si="6"/>
        <v>1</v>
      </c>
      <c r="H444" s="4" t="s">
        <v>3160</v>
      </c>
      <c r="I444" s="4"/>
      <c r="J444" s="4" t="s">
        <v>20</v>
      </c>
    </row>
    <row r="445" spans="1:11" ht="48" x14ac:dyDescent="0.2">
      <c r="A445" s="6" t="s">
        <v>931</v>
      </c>
      <c r="B445" s="6" t="s">
        <v>932</v>
      </c>
      <c r="C445" s="4" t="b">
        <v>1</v>
      </c>
      <c r="D445" s="4" t="b">
        <v>0</v>
      </c>
      <c r="E445" s="4" t="b">
        <v>1</v>
      </c>
      <c r="F445" s="4" t="s">
        <v>12</v>
      </c>
      <c r="G445" s="4" t="b">
        <f t="shared" si="6"/>
        <v>1</v>
      </c>
      <c r="H445" s="4" t="s">
        <v>3239</v>
      </c>
      <c r="I445" s="4"/>
      <c r="J445" s="4" t="s">
        <v>98</v>
      </c>
      <c r="K445"/>
    </row>
    <row r="446" spans="1:11" ht="16" hidden="1" x14ac:dyDescent="0.2">
      <c r="A446" s="6" t="s">
        <v>933</v>
      </c>
      <c r="B446" s="6" t="s">
        <v>934</v>
      </c>
      <c r="C446" s="4" t="b">
        <v>0</v>
      </c>
      <c r="D446" s="4" t="b">
        <v>0</v>
      </c>
      <c r="E446" s="4" t="b">
        <v>1</v>
      </c>
      <c r="F446" s="4"/>
      <c r="G446" s="4" t="b">
        <f t="shared" si="6"/>
        <v>0</v>
      </c>
      <c r="H446" s="4"/>
      <c r="I446" s="4"/>
      <c r="J446" s="4" t="s">
        <v>98</v>
      </c>
      <c r="K446"/>
    </row>
    <row r="447" spans="1:11" ht="16" hidden="1" x14ac:dyDescent="0.2">
      <c r="A447" s="6" t="s">
        <v>935</v>
      </c>
      <c r="B447" s="6" t="s">
        <v>936</v>
      </c>
      <c r="C447" s="4" t="b">
        <v>0</v>
      </c>
      <c r="D447" s="4" t="b">
        <v>0</v>
      </c>
      <c r="E447" s="4" t="b">
        <v>1</v>
      </c>
      <c r="F447" s="4"/>
      <c r="G447" s="4" t="b">
        <f t="shared" si="6"/>
        <v>0</v>
      </c>
      <c r="H447" s="4"/>
      <c r="I447" s="4"/>
      <c r="J447" s="4" t="s">
        <v>98</v>
      </c>
      <c r="K447"/>
    </row>
    <row r="448" spans="1:11" ht="16" hidden="1" x14ac:dyDescent="0.2">
      <c r="A448" s="6" t="s">
        <v>937</v>
      </c>
      <c r="B448" s="6" t="s">
        <v>938</v>
      </c>
      <c r="C448" s="4" t="b">
        <v>0</v>
      </c>
      <c r="D448" s="4" t="b">
        <v>0</v>
      </c>
      <c r="E448" s="4" t="b">
        <v>0</v>
      </c>
      <c r="F448" s="4"/>
      <c r="G448" s="4" t="b">
        <f t="shared" si="6"/>
        <v>0</v>
      </c>
      <c r="H448" s="4"/>
      <c r="I448" s="4"/>
      <c r="J448" s="4" t="s">
        <v>98</v>
      </c>
      <c r="K448"/>
    </row>
    <row r="449" spans="1:10" customFormat="1" ht="48" x14ac:dyDescent="0.2">
      <c r="A449" s="6" t="s">
        <v>939</v>
      </c>
      <c r="B449" s="6" t="s">
        <v>940</v>
      </c>
      <c r="C449" s="4" t="b">
        <v>1</v>
      </c>
      <c r="D449" s="4" t="b">
        <v>0</v>
      </c>
      <c r="E449" s="4" t="b">
        <v>1</v>
      </c>
      <c r="F449" s="4" t="s">
        <v>12</v>
      </c>
      <c r="G449" s="4" t="b">
        <f t="shared" si="6"/>
        <v>1</v>
      </c>
      <c r="H449" s="4" t="s">
        <v>3240</v>
      </c>
      <c r="I449" s="4"/>
      <c r="J449" s="4" t="s">
        <v>98</v>
      </c>
    </row>
    <row r="450" spans="1:10" customFormat="1" ht="16" hidden="1" x14ac:dyDescent="0.2">
      <c r="A450" s="6" t="s">
        <v>941</v>
      </c>
      <c r="B450" s="6" t="s">
        <v>942</v>
      </c>
      <c r="C450" s="4" t="b">
        <v>0</v>
      </c>
      <c r="D450" s="4" t="b">
        <v>0</v>
      </c>
      <c r="E450" s="4" t="b">
        <v>0</v>
      </c>
      <c r="F450" s="4"/>
      <c r="G450" s="4" t="b">
        <f t="shared" ref="G450:G513" si="7">IF(F450="✔", TRUE, FALSE)</f>
        <v>0</v>
      </c>
      <c r="H450" s="4"/>
      <c r="I450" s="4"/>
      <c r="J450" s="4" t="s">
        <v>98</v>
      </c>
    </row>
    <row r="451" spans="1:10" customFormat="1" ht="16" hidden="1" x14ac:dyDescent="0.2">
      <c r="A451" s="6" t="s">
        <v>943</v>
      </c>
      <c r="B451" s="6" t="s">
        <v>944</v>
      </c>
      <c r="C451" s="4" t="b">
        <v>0</v>
      </c>
      <c r="D451" s="4" t="b">
        <v>0</v>
      </c>
      <c r="E451" s="4" t="b">
        <v>0</v>
      </c>
      <c r="F451" s="4"/>
      <c r="G451" s="4" t="b">
        <f t="shared" si="7"/>
        <v>0</v>
      </c>
      <c r="H451" s="4"/>
      <c r="I451" s="4"/>
      <c r="J451" s="4" t="s">
        <v>98</v>
      </c>
    </row>
    <row r="452" spans="1:10" customFormat="1" ht="16" hidden="1" x14ac:dyDescent="0.2">
      <c r="A452" s="6" t="s">
        <v>945</v>
      </c>
      <c r="B452" s="6" t="s">
        <v>946</v>
      </c>
      <c r="C452" s="4" t="b">
        <v>0</v>
      </c>
      <c r="D452" s="4" t="b">
        <v>0</v>
      </c>
      <c r="E452" s="4" t="b">
        <v>0</v>
      </c>
      <c r="F452" s="4"/>
      <c r="G452" s="4" t="b">
        <f t="shared" si="7"/>
        <v>0</v>
      </c>
      <c r="H452" s="4"/>
      <c r="I452" s="4"/>
      <c r="J452" s="4" t="s">
        <v>98</v>
      </c>
    </row>
    <row r="453" spans="1:10" customFormat="1" ht="16" hidden="1" x14ac:dyDescent="0.2">
      <c r="A453" s="6" t="s">
        <v>947</v>
      </c>
      <c r="B453" s="6" t="s">
        <v>948</v>
      </c>
      <c r="C453" s="4" t="b">
        <v>0</v>
      </c>
      <c r="D453" s="4" t="b">
        <v>0</v>
      </c>
      <c r="E453" s="4" t="b">
        <v>0</v>
      </c>
      <c r="F453" s="4"/>
      <c r="G453" s="4" t="b">
        <f t="shared" si="7"/>
        <v>0</v>
      </c>
      <c r="H453" s="4"/>
      <c r="I453" s="4"/>
      <c r="J453" s="4" t="s">
        <v>98</v>
      </c>
    </row>
    <row r="454" spans="1:10" customFormat="1" ht="64" x14ac:dyDescent="0.2">
      <c r="A454" s="6" t="s">
        <v>949</v>
      </c>
      <c r="B454" s="6" t="s">
        <v>950</v>
      </c>
      <c r="C454" s="4" t="b">
        <v>1</v>
      </c>
      <c r="D454" s="4" t="b">
        <v>0</v>
      </c>
      <c r="E454" s="4" t="b">
        <v>1</v>
      </c>
      <c r="F454" s="4" t="s">
        <v>12</v>
      </c>
      <c r="G454" s="4" t="b">
        <f t="shared" si="7"/>
        <v>1</v>
      </c>
      <c r="H454" s="4" t="s">
        <v>3347</v>
      </c>
      <c r="I454" s="4"/>
      <c r="J454" s="4" t="s">
        <v>98</v>
      </c>
    </row>
    <row r="455" spans="1:10" customFormat="1" ht="16" hidden="1" x14ac:dyDescent="0.2">
      <c r="A455" s="6" t="s">
        <v>951</v>
      </c>
      <c r="B455" s="6" t="s">
        <v>952</v>
      </c>
      <c r="C455" s="4" t="b">
        <v>0</v>
      </c>
      <c r="D455" s="4" t="b">
        <v>0</v>
      </c>
      <c r="E455" s="4" t="b">
        <v>1</v>
      </c>
      <c r="F455" s="4"/>
      <c r="G455" s="4" t="b">
        <f t="shared" si="7"/>
        <v>0</v>
      </c>
      <c r="H455" s="4"/>
      <c r="I455" s="4"/>
      <c r="J455" s="4" t="s">
        <v>98</v>
      </c>
    </row>
    <row r="456" spans="1:10" customFormat="1" ht="80" x14ac:dyDescent="0.2">
      <c r="A456" s="6" t="s">
        <v>953</v>
      </c>
      <c r="B456" s="6" t="s">
        <v>954</v>
      </c>
      <c r="C456" s="4" t="b">
        <v>1</v>
      </c>
      <c r="D456" s="4" t="b">
        <v>0</v>
      </c>
      <c r="E456" s="4" t="b">
        <v>1</v>
      </c>
      <c r="F456" s="4" t="s">
        <v>12</v>
      </c>
      <c r="G456" s="4" t="b">
        <f t="shared" si="7"/>
        <v>1</v>
      </c>
      <c r="H456" s="4" t="s">
        <v>3346</v>
      </c>
      <c r="I456" s="4"/>
      <c r="J456" s="4" t="s">
        <v>98</v>
      </c>
    </row>
    <row r="457" spans="1:10" customFormat="1" ht="16" hidden="1" x14ac:dyDescent="0.2">
      <c r="A457" s="6" t="s">
        <v>955</v>
      </c>
      <c r="B457" s="6" t="s">
        <v>956</v>
      </c>
      <c r="C457" s="4" t="b">
        <v>0</v>
      </c>
      <c r="D457" s="4" t="b">
        <v>0</v>
      </c>
      <c r="E457" s="4" t="b">
        <v>0</v>
      </c>
      <c r="F457" s="4"/>
      <c r="G457" s="4" t="b">
        <f t="shared" si="7"/>
        <v>0</v>
      </c>
      <c r="H457" s="4"/>
      <c r="I457" s="4"/>
      <c r="J457" s="4" t="s">
        <v>98</v>
      </c>
    </row>
    <row r="458" spans="1:10" customFormat="1" ht="16" hidden="1" x14ac:dyDescent="0.2">
      <c r="A458" s="6" t="s">
        <v>957</v>
      </c>
      <c r="B458" s="6" t="s">
        <v>958</v>
      </c>
      <c r="C458" s="4" t="b">
        <v>0</v>
      </c>
      <c r="D458" s="4" t="b">
        <v>0</v>
      </c>
      <c r="E458" s="4" t="b">
        <v>1</v>
      </c>
      <c r="F458" s="4"/>
      <c r="G458" s="4" t="b">
        <f t="shared" si="7"/>
        <v>0</v>
      </c>
      <c r="H458" s="4"/>
      <c r="I458" s="4"/>
      <c r="J458" s="4" t="s">
        <v>98</v>
      </c>
    </row>
    <row r="459" spans="1:10" customFormat="1" ht="256" x14ac:dyDescent="0.2">
      <c r="A459" s="6" t="s">
        <v>959</v>
      </c>
      <c r="B459" s="6" t="s">
        <v>960</v>
      </c>
      <c r="C459" s="4" t="b">
        <v>1</v>
      </c>
      <c r="D459" s="4" t="b">
        <v>0</v>
      </c>
      <c r="E459" s="4" t="b">
        <v>1</v>
      </c>
      <c r="F459" s="4" t="s">
        <v>12</v>
      </c>
      <c r="G459" s="4" t="b">
        <f t="shared" si="7"/>
        <v>1</v>
      </c>
      <c r="H459" s="4" t="s">
        <v>3345</v>
      </c>
      <c r="I459" s="4"/>
      <c r="J459" s="4" t="s">
        <v>98</v>
      </c>
    </row>
    <row r="460" spans="1:10" customFormat="1" ht="16" hidden="1" x14ac:dyDescent="0.2">
      <c r="A460" s="6" t="s">
        <v>961</v>
      </c>
      <c r="B460" s="6" t="s">
        <v>962</v>
      </c>
      <c r="C460" s="4" t="b">
        <v>0</v>
      </c>
      <c r="D460" s="4" t="b">
        <v>0</v>
      </c>
      <c r="E460" s="4" t="b">
        <v>1</v>
      </c>
      <c r="F460" s="4"/>
      <c r="G460" s="4" t="b">
        <f t="shared" si="7"/>
        <v>0</v>
      </c>
      <c r="H460" s="4"/>
      <c r="I460" s="4"/>
      <c r="J460" s="4" t="s">
        <v>98</v>
      </c>
    </row>
    <row r="461" spans="1:10" customFormat="1" ht="16" hidden="1" x14ac:dyDescent="0.2">
      <c r="A461" s="6" t="s">
        <v>963</v>
      </c>
      <c r="B461" s="6" t="s">
        <v>964</v>
      </c>
      <c r="C461" s="4" t="b">
        <v>0</v>
      </c>
      <c r="D461" s="4" t="b">
        <v>0</v>
      </c>
      <c r="E461" s="4" t="b">
        <v>0</v>
      </c>
      <c r="F461" s="4"/>
      <c r="G461" s="4" t="b">
        <f t="shared" si="7"/>
        <v>0</v>
      </c>
      <c r="H461" s="4"/>
      <c r="I461" s="4"/>
      <c r="J461" s="4" t="s">
        <v>98</v>
      </c>
    </row>
    <row r="462" spans="1:10" customFormat="1" ht="32" hidden="1" x14ac:dyDescent="0.2">
      <c r="A462" s="6" t="s">
        <v>965</v>
      </c>
      <c r="B462" s="6" t="s">
        <v>966</v>
      </c>
      <c r="C462" s="4" t="b">
        <v>0</v>
      </c>
      <c r="D462" s="4" t="b">
        <v>0</v>
      </c>
      <c r="E462" s="4" t="b">
        <v>1</v>
      </c>
      <c r="F462" s="4" t="s">
        <v>12</v>
      </c>
      <c r="G462" s="4" t="b">
        <f t="shared" si="7"/>
        <v>1</v>
      </c>
      <c r="H462" s="4" t="s">
        <v>3344</v>
      </c>
      <c r="I462" s="4"/>
      <c r="J462" s="4" t="s">
        <v>98</v>
      </c>
    </row>
    <row r="463" spans="1:10" customFormat="1" ht="192" x14ac:dyDescent="0.2">
      <c r="A463" s="6" t="s">
        <v>967</v>
      </c>
      <c r="B463" s="6" t="s">
        <v>968</v>
      </c>
      <c r="C463" s="4" t="b">
        <v>1</v>
      </c>
      <c r="D463" s="4" t="b">
        <v>1</v>
      </c>
      <c r="E463" s="4" t="b">
        <v>1</v>
      </c>
      <c r="F463" s="4" t="s">
        <v>12</v>
      </c>
      <c r="G463" s="4" t="b">
        <f t="shared" si="7"/>
        <v>1</v>
      </c>
      <c r="H463" s="4" t="s">
        <v>3343</v>
      </c>
      <c r="I463" s="4"/>
      <c r="J463" s="4" t="s">
        <v>98</v>
      </c>
    </row>
    <row r="464" spans="1:10" customFormat="1" ht="16" hidden="1" x14ac:dyDescent="0.2">
      <c r="A464" s="6" t="s">
        <v>969</v>
      </c>
      <c r="B464" s="6" t="s">
        <v>970</v>
      </c>
      <c r="C464" s="4" t="b">
        <v>0</v>
      </c>
      <c r="D464" s="4" t="b">
        <v>0</v>
      </c>
      <c r="E464" s="4" t="b">
        <v>0</v>
      </c>
      <c r="F464" s="4"/>
      <c r="G464" s="4" t="b">
        <f t="shared" si="7"/>
        <v>0</v>
      </c>
      <c r="H464" s="4"/>
      <c r="I464" s="4"/>
      <c r="J464" s="4" t="s">
        <v>98</v>
      </c>
    </row>
    <row r="465" spans="1:10" customFormat="1" ht="16" hidden="1" x14ac:dyDescent="0.2">
      <c r="A465" s="6" t="s">
        <v>971</v>
      </c>
      <c r="B465" s="6" t="s">
        <v>972</v>
      </c>
      <c r="C465" s="4" t="b">
        <v>0</v>
      </c>
      <c r="D465" s="4" t="b">
        <v>0</v>
      </c>
      <c r="E465" s="4" t="b">
        <v>0</v>
      </c>
      <c r="F465" s="4"/>
      <c r="G465" s="4" t="b">
        <f t="shared" si="7"/>
        <v>0</v>
      </c>
      <c r="H465" s="4"/>
      <c r="I465" s="4"/>
      <c r="J465" s="4" t="s">
        <v>98</v>
      </c>
    </row>
    <row r="466" spans="1:10" customFormat="1" ht="128" x14ac:dyDescent="0.2">
      <c r="A466" s="6" t="s">
        <v>973</v>
      </c>
      <c r="B466" s="6" t="s">
        <v>974</v>
      </c>
      <c r="C466" s="4" t="b">
        <v>1</v>
      </c>
      <c r="D466" s="4" t="b">
        <v>0</v>
      </c>
      <c r="E466" s="4" t="b">
        <v>1</v>
      </c>
      <c r="F466" s="4" t="s">
        <v>12</v>
      </c>
      <c r="G466" s="4" t="b">
        <f t="shared" si="7"/>
        <v>1</v>
      </c>
      <c r="H466" s="4" t="s">
        <v>3342</v>
      </c>
      <c r="I466" s="4"/>
      <c r="J466" s="4" t="s">
        <v>98</v>
      </c>
    </row>
    <row r="467" spans="1:10" customFormat="1" ht="16" hidden="1" x14ac:dyDescent="0.2">
      <c r="A467" s="6" t="s">
        <v>975</v>
      </c>
      <c r="B467" s="6" t="s">
        <v>976</v>
      </c>
      <c r="C467" s="4" t="b">
        <v>0</v>
      </c>
      <c r="D467" s="4" t="b">
        <v>0</v>
      </c>
      <c r="E467" s="4" t="b">
        <v>0</v>
      </c>
      <c r="F467" s="4"/>
      <c r="G467" s="4" t="b">
        <f t="shared" si="7"/>
        <v>0</v>
      </c>
      <c r="H467" s="4"/>
      <c r="I467" s="4"/>
      <c r="J467" s="4" t="s">
        <v>98</v>
      </c>
    </row>
    <row r="468" spans="1:10" customFormat="1" ht="144" x14ac:dyDescent="0.2">
      <c r="A468" s="6" t="s">
        <v>977</v>
      </c>
      <c r="B468" s="6" t="s">
        <v>978</v>
      </c>
      <c r="C468" s="4" t="b">
        <v>1</v>
      </c>
      <c r="D468" s="4" t="b">
        <v>0</v>
      </c>
      <c r="E468" s="4" t="b">
        <v>1</v>
      </c>
      <c r="F468" s="4" t="s">
        <v>12</v>
      </c>
      <c r="G468" s="4" t="b">
        <f t="shared" si="7"/>
        <v>1</v>
      </c>
      <c r="H468" s="4" t="s">
        <v>3341</v>
      </c>
      <c r="I468" s="4"/>
      <c r="J468" s="4" t="s">
        <v>98</v>
      </c>
    </row>
    <row r="469" spans="1:10" customFormat="1" ht="80" x14ac:dyDescent="0.2">
      <c r="A469" s="6" t="s">
        <v>979</v>
      </c>
      <c r="B469" s="6" t="s">
        <v>980</v>
      </c>
      <c r="C469" s="4" t="b">
        <v>1</v>
      </c>
      <c r="D469" s="4" t="b">
        <v>0</v>
      </c>
      <c r="E469" s="4" t="b">
        <v>1</v>
      </c>
      <c r="F469" s="4" t="s">
        <v>12</v>
      </c>
      <c r="G469" s="4" t="b">
        <f t="shared" si="7"/>
        <v>1</v>
      </c>
      <c r="H469" s="4" t="s">
        <v>3340</v>
      </c>
      <c r="I469" s="4"/>
      <c r="J469" s="4" t="s">
        <v>98</v>
      </c>
    </row>
    <row r="470" spans="1:10" customFormat="1" ht="16" hidden="1" x14ac:dyDescent="0.2">
      <c r="A470" s="6" t="s">
        <v>981</v>
      </c>
      <c r="B470" s="6" t="s">
        <v>982</v>
      </c>
      <c r="C470" s="4" t="b">
        <v>0</v>
      </c>
      <c r="D470" s="4" t="b">
        <v>0</v>
      </c>
      <c r="E470" s="4" t="b">
        <v>0</v>
      </c>
      <c r="F470" s="4"/>
      <c r="G470" s="4" t="b">
        <f t="shared" si="7"/>
        <v>0</v>
      </c>
      <c r="H470" s="4"/>
      <c r="I470" s="4"/>
      <c r="J470" s="4" t="s">
        <v>98</v>
      </c>
    </row>
    <row r="471" spans="1:10" customFormat="1" ht="16" hidden="1" x14ac:dyDescent="0.2">
      <c r="A471" s="6" t="s">
        <v>983</v>
      </c>
      <c r="B471" s="6" t="s">
        <v>984</v>
      </c>
      <c r="C471" s="4" t="b">
        <v>0</v>
      </c>
      <c r="D471" s="4" t="b">
        <v>0</v>
      </c>
      <c r="E471" s="4" t="b">
        <v>0</v>
      </c>
      <c r="F471" s="4"/>
      <c r="G471" s="4" t="b">
        <f t="shared" si="7"/>
        <v>0</v>
      </c>
      <c r="H471" s="4"/>
      <c r="I471" s="4"/>
      <c r="J471" s="4" t="s">
        <v>98</v>
      </c>
    </row>
    <row r="472" spans="1:10" customFormat="1" ht="16" hidden="1" x14ac:dyDescent="0.2">
      <c r="A472" s="6" t="s">
        <v>985</v>
      </c>
      <c r="B472" s="6" t="s">
        <v>986</v>
      </c>
      <c r="C472" s="4" t="b">
        <v>0</v>
      </c>
      <c r="D472" s="4" t="b">
        <v>0</v>
      </c>
      <c r="E472" s="4" t="b">
        <v>1</v>
      </c>
      <c r="F472" s="4"/>
      <c r="G472" s="4" t="b">
        <f t="shared" si="7"/>
        <v>0</v>
      </c>
      <c r="H472" s="4"/>
      <c r="I472" s="4"/>
      <c r="J472" s="4" t="s">
        <v>98</v>
      </c>
    </row>
    <row r="473" spans="1:10" customFormat="1" ht="48" x14ac:dyDescent="0.2">
      <c r="A473" s="6" t="s">
        <v>987</v>
      </c>
      <c r="B473" s="6" t="s">
        <v>988</v>
      </c>
      <c r="C473" s="4" t="b">
        <v>1</v>
      </c>
      <c r="D473" s="4" t="b">
        <v>0</v>
      </c>
      <c r="E473" s="4" t="b">
        <v>1</v>
      </c>
      <c r="F473" s="4" t="s">
        <v>12</v>
      </c>
      <c r="G473" s="4" t="b">
        <f t="shared" si="7"/>
        <v>1</v>
      </c>
      <c r="H473" s="4" t="s">
        <v>3339</v>
      </c>
      <c r="I473" s="4"/>
      <c r="J473" s="4" t="s">
        <v>98</v>
      </c>
    </row>
    <row r="474" spans="1:10" customFormat="1" ht="16" hidden="1" x14ac:dyDescent="0.2">
      <c r="A474" s="6" t="s">
        <v>989</v>
      </c>
      <c r="B474" s="6" t="s">
        <v>990</v>
      </c>
      <c r="C474" s="4" t="b">
        <v>0</v>
      </c>
      <c r="D474" s="4" t="b">
        <v>0</v>
      </c>
      <c r="E474" s="4" t="b">
        <v>0</v>
      </c>
      <c r="F474" s="4"/>
      <c r="G474" s="4" t="b">
        <f t="shared" si="7"/>
        <v>0</v>
      </c>
      <c r="H474" s="4"/>
      <c r="I474" s="4"/>
      <c r="J474" s="4" t="s">
        <v>98</v>
      </c>
    </row>
    <row r="475" spans="1:10" customFormat="1" ht="16" hidden="1" x14ac:dyDescent="0.2">
      <c r="A475" s="6" t="s">
        <v>991</v>
      </c>
      <c r="B475" s="6" t="s">
        <v>992</v>
      </c>
      <c r="C475" s="4" t="b">
        <v>0</v>
      </c>
      <c r="D475" s="4" t="b">
        <v>0</v>
      </c>
      <c r="E475" s="4" t="b">
        <v>0</v>
      </c>
      <c r="F475" s="4"/>
      <c r="G475" s="4" t="b">
        <f t="shared" si="7"/>
        <v>0</v>
      </c>
      <c r="H475" s="4"/>
      <c r="I475" s="4"/>
      <c r="J475" s="4" t="s">
        <v>98</v>
      </c>
    </row>
    <row r="476" spans="1:10" customFormat="1" ht="112" x14ac:dyDescent="0.2">
      <c r="A476" s="6" t="s">
        <v>993</v>
      </c>
      <c r="B476" s="6" t="s">
        <v>994</v>
      </c>
      <c r="C476" s="4" t="b">
        <v>1</v>
      </c>
      <c r="D476" s="4" t="b">
        <v>0</v>
      </c>
      <c r="E476" s="4" t="b">
        <v>1</v>
      </c>
      <c r="F476" s="4" t="s">
        <v>12</v>
      </c>
      <c r="G476" s="4" t="b">
        <f t="shared" si="7"/>
        <v>1</v>
      </c>
      <c r="H476" s="4" t="s">
        <v>3338</v>
      </c>
      <c r="I476" s="4"/>
      <c r="J476" s="4" t="s">
        <v>98</v>
      </c>
    </row>
    <row r="477" spans="1:10" customFormat="1" ht="112" x14ac:dyDescent="0.2">
      <c r="A477" s="6" t="s">
        <v>995</v>
      </c>
      <c r="B477" s="6" t="s">
        <v>996</v>
      </c>
      <c r="C477" s="4" t="b">
        <v>1</v>
      </c>
      <c r="D477" s="4" t="b">
        <v>0</v>
      </c>
      <c r="E477" s="4" t="b">
        <v>1</v>
      </c>
      <c r="F477" s="4" t="s">
        <v>12</v>
      </c>
      <c r="G477" s="4" t="b">
        <f t="shared" si="7"/>
        <v>1</v>
      </c>
      <c r="H477" s="4" t="s">
        <v>3337</v>
      </c>
      <c r="I477" s="4"/>
      <c r="J477" s="4" t="s">
        <v>98</v>
      </c>
    </row>
    <row r="478" spans="1:10" customFormat="1" ht="16" hidden="1" x14ac:dyDescent="0.2">
      <c r="A478" s="6" t="s">
        <v>997</v>
      </c>
      <c r="B478" s="6" t="s">
        <v>998</v>
      </c>
      <c r="C478" s="4" t="b">
        <v>0</v>
      </c>
      <c r="D478" s="4" t="b">
        <v>0</v>
      </c>
      <c r="E478" s="4" t="b">
        <v>0</v>
      </c>
      <c r="F478" s="4"/>
      <c r="G478" s="4" t="b">
        <f t="shared" si="7"/>
        <v>0</v>
      </c>
      <c r="H478" s="4"/>
      <c r="I478" s="4"/>
      <c r="J478" s="4" t="s">
        <v>98</v>
      </c>
    </row>
    <row r="479" spans="1:10" customFormat="1" ht="48" x14ac:dyDescent="0.2">
      <c r="A479" s="6" t="s">
        <v>999</v>
      </c>
      <c r="B479" s="6" t="s">
        <v>1000</v>
      </c>
      <c r="C479" s="4" t="b">
        <v>1</v>
      </c>
      <c r="D479" s="4" t="b">
        <v>0</v>
      </c>
      <c r="E479" s="4" t="b">
        <v>1</v>
      </c>
      <c r="F479" s="4" t="s">
        <v>12</v>
      </c>
      <c r="G479" s="4" t="b">
        <f t="shared" si="7"/>
        <v>1</v>
      </c>
      <c r="H479" s="4" t="s">
        <v>3336</v>
      </c>
      <c r="I479" s="4"/>
      <c r="J479" s="4" t="s">
        <v>98</v>
      </c>
    </row>
    <row r="480" spans="1:10" customFormat="1" ht="16" hidden="1" x14ac:dyDescent="0.2">
      <c r="A480" s="6" t="s">
        <v>1001</v>
      </c>
      <c r="B480" s="6" t="s">
        <v>1002</v>
      </c>
      <c r="C480" s="4" t="b">
        <v>0</v>
      </c>
      <c r="D480" s="4" t="b">
        <v>0</v>
      </c>
      <c r="E480" s="4" t="b">
        <v>1</v>
      </c>
      <c r="F480" s="4"/>
      <c r="G480" s="4" t="b">
        <f t="shared" si="7"/>
        <v>0</v>
      </c>
      <c r="H480" s="4"/>
      <c r="I480" s="4"/>
      <c r="J480" s="4" t="s">
        <v>98</v>
      </c>
    </row>
    <row r="481" spans="1:11" ht="176" x14ac:dyDescent="0.2">
      <c r="A481" s="6" t="s">
        <v>1003</v>
      </c>
      <c r="B481" s="6" t="s">
        <v>1004</v>
      </c>
      <c r="C481" s="4" t="b">
        <v>1</v>
      </c>
      <c r="D481" s="4" t="b">
        <v>1</v>
      </c>
      <c r="E481" s="4" t="b">
        <v>1</v>
      </c>
      <c r="F481" s="4" t="s">
        <v>12</v>
      </c>
      <c r="G481" s="4" t="b">
        <f t="shared" si="7"/>
        <v>1</v>
      </c>
      <c r="H481" s="4" t="s">
        <v>3335</v>
      </c>
      <c r="I481" s="4"/>
      <c r="J481" s="4" t="s">
        <v>98</v>
      </c>
      <c r="K481"/>
    </row>
    <row r="482" spans="1:11" ht="16" hidden="1" x14ac:dyDescent="0.2">
      <c r="A482" s="6" t="s">
        <v>1005</v>
      </c>
      <c r="B482" s="6" t="s">
        <v>1006</v>
      </c>
      <c r="C482" s="4" t="b">
        <v>0</v>
      </c>
      <c r="D482" s="4" t="b">
        <v>0</v>
      </c>
      <c r="E482" s="4" t="b">
        <v>0</v>
      </c>
      <c r="F482" s="4"/>
      <c r="G482" s="4" t="b">
        <f t="shared" si="7"/>
        <v>0</v>
      </c>
      <c r="H482" s="4"/>
      <c r="I482" s="4"/>
      <c r="J482" s="4" t="s">
        <v>98</v>
      </c>
      <c r="K482"/>
    </row>
    <row r="483" spans="1:11" ht="48" x14ac:dyDescent="0.2">
      <c r="A483" s="6" t="s">
        <v>1007</v>
      </c>
      <c r="B483" s="6" t="s">
        <v>1008</v>
      </c>
      <c r="C483" s="4" t="b">
        <v>1</v>
      </c>
      <c r="D483" s="4" t="b">
        <v>0</v>
      </c>
      <c r="E483" s="4" t="b">
        <v>1</v>
      </c>
      <c r="F483" s="4" t="s">
        <v>12</v>
      </c>
      <c r="G483" s="4" t="b">
        <f t="shared" si="7"/>
        <v>1</v>
      </c>
      <c r="H483" s="4" t="s">
        <v>3334</v>
      </c>
      <c r="I483" s="4"/>
      <c r="J483" s="4" t="s">
        <v>98</v>
      </c>
      <c r="K483"/>
    </row>
    <row r="484" spans="1:11" ht="80" x14ac:dyDescent="0.2">
      <c r="A484" s="6" t="s">
        <v>1009</v>
      </c>
      <c r="B484" s="6" t="s">
        <v>1010</v>
      </c>
      <c r="C484" s="4" t="b">
        <v>1</v>
      </c>
      <c r="D484" s="4" t="b">
        <v>0</v>
      </c>
      <c r="E484" s="4" t="b">
        <v>1</v>
      </c>
      <c r="F484" s="4" t="s">
        <v>12</v>
      </c>
      <c r="G484" s="4" t="b">
        <f t="shared" si="7"/>
        <v>1</v>
      </c>
      <c r="H484" s="4" t="s">
        <v>3333</v>
      </c>
      <c r="I484" s="4"/>
      <c r="J484" s="4" t="s">
        <v>98</v>
      </c>
      <c r="K484"/>
    </row>
    <row r="485" spans="1:11" ht="80" x14ac:dyDescent="0.2">
      <c r="A485" s="6" t="s">
        <v>1011</v>
      </c>
      <c r="B485" s="6" t="s">
        <v>1012</v>
      </c>
      <c r="C485" s="4" t="b">
        <v>1</v>
      </c>
      <c r="D485" s="4" t="b">
        <v>0</v>
      </c>
      <c r="E485" s="4" t="b">
        <v>1</v>
      </c>
      <c r="F485" s="4" t="s">
        <v>12</v>
      </c>
      <c r="G485" s="4" t="b">
        <f t="shared" si="7"/>
        <v>1</v>
      </c>
      <c r="H485" s="4" t="s">
        <v>3333</v>
      </c>
      <c r="I485" s="4"/>
      <c r="J485" s="4" t="s">
        <v>98</v>
      </c>
      <c r="K485"/>
    </row>
    <row r="486" spans="1:11" ht="16" hidden="1" x14ac:dyDescent="0.2">
      <c r="A486" s="6" t="s">
        <v>1013</v>
      </c>
      <c r="B486" s="6" t="s">
        <v>1014</v>
      </c>
      <c r="C486" s="4" t="b">
        <v>0</v>
      </c>
      <c r="D486" s="4" t="b">
        <v>0</v>
      </c>
      <c r="E486" s="4" t="b">
        <v>0</v>
      </c>
      <c r="F486" s="4"/>
      <c r="G486" s="4" t="b">
        <f t="shared" si="7"/>
        <v>0</v>
      </c>
      <c r="H486" s="4"/>
      <c r="I486" s="4"/>
      <c r="J486" s="4" t="s">
        <v>98</v>
      </c>
      <c r="K486"/>
    </row>
    <row r="487" spans="1:11" ht="16" hidden="1" x14ac:dyDescent="0.2">
      <c r="A487" s="6" t="s">
        <v>1015</v>
      </c>
      <c r="B487" s="6" t="s">
        <v>1016</v>
      </c>
      <c r="C487" s="4" t="b">
        <v>0</v>
      </c>
      <c r="D487" s="4" t="b">
        <v>0</v>
      </c>
      <c r="E487" s="4" t="b">
        <v>0</v>
      </c>
      <c r="F487" s="4"/>
      <c r="G487" s="4" t="b">
        <f t="shared" si="7"/>
        <v>0</v>
      </c>
      <c r="H487" s="4"/>
      <c r="I487" s="4"/>
      <c r="J487" s="4" t="s">
        <v>98</v>
      </c>
      <c r="K487"/>
    </row>
    <row r="488" spans="1:11" ht="224" x14ac:dyDescent="0.2">
      <c r="A488" s="6" t="s">
        <v>1017</v>
      </c>
      <c r="B488" s="6" t="s">
        <v>1018</v>
      </c>
      <c r="C488" s="4" t="b">
        <v>1</v>
      </c>
      <c r="D488" s="4" t="b">
        <v>1</v>
      </c>
      <c r="E488" s="4" t="b">
        <v>1</v>
      </c>
      <c r="F488" s="4" t="s">
        <v>12</v>
      </c>
      <c r="G488" s="4" t="b">
        <f t="shared" si="7"/>
        <v>1</v>
      </c>
      <c r="H488" s="4" t="s">
        <v>3332</v>
      </c>
      <c r="I488" s="4"/>
      <c r="J488" s="4" t="s">
        <v>98</v>
      </c>
      <c r="K488" s="4" t="s">
        <v>2998</v>
      </c>
    </row>
    <row r="489" spans="1:11" ht="16" hidden="1" x14ac:dyDescent="0.2">
      <c r="A489" s="6" t="s">
        <v>1019</v>
      </c>
      <c r="B489" s="6" t="s">
        <v>1020</v>
      </c>
      <c r="C489" s="4" t="b">
        <v>0</v>
      </c>
      <c r="D489" s="4" t="b">
        <v>0</v>
      </c>
      <c r="E489" s="4" t="b">
        <v>1</v>
      </c>
      <c r="F489" s="4"/>
      <c r="G489" s="4" t="b">
        <f t="shared" si="7"/>
        <v>0</v>
      </c>
      <c r="H489" s="4"/>
      <c r="I489" s="4"/>
      <c r="J489" s="4" t="s">
        <v>98</v>
      </c>
      <c r="K489"/>
    </row>
    <row r="490" spans="1:11" ht="16" hidden="1" x14ac:dyDescent="0.2">
      <c r="A490" s="6" t="s">
        <v>1021</v>
      </c>
      <c r="B490" s="6" t="s">
        <v>1022</v>
      </c>
      <c r="C490" s="4" t="b">
        <v>0</v>
      </c>
      <c r="D490" s="4" t="b">
        <v>0</v>
      </c>
      <c r="E490" s="4" t="b">
        <v>1</v>
      </c>
      <c r="F490" s="4"/>
      <c r="G490" s="4" t="b">
        <f t="shared" si="7"/>
        <v>0</v>
      </c>
      <c r="H490" s="4"/>
      <c r="I490" s="4"/>
      <c r="J490" s="4" t="s">
        <v>98</v>
      </c>
      <c r="K490"/>
    </row>
    <row r="491" spans="1:11" ht="16" hidden="1" x14ac:dyDescent="0.2">
      <c r="A491" s="6" t="s">
        <v>1023</v>
      </c>
      <c r="B491" s="6" t="s">
        <v>1024</v>
      </c>
      <c r="C491" s="4" t="b">
        <v>0</v>
      </c>
      <c r="D491" s="4" t="b">
        <v>0</v>
      </c>
      <c r="E491" s="4" t="b">
        <v>1</v>
      </c>
      <c r="F491" s="4"/>
      <c r="G491" s="4" t="b">
        <f t="shared" si="7"/>
        <v>0</v>
      </c>
      <c r="H491" s="4"/>
      <c r="I491" s="4"/>
      <c r="J491" s="4" t="s">
        <v>98</v>
      </c>
      <c r="K491"/>
    </row>
    <row r="492" spans="1:11" ht="16" hidden="1" x14ac:dyDescent="0.2">
      <c r="A492" s="6" t="s">
        <v>1025</v>
      </c>
      <c r="B492" s="6" t="s">
        <v>1026</v>
      </c>
      <c r="C492" s="4" t="b">
        <v>0</v>
      </c>
      <c r="D492" s="4" t="b">
        <v>0</v>
      </c>
      <c r="E492" s="4" t="b">
        <v>0</v>
      </c>
      <c r="F492" s="4"/>
      <c r="G492" s="4" t="b">
        <f t="shared" si="7"/>
        <v>0</v>
      </c>
      <c r="H492" s="4"/>
      <c r="I492" s="4"/>
      <c r="J492" s="4" t="s">
        <v>98</v>
      </c>
      <c r="K492"/>
    </row>
    <row r="493" spans="1:11" ht="16" hidden="1" x14ac:dyDescent="0.2">
      <c r="A493" s="6" t="s">
        <v>1027</v>
      </c>
      <c r="B493" s="6" t="s">
        <v>1028</v>
      </c>
      <c r="C493" s="4" t="b">
        <v>0</v>
      </c>
      <c r="D493" s="4" t="b">
        <v>0</v>
      </c>
      <c r="E493" s="4" t="b">
        <v>0</v>
      </c>
      <c r="F493" s="4"/>
      <c r="G493" s="4" t="b">
        <f t="shared" si="7"/>
        <v>0</v>
      </c>
      <c r="H493" s="4"/>
      <c r="I493" s="4"/>
      <c r="J493" s="4" t="s">
        <v>98</v>
      </c>
      <c r="K493"/>
    </row>
    <row r="494" spans="1:11" ht="16" hidden="1" x14ac:dyDescent="0.2">
      <c r="A494" s="6" t="s">
        <v>1029</v>
      </c>
      <c r="B494" s="6" t="s">
        <v>1030</v>
      </c>
      <c r="C494" s="4" t="b">
        <v>0</v>
      </c>
      <c r="D494" s="4" t="b">
        <v>0</v>
      </c>
      <c r="E494" s="4" t="b">
        <v>0</v>
      </c>
      <c r="F494" s="4"/>
      <c r="G494" s="4" t="b">
        <f t="shared" si="7"/>
        <v>0</v>
      </c>
      <c r="H494" s="4"/>
      <c r="I494" s="4"/>
      <c r="J494" s="4" t="s">
        <v>98</v>
      </c>
      <c r="K494"/>
    </row>
    <row r="495" spans="1:11" ht="16" hidden="1" x14ac:dyDescent="0.2">
      <c r="A495" s="6" t="s">
        <v>1031</v>
      </c>
      <c r="B495" s="6" t="s">
        <v>1032</v>
      </c>
      <c r="C495" s="4" t="b">
        <v>0</v>
      </c>
      <c r="D495" s="4" t="b">
        <v>0</v>
      </c>
      <c r="E495" s="4" t="b">
        <v>0</v>
      </c>
      <c r="F495" s="4"/>
      <c r="G495" s="4" t="b">
        <f t="shared" si="7"/>
        <v>0</v>
      </c>
      <c r="H495" s="4"/>
      <c r="I495" s="4"/>
      <c r="J495" s="4" t="s">
        <v>98</v>
      </c>
      <c r="K495"/>
    </row>
    <row r="496" spans="1:11" ht="16" hidden="1" x14ac:dyDescent="0.2">
      <c r="A496" s="6" t="s">
        <v>1033</v>
      </c>
      <c r="B496" s="6" t="s">
        <v>1034</v>
      </c>
      <c r="C496" s="4" t="b">
        <v>0</v>
      </c>
      <c r="D496" s="4" t="b">
        <v>0</v>
      </c>
      <c r="E496" s="4" t="b">
        <v>0</v>
      </c>
      <c r="F496" s="4"/>
      <c r="G496" s="4" t="b">
        <f t="shared" si="7"/>
        <v>0</v>
      </c>
      <c r="H496" s="4"/>
      <c r="I496" s="4"/>
      <c r="J496" s="4" t="s">
        <v>98</v>
      </c>
      <c r="K496"/>
    </row>
    <row r="497" spans="1:10" customFormat="1" ht="192" x14ac:dyDescent="0.2">
      <c r="A497" s="6" t="s">
        <v>1035</v>
      </c>
      <c r="B497" s="6" t="s">
        <v>1036</v>
      </c>
      <c r="C497" s="4" t="b">
        <v>1</v>
      </c>
      <c r="D497" s="4" t="b">
        <v>0</v>
      </c>
      <c r="E497" s="4" t="b">
        <v>1</v>
      </c>
      <c r="F497" s="4" t="s">
        <v>12</v>
      </c>
      <c r="G497" s="4" t="b">
        <f t="shared" si="7"/>
        <v>1</v>
      </c>
      <c r="H497" s="4" t="s">
        <v>3331</v>
      </c>
      <c r="I497" s="4"/>
      <c r="J497" s="4" t="s">
        <v>98</v>
      </c>
    </row>
    <row r="498" spans="1:10" customFormat="1" ht="16" hidden="1" x14ac:dyDescent="0.2">
      <c r="A498" s="6" t="s">
        <v>1037</v>
      </c>
      <c r="B498" s="6" t="s">
        <v>1038</v>
      </c>
      <c r="C498" s="4" t="b">
        <v>0</v>
      </c>
      <c r="D498" s="4" t="b">
        <v>0</v>
      </c>
      <c r="E498" s="4" t="b">
        <v>0</v>
      </c>
      <c r="F498" s="4"/>
      <c r="G498" s="4" t="b">
        <f t="shared" si="7"/>
        <v>0</v>
      </c>
      <c r="H498" s="4"/>
      <c r="I498" s="4"/>
      <c r="J498" s="4" t="s">
        <v>98</v>
      </c>
    </row>
    <row r="499" spans="1:10" customFormat="1" ht="16" hidden="1" x14ac:dyDescent="0.2">
      <c r="A499" s="6" t="s">
        <v>1039</v>
      </c>
      <c r="B499" s="6" t="s">
        <v>1040</v>
      </c>
      <c r="C499" s="4" t="b">
        <v>0</v>
      </c>
      <c r="D499" s="4" t="b">
        <v>0</v>
      </c>
      <c r="E499" s="4" t="b">
        <v>1</v>
      </c>
      <c r="F499" s="4"/>
      <c r="G499" s="4" t="b">
        <f t="shared" si="7"/>
        <v>0</v>
      </c>
      <c r="H499" s="4"/>
      <c r="I499" s="4"/>
      <c r="J499" s="4" t="s">
        <v>98</v>
      </c>
    </row>
    <row r="500" spans="1:10" customFormat="1" ht="16" hidden="1" x14ac:dyDescent="0.2">
      <c r="A500" s="6" t="s">
        <v>1041</v>
      </c>
      <c r="B500" s="6" t="s">
        <v>1042</v>
      </c>
      <c r="C500" s="4" t="b">
        <v>0</v>
      </c>
      <c r="D500" s="4" t="b">
        <v>0</v>
      </c>
      <c r="E500" s="4" t="b">
        <v>1</v>
      </c>
      <c r="F500" s="4"/>
      <c r="G500" s="4" t="b">
        <f t="shared" si="7"/>
        <v>0</v>
      </c>
      <c r="H500" s="4"/>
      <c r="I500" s="4"/>
      <c r="J500" s="4" t="s">
        <v>98</v>
      </c>
    </row>
    <row r="501" spans="1:10" customFormat="1" ht="16" hidden="1" x14ac:dyDescent="0.2">
      <c r="A501" s="6" t="s">
        <v>1043</v>
      </c>
      <c r="B501" s="6" t="s">
        <v>1044</v>
      </c>
      <c r="C501" s="4" t="b">
        <v>0</v>
      </c>
      <c r="D501" s="4" t="b">
        <v>0</v>
      </c>
      <c r="E501" s="4" t="b">
        <v>0</v>
      </c>
      <c r="F501" s="4"/>
      <c r="G501" s="4" t="b">
        <f t="shared" si="7"/>
        <v>0</v>
      </c>
      <c r="H501" s="4"/>
      <c r="I501" s="4"/>
      <c r="J501" s="4" t="s">
        <v>98</v>
      </c>
    </row>
    <row r="502" spans="1:10" customFormat="1" ht="16" hidden="1" x14ac:dyDescent="0.2">
      <c r="A502" s="6" t="s">
        <v>1045</v>
      </c>
      <c r="B502" s="6" t="s">
        <v>1046</v>
      </c>
      <c r="C502" s="4" t="b">
        <v>0</v>
      </c>
      <c r="D502" s="4" t="b">
        <v>0</v>
      </c>
      <c r="E502" s="4" t="b">
        <v>1</v>
      </c>
      <c r="F502" s="4"/>
      <c r="G502" s="4" t="b">
        <f t="shared" si="7"/>
        <v>0</v>
      </c>
      <c r="H502" s="4"/>
      <c r="I502" s="4"/>
      <c r="J502" s="4" t="s">
        <v>98</v>
      </c>
    </row>
    <row r="503" spans="1:10" customFormat="1" ht="16" hidden="1" x14ac:dyDescent="0.2">
      <c r="A503" s="6" t="s">
        <v>1047</v>
      </c>
      <c r="B503" s="6" t="s">
        <v>1048</v>
      </c>
      <c r="C503" s="4" t="b">
        <v>0</v>
      </c>
      <c r="D503" s="4" t="b">
        <v>0</v>
      </c>
      <c r="E503" s="4" t="b">
        <v>0</v>
      </c>
      <c r="F503" s="4"/>
      <c r="G503" s="4" t="b">
        <f t="shared" si="7"/>
        <v>0</v>
      </c>
      <c r="H503" s="4"/>
      <c r="I503" s="4"/>
      <c r="J503" s="4" t="s">
        <v>98</v>
      </c>
    </row>
    <row r="504" spans="1:10" customFormat="1" ht="16" hidden="1" x14ac:dyDescent="0.2">
      <c r="A504" s="6" t="s">
        <v>1049</v>
      </c>
      <c r="B504" s="6" t="s">
        <v>1050</v>
      </c>
      <c r="C504" s="4" t="b">
        <v>0</v>
      </c>
      <c r="D504" s="4" t="b">
        <v>0</v>
      </c>
      <c r="E504" s="4" t="b">
        <v>1</v>
      </c>
      <c r="F504" s="4"/>
      <c r="G504" s="4" t="b">
        <f t="shared" si="7"/>
        <v>0</v>
      </c>
      <c r="H504" s="4"/>
      <c r="I504" s="4"/>
      <c r="J504" s="4" t="s">
        <v>98</v>
      </c>
    </row>
    <row r="505" spans="1:10" customFormat="1" ht="128" x14ac:dyDescent="0.2">
      <c r="A505" s="6" t="s">
        <v>1051</v>
      </c>
      <c r="B505" s="6" t="s">
        <v>1052</v>
      </c>
      <c r="C505" s="4" t="b">
        <v>1</v>
      </c>
      <c r="D505" s="4" t="b">
        <v>0</v>
      </c>
      <c r="E505" s="4" t="b">
        <v>1</v>
      </c>
      <c r="F505" s="4" t="s">
        <v>12</v>
      </c>
      <c r="G505" s="4" t="b">
        <f t="shared" si="7"/>
        <v>1</v>
      </c>
      <c r="H505" s="4" t="s">
        <v>3330</v>
      </c>
      <c r="I505" s="4"/>
      <c r="J505" s="4" t="s">
        <v>98</v>
      </c>
    </row>
    <row r="506" spans="1:10" customFormat="1" ht="16" hidden="1" x14ac:dyDescent="0.2">
      <c r="A506" s="6" t="s">
        <v>1053</v>
      </c>
      <c r="B506" s="6" t="s">
        <v>1054</v>
      </c>
      <c r="C506" s="4" t="b">
        <v>0</v>
      </c>
      <c r="D506" s="4" t="b">
        <v>0</v>
      </c>
      <c r="E506" s="4" t="b">
        <v>1</v>
      </c>
      <c r="F506" s="4"/>
      <c r="G506" s="4" t="b">
        <f t="shared" si="7"/>
        <v>0</v>
      </c>
      <c r="H506" s="4"/>
      <c r="I506" s="4"/>
      <c r="J506" s="4" t="s">
        <v>98</v>
      </c>
    </row>
    <row r="507" spans="1:10" customFormat="1" ht="112" x14ac:dyDescent="0.2">
      <c r="A507" s="6" t="s">
        <v>1055</v>
      </c>
      <c r="B507" s="6" t="s">
        <v>1056</v>
      </c>
      <c r="C507" s="4" t="b">
        <v>1</v>
      </c>
      <c r="D507" s="4" t="b">
        <v>0</v>
      </c>
      <c r="E507" s="4" t="b">
        <v>1</v>
      </c>
      <c r="F507" s="4" t="s">
        <v>12</v>
      </c>
      <c r="G507" s="4" t="b">
        <f t="shared" si="7"/>
        <v>1</v>
      </c>
      <c r="H507" s="4" t="s">
        <v>3329</v>
      </c>
      <c r="I507" s="4"/>
      <c r="J507" s="4" t="s">
        <v>98</v>
      </c>
    </row>
    <row r="508" spans="1:10" customFormat="1" ht="128" x14ac:dyDescent="0.2">
      <c r="A508" s="6" t="s">
        <v>1057</v>
      </c>
      <c r="B508" s="6" t="s">
        <v>1058</v>
      </c>
      <c r="C508" s="4" t="b">
        <v>1</v>
      </c>
      <c r="D508" s="4" t="b">
        <v>1</v>
      </c>
      <c r="E508" s="4" t="b">
        <v>1</v>
      </c>
      <c r="F508" s="4" t="s">
        <v>12</v>
      </c>
      <c r="G508" s="4" t="b">
        <f t="shared" si="7"/>
        <v>1</v>
      </c>
      <c r="H508" s="4" t="s">
        <v>3328</v>
      </c>
      <c r="I508" s="4"/>
      <c r="J508" s="4" t="s">
        <v>98</v>
      </c>
    </row>
    <row r="509" spans="1:10" customFormat="1" ht="192" x14ac:dyDescent="0.2">
      <c r="A509" s="6" t="s">
        <v>1059</v>
      </c>
      <c r="B509" s="6" t="s">
        <v>1060</v>
      </c>
      <c r="C509" s="4" t="b">
        <v>1</v>
      </c>
      <c r="D509" s="4" t="b">
        <v>0</v>
      </c>
      <c r="E509" s="4" t="b">
        <v>1</v>
      </c>
      <c r="F509" s="4" t="s">
        <v>12</v>
      </c>
      <c r="G509" s="4" t="b">
        <f t="shared" si="7"/>
        <v>1</v>
      </c>
      <c r="H509" s="4" t="s">
        <v>3327</v>
      </c>
      <c r="I509" s="4"/>
      <c r="J509" s="4" t="s">
        <v>98</v>
      </c>
    </row>
    <row r="510" spans="1:10" customFormat="1" ht="16" hidden="1" x14ac:dyDescent="0.2">
      <c r="A510" s="6" t="s">
        <v>1061</v>
      </c>
      <c r="B510" s="6" t="s">
        <v>1062</v>
      </c>
      <c r="C510" s="4" t="b">
        <v>0</v>
      </c>
      <c r="D510" s="4" t="b">
        <v>0</v>
      </c>
      <c r="E510" s="4" t="b">
        <v>0</v>
      </c>
      <c r="F510" s="4"/>
      <c r="G510" s="4" t="b">
        <f t="shared" si="7"/>
        <v>0</v>
      </c>
      <c r="H510" s="4"/>
      <c r="I510" s="4"/>
      <c r="J510" s="4" t="s">
        <v>98</v>
      </c>
    </row>
    <row r="511" spans="1:10" customFormat="1" ht="208" x14ac:dyDescent="0.2">
      <c r="A511" s="6" t="s">
        <v>1063</v>
      </c>
      <c r="B511" s="6" t="s">
        <v>1064</v>
      </c>
      <c r="C511" s="4" t="b">
        <v>1</v>
      </c>
      <c r="D511" s="4" t="b">
        <v>0</v>
      </c>
      <c r="E511" s="4" t="b">
        <v>1</v>
      </c>
      <c r="F511" s="4" t="s">
        <v>12</v>
      </c>
      <c r="G511" s="4" t="b">
        <f t="shared" si="7"/>
        <v>1</v>
      </c>
      <c r="H511" s="4" t="s">
        <v>3326</v>
      </c>
      <c r="I511" s="4"/>
      <c r="J511" s="4" t="s">
        <v>98</v>
      </c>
    </row>
    <row r="512" spans="1:10" customFormat="1" ht="16" hidden="1" x14ac:dyDescent="0.2">
      <c r="A512" s="6" t="s">
        <v>1065</v>
      </c>
      <c r="B512" s="6" t="s">
        <v>1066</v>
      </c>
      <c r="C512" s="4" t="b">
        <v>0</v>
      </c>
      <c r="D512" s="4" t="b">
        <v>0</v>
      </c>
      <c r="E512" s="4" t="b">
        <v>0</v>
      </c>
      <c r="F512" s="4"/>
      <c r="G512" s="4" t="b">
        <f t="shared" si="7"/>
        <v>0</v>
      </c>
      <c r="H512" s="4"/>
      <c r="I512" s="4"/>
      <c r="J512" s="4" t="s">
        <v>98</v>
      </c>
    </row>
    <row r="513" spans="1:10" customFormat="1" ht="16" hidden="1" x14ac:dyDescent="0.2">
      <c r="A513" s="6" t="s">
        <v>1067</v>
      </c>
      <c r="B513" s="6" t="s">
        <v>1068</v>
      </c>
      <c r="C513" s="4" t="b">
        <v>0</v>
      </c>
      <c r="D513" s="4" t="b">
        <v>0</v>
      </c>
      <c r="E513" s="4" t="b">
        <v>0</v>
      </c>
      <c r="F513" s="4"/>
      <c r="G513" s="4" t="b">
        <f t="shared" si="7"/>
        <v>0</v>
      </c>
      <c r="H513" s="4"/>
      <c r="I513" s="4"/>
      <c r="J513" s="4" t="s">
        <v>98</v>
      </c>
    </row>
    <row r="514" spans="1:10" customFormat="1" ht="16" hidden="1" x14ac:dyDescent="0.2">
      <c r="A514" s="6" t="s">
        <v>1069</v>
      </c>
      <c r="B514" s="6" t="s">
        <v>1070</v>
      </c>
      <c r="C514" s="4" t="b">
        <v>0</v>
      </c>
      <c r="D514" s="4" t="b">
        <v>0</v>
      </c>
      <c r="E514" s="4" t="b">
        <v>0</v>
      </c>
      <c r="F514" s="4"/>
      <c r="G514" s="4" t="b">
        <f t="shared" ref="G514:G577" si="8">IF(F514="✔", TRUE, FALSE)</f>
        <v>0</v>
      </c>
      <c r="H514" s="4"/>
      <c r="I514" s="4"/>
      <c r="J514" s="4" t="s">
        <v>98</v>
      </c>
    </row>
    <row r="515" spans="1:10" customFormat="1" ht="16" hidden="1" x14ac:dyDescent="0.2">
      <c r="A515" s="6" t="s">
        <v>1071</v>
      </c>
      <c r="B515" s="6" t="s">
        <v>1072</v>
      </c>
      <c r="C515" s="4" t="b">
        <v>0</v>
      </c>
      <c r="D515" s="4" t="b">
        <v>0</v>
      </c>
      <c r="E515" s="4" t="b">
        <v>1</v>
      </c>
      <c r="F515" s="4"/>
      <c r="G515" s="4" t="b">
        <f t="shared" si="8"/>
        <v>0</v>
      </c>
      <c r="H515" s="4"/>
      <c r="I515" s="4"/>
      <c r="J515" s="4" t="s">
        <v>98</v>
      </c>
    </row>
    <row r="516" spans="1:10" customFormat="1" ht="16" hidden="1" x14ac:dyDescent="0.2">
      <c r="A516" s="6" t="s">
        <v>1073</v>
      </c>
      <c r="B516" s="6" t="s">
        <v>1074</v>
      </c>
      <c r="C516" s="4" t="b">
        <v>0</v>
      </c>
      <c r="D516" s="4" t="b">
        <v>0</v>
      </c>
      <c r="E516" s="4" t="b">
        <v>0</v>
      </c>
      <c r="F516" s="4"/>
      <c r="G516" s="4" t="b">
        <f t="shared" si="8"/>
        <v>0</v>
      </c>
      <c r="H516" s="4"/>
      <c r="I516" s="4"/>
      <c r="J516" s="4" t="s">
        <v>98</v>
      </c>
    </row>
    <row r="517" spans="1:10" customFormat="1" ht="16" hidden="1" x14ac:dyDescent="0.2">
      <c r="A517" s="6" t="s">
        <v>1075</v>
      </c>
      <c r="B517" s="6" t="s">
        <v>1076</v>
      </c>
      <c r="C517" s="4" t="b">
        <v>0</v>
      </c>
      <c r="D517" s="4" t="b">
        <v>0</v>
      </c>
      <c r="E517" s="4" t="b">
        <v>0</v>
      </c>
      <c r="F517" s="4"/>
      <c r="G517" s="4" t="b">
        <f t="shared" si="8"/>
        <v>0</v>
      </c>
      <c r="H517" s="4"/>
      <c r="I517" s="4"/>
      <c r="J517" s="4" t="s">
        <v>98</v>
      </c>
    </row>
    <row r="518" spans="1:10" customFormat="1" ht="16" hidden="1" x14ac:dyDescent="0.2">
      <c r="A518" s="6" t="s">
        <v>1077</v>
      </c>
      <c r="B518" s="6" t="s">
        <v>1078</v>
      </c>
      <c r="C518" s="4" t="b">
        <v>0</v>
      </c>
      <c r="D518" s="4" t="b">
        <v>0</v>
      </c>
      <c r="E518" s="4" t="b">
        <v>0</v>
      </c>
      <c r="F518" s="4"/>
      <c r="G518" s="4" t="b">
        <f t="shared" si="8"/>
        <v>0</v>
      </c>
      <c r="H518" s="4"/>
      <c r="I518" s="4"/>
      <c r="J518" s="4" t="s">
        <v>98</v>
      </c>
    </row>
    <row r="519" spans="1:10" customFormat="1" ht="16" hidden="1" x14ac:dyDescent="0.2">
      <c r="A519" s="6" t="s">
        <v>1079</v>
      </c>
      <c r="B519" s="6" t="s">
        <v>1080</v>
      </c>
      <c r="C519" s="4" t="b">
        <v>0</v>
      </c>
      <c r="D519" s="4" t="b">
        <v>0</v>
      </c>
      <c r="E519" s="4" t="b">
        <v>0</v>
      </c>
      <c r="F519" s="4"/>
      <c r="G519" s="4" t="b">
        <f t="shared" si="8"/>
        <v>0</v>
      </c>
      <c r="H519" s="4"/>
      <c r="I519" s="4"/>
      <c r="J519" s="4" t="s">
        <v>98</v>
      </c>
    </row>
    <row r="520" spans="1:10" customFormat="1" ht="128" x14ac:dyDescent="0.2">
      <c r="A520" s="6" t="s">
        <v>1081</v>
      </c>
      <c r="B520" s="6" t="s">
        <v>1082</v>
      </c>
      <c r="C520" s="4" t="b">
        <v>1</v>
      </c>
      <c r="D520" s="4" t="b">
        <v>0</v>
      </c>
      <c r="E520" s="4" t="b">
        <v>1</v>
      </c>
      <c r="F520" s="4" t="s">
        <v>12</v>
      </c>
      <c r="G520" s="4" t="b">
        <f t="shared" si="8"/>
        <v>1</v>
      </c>
      <c r="H520" s="4" t="s">
        <v>3325</v>
      </c>
      <c r="I520" s="4"/>
      <c r="J520" s="4" t="s">
        <v>98</v>
      </c>
    </row>
    <row r="521" spans="1:10" customFormat="1" ht="64" x14ac:dyDescent="0.2">
      <c r="A521" s="6" t="s">
        <v>1083</v>
      </c>
      <c r="B521" s="6" t="s">
        <v>1084</v>
      </c>
      <c r="C521" s="4" t="b">
        <v>1</v>
      </c>
      <c r="D521" s="4" t="b">
        <v>0</v>
      </c>
      <c r="E521" s="4" t="b">
        <v>1</v>
      </c>
      <c r="F521" s="4" t="s">
        <v>12</v>
      </c>
      <c r="G521" s="4" t="b">
        <f t="shared" si="8"/>
        <v>1</v>
      </c>
      <c r="H521" s="4" t="s">
        <v>3324</v>
      </c>
      <c r="I521" s="4"/>
      <c r="J521" s="4" t="s">
        <v>98</v>
      </c>
    </row>
    <row r="522" spans="1:10" customFormat="1" ht="16" hidden="1" x14ac:dyDescent="0.2">
      <c r="A522" s="6" t="s">
        <v>1085</v>
      </c>
      <c r="B522" s="6" t="s">
        <v>1086</v>
      </c>
      <c r="C522" s="4" t="b">
        <v>0</v>
      </c>
      <c r="D522" s="4" t="b">
        <v>0</v>
      </c>
      <c r="E522" s="4" t="b">
        <v>0</v>
      </c>
      <c r="F522" s="4"/>
      <c r="G522" s="4" t="b">
        <f t="shared" si="8"/>
        <v>0</v>
      </c>
      <c r="H522" s="4"/>
      <c r="I522" s="4"/>
      <c r="J522" s="4" t="s">
        <v>98</v>
      </c>
    </row>
    <row r="523" spans="1:10" customFormat="1" ht="80" x14ac:dyDescent="0.2">
      <c r="A523" s="6" t="s">
        <v>1087</v>
      </c>
      <c r="B523" s="6" t="s">
        <v>1088</v>
      </c>
      <c r="C523" s="4" t="b">
        <v>1</v>
      </c>
      <c r="D523" s="4" t="b">
        <v>1</v>
      </c>
      <c r="E523" s="4" t="b">
        <v>1</v>
      </c>
      <c r="F523" s="4" t="s">
        <v>12</v>
      </c>
      <c r="G523" s="4" t="b">
        <f t="shared" si="8"/>
        <v>1</v>
      </c>
      <c r="H523" s="4" t="s">
        <v>3323</v>
      </c>
      <c r="I523" s="4"/>
      <c r="J523" s="4" t="s">
        <v>98</v>
      </c>
    </row>
    <row r="524" spans="1:10" customFormat="1" ht="16" hidden="1" x14ac:dyDescent="0.2">
      <c r="A524" s="6" t="s">
        <v>1089</v>
      </c>
      <c r="B524" s="6" t="s">
        <v>1090</v>
      </c>
      <c r="C524" s="4" t="b">
        <v>0</v>
      </c>
      <c r="D524" s="4" t="b">
        <v>0</v>
      </c>
      <c r="E524" s="4" t="b">
        <v>0</v>
      </c>
      <c r="F524" s="4"/>
      <c r="G524" s="4" t="b">
        <f t="shared" si="8"/>
        <v>0</v>
      </c>
      <c r="H524" s="4"/>
      <c r="I524" s="4"/>
      <c r="J524" s="4" t="s">
        <v>98</v>
      </c>
    </row>
    <row r="525" spans="1:10" customFormat="1" ht="112" x14ac:dyDescent="0.2">
      <c r="A525" s="6" t="s">
        <v>1091</v>
      </c>
      <c r="B525" s="6" t="s">
        <v>1092</v>
      </c>
      <c r="C525" s="4" t="b">
        <v>1</v>
      </c>
      <c r="D525" s="4" t="b">
        <v>1</v>
      </c>
      <c r="E525" s="4" t="b">
        <v>1</v>
      </c>
      <c r="F525" s="4" t="s">
        <v>12</v>
      </c>
      <c r="G525" s="4" t="b">
        <f t="shared" si="8"/>
        <v>1</v>
      </c>
      <c r="H525" s="4" t="s">
        <v>3322</v>
      </c>
      <c r="I525" s="4"/>
      <c r="J525" s="4" t="s">
        <v>98</v>
      </c>
    </row>
    <row r="526" spans="1:10" customFormat="1" ht="16" hidden="1" x14ac:dyDescent="0.2">
      <c r="A526" s="6" t="s">
        <v>1093</v>
      </c>
      <c r="B526" s="6" t="s">
        <v>1094</v>
      </c>
      <c r="C526" s="4" t="b">
        <v>0</v>
      </c>
      <c r="D526" s="4" t="b">
        <v>0</v>
      </c>
      <c r="E526" s="4" t="b">
        <v>0</v>
      </c>
      <c r="F526" s="4"/>
      <c r="G526" s="4" t="b">
        <f t="shared" si="8"/>
        <v>0</v>
      </c>
      <c r="H526" s="4"/>
      <c r="I526" s="4"/>
      <c r="J526" s="4" t="s">
        <v>98</v>
      </c>
    </row>
    <row r="527" spans="1:10" customFormat="1" ht="32" x14ac:dyDescent="0.2">
      <c r="A527" s="6" t="s">
        <v>1095</v>
      </c>
      <c r="B527" s="6" t="s">
        <v>1096</v>
      </c>
      <c r="C527" s="4" t="b">
        <v>1</v>
      </c>
      <c r="D527" s="4" t="b">
        <v>0</v>
      </c>
      <c r="E527" s="4" t="b">
        <v>1</v>
      </c>
      <c r="F527" s="4" t="s">
        <v>12</v>
      </c>
      <c r="G527" s="4" t="b">
        <f t="shared" si="8"/>
        <v>1</v>
      </c>
      <c r="H527" s="4" t="s">
        <v>3321</v>
      </c>
      <c r="I527" s="4"/>
      <c r="J527" s="4" t="s">
        <v>98</v>
      </c>
    </row>
    <row r="528" spans="1:10" customFormat="1" ht="16" hidden="1" x14ac:dyDescent="0.2">
      <c r="A528" s="6" t="s">
        <v>1097</v>
      </c>
      <c r="B528" s="6" t="s">
        <v>1098</v>
      </c>
      <c r="C528" s="4" t="b">
        <v>0</v>
      </c>
      <c r="D528" s="4" t="b">
        <v>0</v>
      </c>
      <c r="E528" s="4" t="b">
        <v>0</v>
      </c>
      <c r="F528" s="4"/>
      <c r="G528" s="4" t="b">
        <f t="shared" si="8"/>
        <v>0</v>
      </c>
      <c r="H528" s="4"/>
      <c r="I528" s="4"/>
      <c r="J528" s="4" t="s">
        <v>98</v>
      </c>
    </row>
    <row r="529" spans="1:10" customFormat="1" ht="16" hidden="1" x14ac:dyDescent="0.2">
      <c r="A529" s="6" t="s">
        <v>1099</v>
      </c>
      <c r="B529" s="6" t="s">
        <v>1100</v>
      </c>
      <c r="C529" s="4" t="b">
        <v>0</v>
      </c>
      <c r="D529" s="4" t="b">
        <v>0</v>
      </c>
      <c r="E529" s="4" t="b">
        <v>0</v>
      </c>
      <c r="F529" s="4"/>
      <c r="G529" s="4" t="b">
        <f t="shared" si="8"/>
        <v>0</v>
      </c>
      <c r="H529" s="4"/>
      <c r="I529" s="4"/>
      <c r="J529" s="4" t="s">
        <v>98</v>
      </c>
    </row>
    <row r="530" spans="1:10" customFormat="1" ht="16" hidden="1" x14ac:dyDescent="0.2">
      <c r="A530" s="6" t="s">
        <v>1101</v>
      </c>
      <c r="B530" s="6" t="s">
        <v>1102</v>
      </c>
      <c r="C530" s="4" t="b">
        <v>0</v>
      </c>
      <c r="D530" s="4" t="b">
        <v>0</v>
      </c>
      <c r="E530" s="4" t="b">
        <v>0</v>
      </c>
      <c r="F530" s="4" t="s">
        <v>12</v>
      </c>
      <c r="G530" s="4" t="b">
        <f t="shared" si="8"/>
        <v>1</v>
      </c>
      <c r="H530" s="4"/>
      <c r="I530" s="4"/>
      <c r="J530" s="4" t="s">
        <v>98</v>
      </c>
    </row>
    <row r="531" spans="1:10" customFormat="1" ht="16" hidden="1" x14ac:dyDescent="0.2">
      <c r="A531" s="6" t="s">
        <v>1103</v>
      </c>
      <c r="B531" s="6" t="s">
        <v>1104</v>
      </c>
      <c r="C531" s="4" t="b">
        <v>0</v>
      </c>
      <c r="D531" s="4" t="b">
        <v>0</v>
      </c>
      <c r="E531" s="4" t="b">
        <v>0</v>
      </c>
      <c r="F531" s="4"/>
      <c r="G531" s="4" t="b">
        <f t="shared" si="8"/>
        <v>0</v>
      </c>
      <c r="H531" s="4"/>
      <c r="I531" s="4"/>
      <c r="J531" s="4" t="s">
        <v>98</v>
      </c>
    </row>
    <row r="532" spans="1:10" customFormat="1" ht="16" hidden="1" x14ac:dyDescent="0.2">
      <c r="A532" s="6" t="s">
        <v>1105</v>
      </c>
      <c r="B532" s="6" t="s">
        <v>1106</v>
      </c>
      <c r="C532" s="4" t="b">
        <v>0</v>
      </c>
      <c r="D532" s="4" t="b">
        <v>0</v>
      </c>
      <c r="E532" s="4" t="b">
        <v>0</v>
      </c>
      <c r="F532" s="4"/>
      <c r="G532" s="4" t="b">
        <f t="shared" si="8"/>
        <v>0</v>
      </c>
      <c r="H532" s="4"/>
      <c r="I532" s="4"/>
      <c r="J532" s="4" t="s">
        <v>98</v>
      </c>
    </row>
    <row r="533" spans="1:10" customFormat="1" ht="48" x14ac:dyDescent="0.2">
      <c r="A533" s="6" t="s">
        <v>1107</v>
      </c>
      <c r="B533" s="6" t="s">
        <v>1108</v>
      </c>
      <c r="C533" s="4" t="b">
        <v>1</v>
      </c>
      <c r="D533" s="4" t="b">
        <v>0</v>
      </c>
      <c r="E533" s="4" t="b">
        <v>1</v>
      </c>
      <c r="F533" s="4" t="s">
        <v>12</v>
      </c>
      <c r="G533" s="4" t="b">
        <f t="shared" si="8"/>
        <v>1</v>
      </c>
      <c r="H533" s="4" t="s">
        <v>3320</v>
      </c>
      <c r="I533" s="4"/>
      <c r="J533" s="4" t="s">
        <v>98</v>
      </c>
    </row>
    <row r="534" spans="1:10" customFormat="1" ht="16" hidden="1" x14ac:dyDescent="0.2">
      <c r="A534" s="6" t="s">
        <v>1109</v>
      </c>
      <c r="B534" s="6" t="s">
        <v>1110</v>
      </c>
      <c r="C534" s="4" t="b">
        <v>0</v>
      </c>
      <c r="D534" s="4" t="b">
        <v>0</v>
      </c>
      <c r="E534" s="4" t="b">
        <v>0</v>
      </c>
      <c r="F534" s="4"/>
      <c r="G534" s="4" t="b">
        <f t="shared" si="8"/>
        <v>0</v>
      </c>
      <c r="H534" s="4"/>
      <c r="I534" s="4"/>
      <c r="J534" s="4" t="s">
        <v>98</v>
      </c>
    </row>
    <row r="535" spans="1:10" customFormat="1" ht="112" x14ac:dyDescent="0.2">
      <c r="A535" s="6" t="s">
        <v>1111</v>
      </c>
      <c r="B535" s="6" t="s">
        <v>1112</v>
      </c>
      <c r="C535" s="4" t="b">
        <v>1</v>
      </c>
      <c r="D535" s="4" t="b">
        <v>0</v>
      </c>
      <c r="E535" s="4" t="b">
        <v>1</v>
      </c>
      <c r="F535" s="4" t="s">
        <v>12</v>
      </c>
      <c r="G535" s="4" t="b">
        <f t="shared" si="8"/>
        <v>1</v>
      </c>
      <c r="H535" s="4" t="s">
        <v>3319</v>
      </c>
      <c r="I535" s="4"/>
      <c r="J535" s="4" t="s">
        <v>98</v>
      </c>
    </row>
    <row r="536" spans="1:10" customFormat="1" ht="16" hidden="1" x14ac:dyDescent="0.2">
      <c r="A536" s="6" t="s">
        <v>1113</v>
      </c>
      <c r="B536" s="6" t="s">
        <v>1114</v>
      </c>
      <c r="C536" s="4" t="b">
        <v>0</v>
      </c>
      <c r="D536" s="4" t="b">
        <v>0</v>
      </c>
      <c r="E536" s="4" t="b">
        <v>0</v>
      </c>
      <c r="F536" s="4"/>
      <c r="G536" s="4" t="b">
        <f t="shared" si="8"/>
        <v>0</v>
      </c>
      <c r="H536" s="4"/>
      <c r="I536" s="4"/>
      <c r="J536" s="4" t="s">
        <v>98</v>
      </c>
    </row>
    <row r="537" spans="1:10" customFormat="1" ht="16" hidden="1" x14ac:dyDescent="0.2">
      <c r="A537" s="6" t="s">
        <v>1115</v>
      </c>
      <c r="B537" s="6" t="s">
        <v>1116</v>
      </c>
      <c r="C537" s="4" t="b">
        <v>0</v>
      </c>
      <c r="D537" s="4" t="b">
        <v>0</v>
      </c>
      <c r="E537" s="4" t="b">
        <v>1</v>
      </c>
      <c r="F537" s="4"/>
      <c r="G537" s="4" t="b">
        <f t="shared" si="8"/>
        <v>0</v>
      </c>
      <c r="H537" s="4"/>
      <c r="I537" s="4"/>
      <c r="J537" s="4" t="s">
        <v>98</v>
      </c>
    </row>
    <row r="538" spans="1:10" customFormat="1" ht="16" hidden="1" x14ac:dyDescent="0.2">
      <c r="A538" s="6" t="s">
        <v>1117</v>
      </c>
      <c r="B538" s="6" t="s">
        <v>1118</v>
      </c>
      <c r="C538" s="4" t="b">
        <v>0</v>
      </c>
      <c r="D538" s="4" t="b">
        <v>0</v>
      </c>
      <c r="E538" s="4" t="b">
        <v>1</v>
      </c>
      <c r="F538" s="4"/>
      <c r="G538" s="4" t="b">
        <f t="shared" si="8"/>
        <v>0</v>
      </c>
      <c r="H538" s="4"/>
      <c r="I538" s="4"/>
      <c r="J538" s="4" t="s">
        <v>98</v>
      </c>
    </row>
    <row r="539" spans="1:10" customFormat="1" ht="96" x14ac:dyDescent="0.2">
      <c r="A539" s="6" t="s">
        <v>1119</v>
      </c>
      <c r="B539" s="6" t="s">
        <v>1120</v>
      </c>
      <c r="C539" s="4" t="b">
        <v>1</v>
      </c>
      <c r="D539" s="4" t="b">
        <v>1</v>
      </c>
      <c r="E539" s="4" t="b">
        <v>1</v>
      </c>
      <c r="F539" s="4" t="s">
        <v>12</v>
      </c>
      <c r="G539" s="4" t="b">
        <f t="shared" si="8"/>
        <v>1</v>
      </c>
      <c r="H539" s="4" t="s">
        <v>3318</v>
      </c>
      <c r="I539" s="4"/>
      <c r="J539" s="4" t="s">
        <v>98</v>
      </c>
    </row>
    <row r="540" spans="1:10" customFormat="1" ht="16" hidden="1" x14ac:dyDescent="0.2">
      <c r="A540" s="6" t="s">
        <v>1121</v>
      </c>
      <c r="B540" s="6" t="s">
        <v>1122</v>
      </c>
      <c r="C540" s="4" t="b">
        <v>0</v>
      </c>
      <c r="D540" s="4" t="b">
        <v>0</v>
      </c>
      <c r="E540" s="4" t="b">
        <v>1</v>
      </c>
      <c r="F540" s="4"/>
      <c r="G540" s="4" t="b">
        <f t="shared" si="8"/>
        <v>0</v>
      </c>
      <c r="H540" s="4"/>
      <c r="I540" s="4"/>
      <c r="J540" s="4" t="s">
        <v>98</v>
      </c>
    </row>
    <row r="541" spans="1:10" customFormat="1" ht="16" hidden="1" x14ac:dyDescent="0.2">
      <c r="A541" s="6" t="s">
        <v>1123</v>
      </c>
      <c r="B541" s="6" t="s">
        <v>1124</v>
      </c>
      <c r="C541" s="4" t="b">
        <v>0</v>
      </c>
      <c r="D541" s="4" t="b">
        <v>0</v>
      </c>
      <c r="E541" s="4" t="b">
        <v>0</v>
      </c>
      <c r="F541" s="4"/>
      <c r="G541" s="4" t="b">
        <f t="shared" si="8"/>
        <v>0</v>
      </c>
      <c r="H541" s="4"/>
      <c r="I541" s="4"/>
      <c r="J541" s="4" t="s">
        <v>98</v>
      </c>
    </row>
    <row r="542" spans="1:10" customFormat="1" ht="48" x14ac:dyDescent="0.2">
      <c r="A542" s="6" t="s">
        <v>1125</v>
      </c>
      <c r="B542" s="6" t="s">
        <v>1126</v>
      </c>
      <c r="C542" s="4" t="b">
        <v>1</v>
      </c>
      <c r="D542" s="4" t="b">
        <v>0</v>
      </c>
      <c r="E542" s="4" t="b">
        <v>1</v>
      </c>
      <c r="F542" s="4" t="s">
        <v>12</v>
      </c>
      <c r="G542" s="4" t="b">
        <f t="shared" si="8"/>
        <v>1</v>
      </c>
      <c r="H542" s="4" t="s">
        <v>3317</v>
      </c>
      <c r="I542" s="4"/>
      <c r="J542" s="4" t="s">
        <v>98</v>
      </c>
    </row>
    <row r="543" spans="1:10" customFormat="1" ht="16" hidden="1" x14ac:dyDescent="0.2">
      <c r="A543" s="6" t="s">
        <v>1127</v>
      </c>
      <c r="B543" s="6" t="s">
        <v>1128</v>
      </c>
      <c r="C543" s="4" t="b">
        <v>0</v>
      </c>
      <c r="D543" s="4" t="b">
        <v>0</v>
      </c>
      <c r="E543" s="4" t="b">
        <v>0</v>
      </c>
      <c r="F543" s="4"/>
      <c r="G543" s="4" t="b">
        <f t="shared" si="8"/>
        <v>0</v>
      </c>
      <c r="H543" s="4"/>
      <c r="I543" s="4"/>
      <c r="J543" s="4" t="s">
        <v>98</v>
      </c>
    </row>
    <row r="544" spans="1:10" customFormat="1" ht="48" x14ac:dyDescent="0.2">
      <c r="A544" s="6" t="s">
        <v>1129</v>
      </c>
      <c r="B544" s="6" t="s">
        <v>1130</v>
      </c>
      <c r="C544" s="4" t="b">
        <v>1</v>
      </c>
      <c r="D544" s="4" t="b">
        <v>0</v>
      </c>
      <c r="E544" s="4" t="b">
        <v>1</v>
      </c>
      <c r="F544" s="4" t="s">
        <v>12</v>
      </c>
      <c r="G544" s="4" t="b">
        <f t="shared" si="8"/>
        <v>1</v>
      </c>
      <c r="H544" s="4" t="s">
        <v>3316</v>
      </c>
      <c r="I544" s="4"/>
      <c r="J544" s="4" t="s">
        <v>98</v>
      </c>
    </row>
    <row r="545" spans="1:10" customFormat="1" ht="16" hidden="1" x14ac:dyDescent="0.2">
      <c r="A545" s="6" t="s">
        <v>1131</v>
      </c>
      <c r="B545" s="6" t="s">
        <v>1132</v>
      </c>
      <c r="C545" s="4" t="b">
        <v>0</v>
      </c>
      <c r="D545" s="4" t="b">
        <v>0</v>
      </c>
      <c r="E545" s="4" t="b">
        <v>1</v>
      </c>
      <c r="F545" s="4"/>
      <c r="G545" s="4" t="b">
        <f t="shared" si="8"/>
        <v>0</v>
      </c>
      <c r="H545" s="4"/>
      <c r="I545" s="4"/>
      <c r="J545" s="4" t="s">
        <v>98</v>
      </c>
    </row>
    <row r="546" spans="1:10" customFormat="1" ht="48" x14ac:dyDescent="0.2">
      <c r="A546" s="6" t="s">
        <v>1133</v>
      </c>
      <c r="B546" s="6" t="s">
        <v>1134</v>
      </c>
      <c r="C546" s="4" t="b">
        <v>1</v>
      </c>
      <c r="D546" s="4" t="b">
        <v>0</v>
      </c>
      <c r="E546" s="4" t="b">
        <v>1</v>
      </c>
      <c r="F546" s="4" t="s">
        <v>12</v>
      </c>
      <c r="G546" s="4" t="b">
        <f t="shared" si="8"/>
        <v>1</v>
      </c>
      <c r="H546" s="4" t="s">
        <v>3315</v>
      </c>
      <c r="I546" s="4"/>
      <c r="J546" s="4" t="s">
        <v>98</v>
      </c>
    </row>
    <row r="547" spans="1:10" customFormat="1" ht="16" hidden="1" x14ac:dyDescent="0.2">
      <c r="A547" s="6" t="s">
        <v>1135</v>
      </c>
      <c r="B547" s="6" t="s">
        <v>1136</v>
      </c>
      <c r="C547" s="4" t="b">
        <v>0</v>
      </c>
      <c r="D547" s="4" t="b">
        <v>0</v>
      </c>
      <c r="E547" s="4" t="b">
        <v>0</v>
      </c>
      <c r="F547" s="4"/>
      <c r="G547" s="4" t="b">
        <f t="shared" si="8"/>
        <v>0</v>
      </c>
      <c r="H547" s="4"/>
      <c r="I547" s="4"/>
      <c r="J547" s="4" t="s">
        <v>98</v>
      </c>
    </row>
    <row r="548" spans="1:10" customFormat="1" ht="32" x14ac:dyDescent="0.2">
      <c r="A548" s="6" t="s">
        <v>1137</v>
      </c>
      <c r="B548" s="6" t="s">
        <v>1138</v>
      </c>
      <c r="C548" s="4" t="b">
        <v>1</v>
      </c>
      <c r="D548" s="4" t="b">
        <v>0</v>
      </c>
      <c r="E548" s="4" t="b">
        <v>1</v>
      </c>
      <c r="F548" s="4" t="s">
        <v>12</v>
      </c>
      <c r="G548" s="4" t="b">
        <f t="shared" si="8"/>
        <v>1</v>
      </c>
      <c r="H548" s="4" t="s">
        <v>3314</v>
      </c>
      <c r="I548" s="4"/>
      <c r="J548" s="4" t="s">
        <v>98</v>
      </c>
    </row>
    <row r="549" spans="1:10" customFormat="1" ht="16" hidden="1" x14ac:dyDescent="0.2">
      <c r="A549" s="6" t="s">
        <v>1139</v>
      </c>
      <c r="B549" s="6" t="s">
        <v>1140</v>
      </c>
      <c r="C549" s="4" t="b">
        <v>0</v>
      </c>
      <c r="D549" s="4" t="b">
        <v>0</v>
      </c>
      <c r="E549" s="4" t="b">
        <v>0</v>
      </c>
      <c r="F549" s="4"/>
      <c r="G549" s="4" t="b">
        <f t="shared" si="8"/>
        <v>0</v>
      </c>
      <c r="H549" s="4"/>
      <c r="I549" s="4"/>
      <c r="J549" s="4" t="s">
        <v>98</v>
      </c>
    </row>
    <row r="550" spans="1:10" customFormat="1" ht="128" x14ac:dyDescent="0.2">
      <c r="A550" s="6" t="s">
        <v>1141</v>
      </c>
      <c r="B550" s="6" t="s">
        <v>1142</v>
      </c>
      <c r="C550" s="4" t="b">
        <v>1</v>
      </c>
      <c r="D550" s="4" t="b">
        <v>1</v>
      </c>
      <c r="E550" s="4" t="b">
        <v>1</v>
      </c>
      <c r="F550" s="4" t="s">
        <v>12</v>
      </c>
      <c r="G550" s="4" t="b">
        <f t="shared" si="8"/>
        <v>1</v>
      </c>
      <c r="H550" s="4" t="s">
        <v>3313</v>
      </c>
      <c r="I550" s="4"/>
      <c r="J550" s="4" t="s">
        <v>98</v>
      </c>
    </row>
    <row r="551" spans="1:10" customFormat="1" ht="16" hidden="1" x14ac:dyDescent="0.2">
      <c r="A551" s="6" t="s">
        <v>1143</v>
      </c>
      <c r="B551" s="6" t="s">
        <v>1144</v>
      </c>
      <c r="C551" s="4" t="b">
        <v>0</v>
      </c>
      <c r="D551" s="4" t="b">
        <v>0</v>
      </c>
      <c r="E551" s="4" t="b">
        <v>0</v>
      </c>
      <c r="F551" s="4"/>
      <c r="G551" s="4" t="b">
        <f t="shared" si="8"/>
        <v>0</v>
      </c>
      <c r="H551" s="4"/>
      <c r="I551" s="4"/>
      <c r="J551" s="4" t="s">
        <v>98</v>
      </c>
    </row>
    <row r="552" spans="1:10" customFormat="1" ht="16" hidden="1" x14ac:dyDescent="0.2">
      <c r="A552" s="6" t="s">
        <v>1145</v>
      </c>
      <c r="B552" s="6" t="s">
        <v>1146</v>
      </c>
      <c r="C552" s="4" t="b">
        <v>0</v>
      </c>
      <c r="D552" s="4" t="b">
        <v>0</v>
      </c>
      <c r="E552" s="4" t="b">
        <v>0</v>
      </c>
      <c r="F552" s="4"/>
      <c r="G552" s="4" t="b">
        <f t="shared" si="8"/>
        <v>0</v>
      </c>
      <c r="H552" s="4"/>
      <c r="I552" s="4"/>
      <c r="J552" s="4" t="s">
        <v>98</v>
      </c>
    </row>
    <row r="553" spans="1:10" customFormat="1" ht="16" hidden="1" x14ac:dyDescent="0.2">
      <c r="A553" s="6" t="s">
        <v>1147</v>
      </c>
      <c r="B553" s="6" t="s">
        <v>1148</v>
      </c>
      <c r="C553" s="4" t="b">
        <v>0</v>
      </c>
      <c r="D553" s="4" t="b">
        <v>0</v>
      </c>
      <c r="E553" s="4" t="b">
        <v>0</v>
      </c>
      <c r="F553" s="4"/>
      <c r="G553" s="4" t="b">
        <f t="shared" si="8"/>
        <v>0</v>
      </c>
      <c r="H553" s="4"/>
      <c r="I553" s="4"/>
      <c r="J553" s="4" t="s">
        <v>98</v>
      </c>
    </row>
    <row r="554" spans="1:10" customFormat="1" ht="16" hidden="1" x14ac:dyDescent="0.2">
      <c r="A554" s="6" t="s">
        <v>1149</v>
      </c>
      <c r="B554" s="6" t="s">
        <v>1150</v>
      </c>
      <c r="C554" s="4" t="b">
        <v>0</v>
      </c>
      <c r="D554" s="4" t="b">
        <v>0</v>
      </c>
      <c r="E554" s="4" t="b">
        <v>0</v>
      </c>
      <c r="F554" s="4"/>
      <c r="G554" s="4" t="b">
        <f t="shared" si="8"/>
        <v>0</v>
      </c>
      <c r="H554" s="4"/>
      <c r="I554" s="4"/>
      <c r="J554" s="4" t="s">
        <v>98</v>
      </c>
    </row>
    <row r="555" spans="1:10" customFormat="1" ht="80" x14ac:dyDescent="0.2">
      <c r="A555" s="6" t="s">
        <v>1151</v>
      </c>
      <c r="B555" s="6" t="s">
        <v>1152</v>
      </c>
      <c r="C555" s="4" t="b">
        <v>1</v>
      </c>
      <c r="D555" s="4" t="b">
        <v>0</v>
      </c>
      <c r="E555" s="4" t="b">
        <v>1</v>
      </c>
      <c r="F555" s="4" t="s">
        <v>12</v>
      </c>
      <c r="G555" s="4" t="b">
        <f t="shared" si="8"/>
        <v>1</v>
      </c>
      <c r="H555" s="4" t="s">
        <v>3312</v>
      </c>
      <c r="I555" s="4"/>
      <c r="J555" s="4" t="s">
        <v>98</v>
      </c>
    </row>
    <row r="556" spans="1:10" customFormat="1" ht="16" hidden="1" x14ac:dyDescent="0.2">
      <c r="A556" s="6" t="s">
        <v>1153</v>
      </c>
      <c r="B556" s="6" t="s">
        <v>1154</v>
      </c>
      <c r="C556" s="4" t="b">
        <v>0</v>
      </c>
      <c r="D556" s="4" t="b">
        <v>0</v>
      </c>
      <c r="E556" s="4" t="b">
        <v>1</v>
      </c>
      <c r="F556" s="4"/>
      <c r="G556" s="4" t="b">
        <f t="shared" si="8"/>
        <v>0</v>
      </c>
      <c r="H556" s="4"/>
      <c r="I556" s="4"/>
      <c r="J556" s="4" t="s">
        <v>98</v>
      </c>
    </row>
    <row r="557" spans="1:10" customFormat="1" ht="16" hidden="1" x14ac:dyDescent="0.2">
      <c r="A557" s="6" t="s">
        <v>1155</v>
      </c>
      <c r="B557" s="6" t="s">
        <v>1156</v>
      </c>
      <c r="C557" s="4" t="b">
        <v>0</v>
      </c>
      <c r="D557" s="4" t="b">
        <v>0</v>
      </c>
      <c r="E557" s="4" t="b">
        <v>0</v>
      </c>
      <c r="F557" s="4"/>
      <c r="G557" s="4" t="b">
        <f t="shared" si="8"/>
        <v>0</v>
      </c>
      <c r="H557" s="4"/>
      <c r="I557" s="4"/>
      <c r="J557" s="4" t="s">
        <v>98</v>
      </c>
    </row>
    <row r="558" spans="1:10" customFormat="1" ht="32" x14ac:dyDescent="0.2">
      <c r="A558" s="6" t="s">
        <v>1157</v>
      </c>
      <c r="B558" s="6" t="s">
        <v>1158</v>
      </c>
      <c r="C558" s="4" t="b">
        <v>1</v>
      </c>
      <c r="D558" s="4" t="b">
        <v>0</v>
      </c>
      <c r="E558" s="4" t="b">
        <v>1</v>
      </c>
      <c r="F558" s="4" t="s">
        <v>12</v>
      </c>
      <c r="G558" s="4" t="b">
        <f t="shared" si="8"/>
        <v>1</v>
      </c>
      <c r="H558" s="4" t="s">
        <v>3311</v>
      </c>
      <c r="I558" s="4"/>
      <c r="J558" s="4" t="s">
        <v>98</v>
      </c>
    </row>
    <row r="559" spans="1:10" customFormat="1" ht="112" x14ac:dyDescent="0.2">
      <c r="A559" s="6" t="s">
        <v>1159</v>
      </c>
      <c r="B559" s="6" t="s">
        <v>1160</v>
      </c>
      <c r="C559" s="4" t="b">
        <v>1</v>
      </c>
      <c r="D559" s="4" t="b">
        <v>0</v>
      </c>
      <c r="E559" s="4" t="b">
        <v>1</v>
      </c>
      <c r="F559" s="4" t="s">
        <v>12</v>
      </c>
      <c r="G559" s="4" t="b">
        <f t="shared" si="8"/>
        <v>1</v>
      </c>
      <c r="H559" s="4" t="s">
        <v>3310</v>
      </c>
      <c r="I559" s="4"/>
      <c r="J559" s="4" t="s">
        <v>98</v>
      </c>
    </row>
    <row r="560" spans="1:10" customFormat="1" ht="16" hidden="1" x14ac:dyDescent="0.2">
      <c r="A560" s="6" t="s">
        <v>1161</v>
      </c>
      <c r="B560" s="6" t="s">
        <v>1162</v>
      </c>
      <c r="C560" s="4" t="b">
        <v>0</v>
      </c>
      <c r="D560" s="4" t="b">
        <v>0</v>
      </c>
      <c r="E560" s="4" t="b">
        <v>0</v>
      </c>
      <c r="F560" s="4"/>
      <c r="G560" s="4" t="b">
        <f t="shared" si="8"/>
        <v>0</v>
      </c>
      <c r="H560" s="4"/>
      <c r="I560" s="4"/>
      <c r="J560" s="4" t="s">
        <v>98</v>
      </c>
    </row>
    <row r="561" spans="1:11" ht="16" hidden="1" x14ac:dyDescent="0.2">
      <c r="A561" s="6" t="s">
        <v>1163</v>
      </c>
      <c r="B561" s="6" t="s">
        <v>1164</v>
      </c>
      <c r="C561" s="4" t="b">
        <v>0</v>
      </c>
      <c r="D561" s="4" t="b">
        <v>0</v>
      </c>
      <c r="E561" s="4" t="b">
        <v>0</v>
      </c>
      <c r="F561" s="4"/>
      <c r="G561" s="4" t="b">
        <f t="shared" si="8"/>
        <v>0</v>
      </c>
      <c r="H561" s="4"/>
      <c r="I561" s="4"/>
      <c r="J561" s="4" t="s">
        <v>98</v>
      </c>
      <c r="K561"/>
    </row>
    <row r="562" spans="1:11" ht="16" hidden="1" x14ac:dyDescent="0.2">
      <c r="A562" s="6" t="s">
        <v>1165</v>
      </c>
      <c r="B562" s="6" t="s">
        <v>1166</v>
      </c>
      <c r="C562" s="4" t="b">
        <v>0</v>
      </c>
      <c r="D562" s="4" t="b">
        <v>0</v>
      </c>
      <c r="E562" s="4" t="b">
        <v>0</v>
      </c>
      <c r="F562" s="4"/>
      <c r="G562" s="4" t="b">
        <f t="shared" si="8"/>
        <v>0</v>
      </c>
      <c r="H562" s="4"/>
      <c r="I562" s="4"/>
      <c r="J562" s="4" t="s">
        <v>98</v>
      </c>
      <c r="K562"/>
    </row>
    <row r="563" spans="1:11" ht="16" hidden="1" x14ac:dyDescent="0.2">
      <c r="A563" s="6" t="s">
        <v>1167</v>
      </c>
      <c r="B563" s="6" t="s">
        <v>1168</v>
      </c>
      <c r="C563" s="4" t="b">
        <v>0</v>
      </c>
      <c r="D563" s="4" t="b">
        <v>0</v>
      </c>
      <c r="E563" s="4" t="b">
        <v>1</v>
      </c>
      <c r="F563" s="4"/>
      <c r="G563" s="4" t="b">
        <f t="shared" si="8"/>
        <v>0</v>
      </c>
      <c r="H563" s="4"/>
      <c r="I563" s="4"/>
      <c r="J563" s="4" t="s">
        <v>98</v>
      </c>
      <c r="K563"/>
    </row>
    <row r="564" spans="1:11" ht="176" x14ac:dyDescent="0.2">
      <c r="A564" s="6" t="s">
        <v>1169</v>
      </c>
      <c r="B564" s="6" t="s">
        <v>1170</v>
      </c>
      <c r="C564" s="4" t="b">
        <v>1</v>
      </c>
      <c r="D564" s="4" t="b">
        <v>1</v>
      </c>
      <c r="E564" s="4" t="b">
        <v>1</v>
      </c>
      <c r="F564" s="4" t="s">
        <v>12</v>
      </c>
      <c r="G564" s="4" t="b">
        <f t="shared" si="8"/>
        <v>1</v>
      </c>
      <c r="H564" s="4" t="s">
        <v>3309</v>
      </c>
      <c r="I564" s="4"/>
      <c r="J564" s="4" t="s">
        <v>98</v>
      </c>
      <c r="K564"/>
    </row>
    <row r="565" spans="1:11" ht="32" hidden="1" x14ac:dyDescent="0.2">
      <c r="A565" s="6" t="s">
        <v>1171</v>
      </c>
      <c r="B565" s="6" t="s">
        <v>1172</v>
      </c>
      <c r="C565" s="4" t="b">
        <v>0</v>
      </c>
      <c r="D565" s="4" t="b">
        <v>0</v>
      </c>
      <c r="E565" s="4" t="b">
        <v>1</v>
      </c>
      <c r="F565" s="4" t="s">
        <v>12</v>
      </c>
      <c r="G565" s="4" t="b">
        <f t="shared" si="8"/>
        <v>1</v>
      </c>
      <c r="H565" s="4" t="s">
        <v>3308</v>
      </c>
      <c r="I565" s="4"/>
      <c r="J565" s="4" t="s">
        <v>98</v>
      </c>
      <c r="K565"/>
    </row>
    <row r="566" spans="1:11" ht="16" hidden="1" x14ac:dyDescent="0.2">
      <c r="A566" s="6" t="s">
        <v>1173</v>
      </c>
      <c r="B566" s="6" t="s">
        <v>1174</v>
      </c>
      <c r="C566" s="4" t="b">
        <v>0</v>
      </c>
      <c r="D566" s="4" t="b">
        <v>0</v>
      </c>
      <c r="E566" s="4" t="b">
        <v>0</v>
      </c>
      <c r="F566" s="4"/>
      <c r="G566" s="4" t="b">
        <f t="shared" si="8"/>
        <v>0</v>
      </c>
      <c r="H566" s="4"/>
      <c r="I566" s="4"/>
      <c r="J566" s="4" t="s">
        <v>98</v>
      </c>
      <c r="K566"/>
    </row>
    <row r="567" spans="1:11" ht="16" hidden="1" x14ac:dyDescent="0.2">
      <c r="A567" s="6" t="s">
        <v>1175</v>
      </c>
      <c r="B567" s="6" t="s">
        <v>1176</v>
      </c>
      <c r="C567" s="4" t="b">
        <v>0</v>
      </c>
      <c r="D567" s="4" t="b">
        <v>0</v>
      </c>
      <c r="E567" s="4" t="b">
        <v>0</v>
      </c>
      <c r="F567" s="4"/>
      <c r="G567" s="4" t="b">
        <f t="shared" si="8"/>
        <v>0</v>
      </c>
      <c r="H567" s="4"/>
      <c r="I567" s="4"/>
      <c r="J567" s="4" t="s">
        <v>98</v>
      </c>
      <c r="K567"/>
    </row>
    <row r="568" spans="1:11" ht="16" hidden="1" x14ac:dyDescent="0.2">
      <c r="A568" s="6" t="s">
        <v>1177</v>
      </c>
      <c r="B568" s="6" t="s">
        <v>1178</v>
      </c>
      <c r="C568" s="4" t="b">
        <v>0</v>
      </c>
      <c r="D568" s="4" t="b">
        <v>0</v>
      </c>
      <c r="E568" s="4" t="b">
        <v>0</v>
      </c>
      <c r="F568" s="4"/>
      <c r="G568" s="4" t="b">
        <f t="shared" si="8"/>
        <v>0</v>
      </c>
      <c r="H568" s="4"/>
      <c r="I568" s="4"/>
      <c r="J568" s="4" t="s">
        <v>98</v>
      </c>
      <c r="K568"/>
    </row>
    <row r="569" spans="1:11" ht="16" hidden="1" x14ac:dyDescent="0.2">
      <c r="A569" s="6" t="s">
        <v>1179</v>
      </c>
      <c r="B569" s="6" t="s">
        <v>1180</v>
      </c>
      <c r="C569" s="4" t="b">
        <v>0</v>
      </c>
      <c r="D569" s="4" t="b">
        <v>0</v>
      </c>
      <c r="E569" s="4" t="b">
        <v>0</v>
      </c>
      <c r="F569" s="4"/>
      <c r="G569" s="4" t="b">
        <f t="shared" si="8"/>
        <v>0</v>
      </c>
      <c r="H569" s="4"/>
      <c r="I569" s="4"/>
      <c r="J569" s="4" t="s">
        <v>98</v>
      </c>
      <c r="K569"/>
    </row>
    <row r="570" spans="1:11" ht="16" hidden="1" x14ac:dyDescent="0.2">
      <c r="A570" s="6" t="s">
        <v>1181</v>
      </c>
      <c r="B570" s="6" t="s">
        <v>1182</v>
      </c>
      <c r="C570" s="4" t="b">
        <v>0</v>
      </c>
      <c r="D570" s="4" t="b">
        <v>0</v>
      </c>
      <c r="E570" s="4" t="b">
        <v>0</v>
      </c>
      <c r="F570" s="4"/>
      <c r="G570" s="4" t="b">
        <f t="shared" si="8"/>
        <v>0</v>
      </c>
      <c r="H570" s="4"/>
      <c r="I570" s="4"/>
      <c r="J570" s="4" t="s">
        <v>98</v>
      </c>
      <c r="K570"/>
    </row>
    <row r="571" spans="1:11" ht="16" hidden="1" x14ac:dyDescent="0.2">
      <c r="A571" s="6" t="s">
        <v>1183</v>
      </c>
      <c r="B571" s="6" t="s">
        <v>1184</v>
      </c>
      <c r="C571" s="4" t="b">
        <v>0</v>
      </c>
      <c r="D571" s="4" t="b">
        <v>0</v>
      </c>
      <c r="E571" s="4" t="b">
        <v>1</v>
      </c>
      <c r="F571" s="4"/>
      <c r="G571" s="4" t="b">
        <f t="shared" si="8"/>
        <v>0</v>
      </c>
      <c r="H571" s="4"/>
      <c r="I571" s="4"/>
      <c r="J571" s="4" t="s">
        <v>98</v>
      </c>
      <c r="K571"/>
    </row>
    <row r="572" spans="1:11" ht="48" x14ac:dyDescent="0.2">
      <c r="A572" s="6" t="s">
        <v>1185</v>
      </c>
      <c r="B572" s="6" t="s">
        <v>1186</v>
      </c>
      <c r="C572" s="4" t="b">
        <v>1</v>
      </c>
      <c r="D572" s="4" t="b">
        <v>0</v>
      </c>
      <c r="E572" s="4" t="b">
        <v>1</v>
      </c>
      <c r="F572" s="4" t="s">
        <v>12</v>
      </c>
      <c r="G572" s="4" t="b">
        <f t="shared" si="8"/>
        <v>1</v>
      </c>
      <c r="H572" s="4" t="s">
        <v>3162</v>
      </c>
      <c r="I572" s="4"/>
      <c r="J572" s="4" t="s">
        <v>94</v>
      </c>
    </row>
    <row r="573" spans="1:11" ht="112" x14ac:dyDescent="0.2">
      <c r="A573" s="6" t="s">
        <v>1187</v>
      </c>
      <c r="B573" s="6" t="s">
        <v>1188</v>
      </c>
      <c r="C573" s="4" t="b">
        <v>1</v>
      </c>
      <c r="D573" s="4" t="b">
        <v>1</v>
      </c>
      <c r="E573" s="4" t="b">
        <v>1</v>
      </c>
      <c r="F573" s="4" t="s">
        <v>12</v>
      </c>
      <c r="G573" s="4" t="b">
        <f t="shared" si="8"/>
        <v>1</v>
      </c>
      <c r="H573" s="4" t="s">
        <v>3159</v>
      </c>
      <c r="I573" s="4"/>
      <c r="J573" s="4" t="s">
        <v>94</v>
      </c>
    </row>
    <row r="574" spans="1:11" ht="16" hidden="1" x14ac:dyDescent="0.2">
      <c r="A574" s="6" t="s">
        <v>1189</v>
      </c>
      <c r="B574" s="6" t="s">
        <v>1190</v>
      </c>
      <c r="C574" s="4" t="b">
        <v>0</v>
      </c>
      <c r="D574" s="4" t="b">
        <v>0</v>
      </c>
      <c r="E574" s="4" t="b">
        <v>1</v>
      </c>
      <c r="F574" s="4"/>
      <c r="G574" s="4" t="b">
        <f t="shared" si="8"/>
        <v>0</v>
      </c>
      <c r="H574" s="4"/>
      <c r="I574" s="4"/>
      <c r="J574" s="4" t="s">
        <v>94</v>
      </c>
      <c r="K574"/>
    </row>
    <row r="575" spans="1:11" ht="16" hidden="1" x14ac:dyDescent="0.2">
      <c r="A575" s="6" t="s">
        <v>1191</v>
      </c>
      <c r="B575" s="6" t="s">
        <v>1192</v>
      </c>
      <c r="C575" s="4" t="b">
        <v>0</v>
      </c>
      <c r="D575" s="4" t="b">
        <v>0</v>
      </c>
      <c r="E575" s="4" t="b">
        <v>0</v>
      </c>
      <c r="F575" s="4"/>
      <c r="G575" s="4" t="b">
        <f t="shared" si="8"/>
        <v>0</v>
      </c>
      <c r="H575" s="4"/>
      <c r="I575" s="4"/>
      <c r="J575" s="4" t="s">
        <v>94</v>
      </c>
      <c r="K575"/>
    </row>
    <row r="576" spans="1:11" ht="64" x14ac:dyDescent="0.2">
      <c r="A576" s="6" t="s">
        <v>1193</v>
      </c>
      <c r="B576" s="6" t="s">
        <v>1194</v>
      </c>
      <c r="C576" s="4" t="b">
        <v>1</v>
      </c>
      <c r="D576" s="4" t="b">
        <v>0</v>
      </c>
      <c r="E576" s="4" t="b">
        <v>1</v>
      </c>
      <c r="F576" s="4" t="s">
        <v>12</v>
      </c>
      <c r="G576" s="4" t="b">
        <f t="shared" si="8"/>
        <v>1</v>
      </c>
      <c r="H576" s="4" t="s">
        <v>3158</v>
      </c>
      <c r="I576" s="4"/>
      <c r="J576" s="4" t="s">
        <v>94</v>
      </c>
    </row>
    <row r="577" spans="1:11" ht="16" hidden="1" x14ac:dyDescent="0.2">
      <c r="A577" s="6" t="s">
        <v>1195</v>
      </c>
      <c r="B577" s="6" t="s">
        <v>1196</v>
      </c>
      <c r="C577" s="4" t="b">
        <v>0</v>
      </c>
      <c r="D577" s="4" t="b">
        <v>0</v>
      </c>
      <c r="E577" s="4" t="b">
        <v>1</v>
      </c>
      <c r="F577" s="4"/>
      <c r="G577" s="4" t="b">
        <f t="shared" si="8"/>
        <v>0</v>
      </c>
      <c r="H577" s="4"/>
      <c r="I577" s="4"/>
      <c r="J577" s="4" t="s">
        <v>94</v>
      </c>
      <c r="K577"/>
    </row>
    <row r="578" spans="1:11" ht="16" x14ac:dyDescent="0.2">
      <c r="A578" s="6" t="s">
        <v>1197</v>
      </c>
      <c r="B578" s="6" t="s">
        <v>1198</v>
      </c>
      <c r="C578" s="4" t="b">
        <v>1</v>
      </c>
      <c r="D578" s="4" t="b">
        <v>0</v>
      </c>
      <c r="E578" s="4" t="b">
        <v>1</v>
      </c>
      <c r="F578" s="4" t="s">
        <v>12</v>
      </c>
      <c r="G578" s="4" t="b">
        <f t="shared" ref="G578:G641" si="9">IF(F578="✔", TRUE, FALSE)</f>
        <v>1</v>
      </c>
      <c r="H578" s="4"/>
      <c r="I578" s="4"/>
      <c r="J578" s="4" t="s">
        <v>94</v>
      </c>
    </row>
    <row r="579" spans="1:11" ht="16" hidden="1" x14ac:dyDescent="0.2">
      <c r="A579" s="6" t="s">
        <v>1199</v>
      </c>
      <c r="B579" s="6" t="s">
        <v>1200</v>
      </c>
      <c r="C579" s="4" t="b">
        <v>0</v>
      </c>
      <c r="D579" s="4" t="b">
        <v>0</v>
      </c>
      <c r="E579" s="4" t="b">
        <v>1</v>
      </c>
      <c r="F579" s="4"/>
      <c r="G579" s="4" t="b">
        <f t="shared" si="9"/>
        <v>0</v>
      </c>
      <c r="H579" s="4"/>
      <c r="I579" s="4"/>
      <c r="J579" s="4" t="s">
        <v>94</v>
      </c>
      <c r="K579"/>
    </row>
    <row r="580" spans="1:11" ht="16" hidden="1" x14ac:dyDescent="0.2">
      <c r="A580" s="6" t="s">
        <v>1201</v>
      </c>
      <c r="B580" s="6" t="s">
        <v>1202</v>
      </c>
      <c r="C580" s="4" t="b">
        <v>0</v>
      </c>
      <c r="D580" s="4" t="b">
        <v>0</v>
      </c>
      <c r="E580" s="4" t="b">
        <v>0</v>
      </c>
      <c r="F580" s="4"/>
      <c r="G580" s="4" t="b">
        <f t="shared" si="9"/>
        <v>0</v>
      </c>
      <c r="H580" s="4"/>
      <c r="I580" s="4"/>
      <c r="J580" s="4" t="s">
        <v>94</v>
      </c>
      <c r="K580"/>
    </row>
    <row r="581" spans="1:11" ht="16" hidden="1" x14ac:dyDescent="0.2">
      <c r="A581" s="6" t="s">
        <v>1203</v>
      </c>
      <c r="B581" s="6" t="s">
        <v>1204</v>
      </c>
      <c r="C581" s="4" t="b">
        <v>0</v>
      </c>
      <c r="D581" s="4" t="b">
        <v>0</v>
      </c>
      <c r="E581" s="4" t="b">
        <v>1</v>
      </c>
      <c r="F581" s="4"/>
      <c r="G581" s="4" t="b">
        <f t="shared" si="9"/>
        <v>0</v>
      </c>
      <c r="H581" s="4"/>
      <c r="I581" s="4"/>
      <c r="J581" s="4" t="s">
        <v>94</v>
      </c>
      <c r="K581"/>
    </row>
    <row r="582" spans="1:11" ht="32" hidden="1" x14ac:dyDescent="0.2">
      <c r="A582" s="6" t="s">
        <v>1205</v>
      </c>
      <c r="B582" s="6" t="s">
        <v>1206</v>
      </c>
      <c r="C582" s="4" t="b">
        <v>0</v>
      </c>
      <c r="D582" s="4" t="b">
        <v>0</v>
      </c>
      <c r="E582" s="4" t="b">
        <v>0</v>
      </c>
      <c r="F582" s="4" t="s">
        <v>12</v>
      </c>
      <c r="G582" s="4" t="b">
        <f t="shared" si="9"/>
        <v>1</v>
      </c>
      <c r="H582" s="4" t="s">
        <v>3104</v>
      </c>
      <c r="I582" s="4"/>
      <c r="J582" s="4" t="s">
        <v>94</v>
      </c>
    </row>
    <row r="583" spans="1:11" ht="16" x14ac:dyDescent="0.2">
      <c r="A583" s="6" t="s">
        <v>1207</v>
      </c>
      <c r="B583" s="6" t="s">
        <v>1208</v>
      </c>
      <c r="C583" s="4" t="b">
        <v>1</v>
      </c>
      <c r="D583" s="4" t="b">
        <v>0</v>
      </c>
      <c r="E583" s="4" t="b">
        <v>1</v>
      </c>
      <c r="F583" s="4" t="s">
        <v>12</v>
      </c>
      <c r="G583" s="4" t="b">
        <f t="shared" si="9"/>
        <v>1</v>
      </c>
      <c r="H583" s="4"/>
      <c r="I583" s="4"/>
      <c r="J583" s="4" t="s">
        <v>94</v>
      </c>
    </row>
    <row r="584" spans="1:11" ht="64" x14ac:dyDescent="0.2">
      <c r="A584" s="6" t="s">
        <v>1209</v>
      </c>
      <c r="B584" s="6" t="s">
        <v>1210</v>
      </c>
      <c r="C584" s="4" t="b">
        <v>1</v>
      </c>
      <c r="D584" s="4" t="b">
        <v>0</v>
      </c>
      <c r="E584" s="4" t="b">
        <v>1</v>
      </c>
      <c r="F584" s="4" t="s">
        <v>12</v>
      </c>
      <c r="G584" s="4" t="b">
        <f t="shared" si="9"/>
        <v>1</v>
      </c>
      <c r="H584" s="4" t="s">
        <v>3156</v>
      </c>
      <c r="I584" s="4"/>
      <c r="J584" s="4" t="s">
        <v>94</v>
      </c>
    </row>
    <row r="585" spans="1:11" ht="32" x14ac:dyDescent="0.2">
      <c r="A585" s="6" t="s">
        <v>1211</v>
      </c>
      <c r="B585" s="6" t="s">
        <v>1212</v>
      </c>
      <c r="C585" s="4" t="b">
        <v>1</v>
      </c>
      <c r="D585" s="4" t="b">
        <v>0</v>
      </c>
      <c r="E585" s="4" t="b">
        <v>1</v>
      </c>
      <c r="F585" s="4" t="s">
        <v>12</v>
      </c>
      <c r="G585" s="4" t="b">
        <f t="shared" si="9"/>
        <v>1</v>
      </c>
      <c r="H585" s="4" t="s">
        <v>3149</v>
      </c>
      <c r="I585" s="4"/>
      <c r="J585" s="4" t="s">
        <v>94</v>
      </c>
      <c r="K585" s="1" t="s">
        <v>2998</v>
      </c>
    </row>
    <row r="586" spans="1:11" ht="16" hidden="1" x14ac:dyDescent="0.2">
      <c r="A586" s="6" t="s">
        <v>1213</v>
      </c>
      <c r="B586" s="6" t="s">
        <v>1214</v>
      </c>
      <c r="C586" s="4" t="b">
        <v>0</v>
      </c>
      <c r="D586" s="4" t="b">
        <v>0</v>
      </c>
      <c r="E586" s="4" t="b">
        <v>0</v>
      </c>
      <c r="F586" s="4"/>
      <c r="G586" s="4" t="b">
        <f t="shared" si="9"/>
        <v>0</v>
      </c>
      <c r="H586" s="4"/>
      <c r="I586" s="4"/>
      <c r="J586" s="4" t="s">
        <v>94</v>
      </c>
      <c r="K586"/>
    </row>
    <row r="587" spans="1:11" ht="16" hidden="1" x14ac:dyDescent="0.2">
      <c r="A587" s="6" t="s">
        <v>1215</v>
      </c>
      <c r="B587" s="6" t="s">
        <v>1216</v>
      </c>
      <c r="C587" s="4" t="b">
        <v>0</v>
      </c>
      <c r="D587" s="4" t="b">
        <v>0</v>
      </c>
      <c r="E587" s="4" t="b">
        <v>0</v>
      </c>
      <c r="F587" s="4"/>
      <c r="G587" s="4" t="b">
        <f t="shared" si="9"/>
        <v>0</v>
      </c>
      <c r="H587" s="4"/>
      <c r="I587" s="4"/>
      <c r="J587" s="4" t="s">
        <v>94</v>
      </c>
      <c r="K587"/>
    </row>
    <row r="588" spans="1:11" ht="96" x14ac:dyDescent="0.2">
      <c r="A588" s="6" t="s">
        <v>1217</v>
      </c>
      <c r="B588" s="6" t="s">
        <v>1218</v>
      </c>
      <c r="C588" s="4" t="b">
        <v>1</v>
      </c>
      <c r="D588" s="4" t="b">
        <v>0</v>
      </c>
      <c r="E588" s="4" t="b">
        <v>1</v>
      </c>
      <c r="F588" s="4" t="s">
        <v>12</v>
      </c>
      <c r="G588" s="4" t="b">
        <f t="shared" si="9"/>
        <v>1</v>
      </c>
      <c r="H588" s="4" t="s">
        <v>3155</v>
      </c>
      <c r="I588" s="4"/>
      <c r="J588" s="4" t="s">
        <v>94</v>
      </c>
    </row>
    <row r="589" spans="1:11" ht="48" x14ac:dyDescent="0.2">
      <c r="A589" s="6" t="s">
        <v>1219</v>
      </c>
      <c r="B589" s="6" t="s">
        <v>1220</v>
      </c>
      <c r="C589" s="4" t="b">
        <v>1</v>
      </c>
      <c r="D589" s="4" t="b">
        <v>0</v>
      </c>
      <c r="E589" s="4" t="b">
        <v>1</v>
      </c>
      <c r="F589" s="4" t="s">
        <v>12</v>
      </c>
      <c r="G589" s="4" t="b">
        <f t="shared" si="9"/>
        <v>1</v>
      </c>
      <c r="H589" s="4" t="s">
        <v>3154</v>
      </c>
      <c r="I589" s="4"/>
      <c r="J589" s="4" t="s">
        <v>94</v>
      </c>
    </row>
    <row r="590" spans="1:11" ht="16" x14ac:dyDescent="0.2">
      <c r="A590" s="6" t="s">
        <v>1221</v>
      </c>
      <c r="B590" s="6" t="s">
        <v>1222</v>
      </c>
      <c r="C590" s="4" t="b">
        <v>1</v>
      </c>
      <c r="D590" s="4" t="b">
        <v>0</v>
      </c>
      <c r="E590" s="4" t="b">
        <v>1</v>
      </c>
      <c r="F590" s="4" t="s">
        <v>12</v>
      </c>
      <c r="G590" s="4" t="b">
        <f t="shared" si="9"/>
        <v>1</v>
      </c>
      <c r="H590" s="4"/>
      <c r="I590" s="4"/>
      <c r="J590" s="4" t="s">
        <v>94</v>
      </c>
    </row>
    <row r="591" spans="1:11" ht="16" hidden="1" x14ac:dyDescent="0.2">
      <c r="A591" s="6" t="s">
        <v>1223</v>
      </c>
      <c r="B591" s="6" t="s">
        <v>1224</v>
      </c>
      <c r="C591" s="4" t="b">
        <v>0</v>
      </c>
      <c r="D591" s="4" t="b">
        <v>0</v>
      </c>
      <c r="E591" s="4" t="b">
        <v>1</v>
      </c>
      <c r="F591" s="4"/>
      <c r="G591" s="4" t="b">
        <f t="shared" si="9"/>
        <v>0</v>
      </c>
      <c r="H591" s="4"/>
      <c r="I591" s="4"/>
      <c r="J591" s="4" t="s">
        <v>94</v>
      </c>
      <c r="K591"/>
    </row>
    <row r="592" spans="1:11" ht="16" hidden="1" x14ac:dyDescent="0.2">
      <c r="A592" s="6" t="s">
        <v>1225</v>
      </c>
      <c r="B592" s="6" t="s">
        <v>1226</v>
      </c>
      <c r="C592" s="4" t="b">
        <v>0</v>
      </c>
      <c r="D592" s="4" t="b">
        <v>0</v>
      </c>
      <c r="E592" s="4" t="b">
        <v>0</v>
      </c>
      <c r="F592" s="4" t="s">
        <v>12</v>
      </c>
      <c r="G592" s="4" t="b">
        <f t="shared" si="9"/>
        <v>1</v>
      </c>
      <c r="H592" s="4" t="s">
        <v>3153</v>
      </c>
      <c r="I592" s="4"/>
      <c r="J592" s="4" t="s">
        <v>94</v>
      </c>
    </row>
    <row r="593" spans="1:11" ht="144" x14ac:dyDescent="0.2">
      <c r="A593" s="6" t="s">
        <v>1227</v>
      </c>
      <c r="B593" s="6" t="s">
        <v>1228</v>
      </c>
      <c r="C593" s="4" t="b">
        <v>1</v>
      </c>
      <c r="D593" s="4" t="b">
        <v>1</v>
      </c>
      <c r="E593" s="4" t="b">
        <v>1</v>
      </c>
      <c r="F593" s="4" t="s">
        <v>12</v>
      </c>
      <c r="G593" s="4" t="b">
        <f t="shared" si="9"/>
        <v>1</v>
      </c>
      <c r="H593" s="4" t="s">
        <v>3152</v>
      </c>
      <c r="I593" s="4"/>
      <c r="J593" s="4" t="s">
        <v>94</v>
      </c>
    </row>
    <row r="594" spans="1:11" ht="16" hidden="1" x14ac:dyDescent="0.2">
      <c r="A594" s="6" t="s">
        <v>1229</v>
      </c>
      <c r="B594" s="6" t="s">
        <v>1230</v>
      </c>
      <c r="C594" s="4" t="b">
        <v>0</v>
      </c>
      <c r="D594" s="4" t="b">
        <v>0</v>
      </c>
      <c r="E594" s="4" t="b">
        <v>0</v>
      </c>
      <c r="F594" s="4"/>
      <c r="G594" s="4" t="b">
        <f t="shared" si="9"/>
        <v>0</v>
      </c>
      <c r="H594" s="4"/>
      <c r="I594" s="4"/>
      <c r="J594" s="4" t="s">
        <v>94</v>
      </c>
      <c r="K594"/>
    </row>
    <row r="595" spans="1:11" ht="96" x14ac:dyDescent="0.2">
      <c r="A595" s="6" t="s">
        <v>1231</v>
      </c>
      <c r="B595" s="6" t="s">
        <v>1232</v>
      </c>
      <c r="C595" s="4" t="b">
        <v>1</v>
      </c>
      <c r="D595" s="4" t="b">
        <v>0</v>
      </c>
      <c r="E595" s="4" t="b">
        <v>1</v>
      </c>
      <c r="F595" s="4" t="s">
        <v>12</v>
      </c>
      <c r="G595" s="4" t="b">
        <f t="shared" si="9"/>
        <v>1</v>
      </c>
      <c r="H595" s="4" t="s">
        <v>3350</v>
      </c>
      <c r="I595" s="4"/>
      <c r="J595" s="4" t="s">
        <v>94</v>
      </c>
      <c r="K595"/>
    </row>
    <row r="596" spans="1:11" ht="32" x14ac:dyDescent="0.2">
      <c r="A596" s="6" t="s">
        <v>1233</v>
      </c>
      <c r="B596" s="6" t="s">
        <v>1234</v>
      </c>
      <c r="C596" s="4" t="b">
        <v>1</v>
      </c>
      <c r="D596" s="4" t="b">
        <v>0</v>
      </c>
      <c r="E596" s="4" t="b">
        <v>1</v>
      </c>
      <c r="F596" s="4" t="s">
        <v>12</v>
      </c>
      <c r="G596" s="4" t="b">
        <f t="shared" si="9"/>
        <v>1</v>
      </c>
      <c r="H596" s="4" t="s">
        <v>3151</v>
      </c>
      <c r="I596" s="4"/>
      <c r="J596" s="4" t="s">
        <v>94</v>
      </c>
      <c r="K596" s="1" t="s">
        <v>2998</v>
      </c>
    </row>
    <row r="597" spans="1:11" ht="16" hidden="1" x14ac:dyDescent="0.2">
      <c r="A597" s="6" t="s">
        <v>1235</v>
      </c>
      <c r="B597" s="6" t="s">
        <v>1236</v>
      </c>
      <c r="C597" s="4" t="b">
        <v>0</v>
      </c>
      <c r="D597" s="4" t="b">
        <v>0</v>
      </c>
      <c r="E597" s="4" t="b">
        <v>0</v>
      </c>
      <c r="F597" s="4"/>
      <c r="G597" s="4" t="b">
        <f t="shared" si="9"/>
        <v>0</v>
      </c>
      <c r="H597" s="4"/>
      <c r="I597" s="4"/>
      <c r="J597" s="4" t="s">
        <v>94</v>
      </c>
      <c r="K597"/>
    </row>
    <row r="598" spans="1:11" ht="32" x14ac:dyDescent="0.2">
      <c r="A598" s="6" t="s">
        <v>1237</v>
      </c>
      <c r="B598" s="6" t="s">
        <v>1238</v>
      </c>
      <c r="C598" s="4" t="b">
        <v>1</v>
      </c>
      <c r="D598" s="4" t="b">
        <v>0</v>
      </c>
      <c r="E598" s="4" t="b">
        <v>1</v>
      </c>
      <c r="F598" s="4" t="s">
        <v>12</v>
      </c>
      <c r="G598" s="4" t="b">
        <f t="shared" si="9"/>
        <v>1</v>
      </c>
      <c r="H598" s="4" t="s">
        <v>3150</v>
      </c>
      <c r="I598" s="4"/>
      <c r="J598" s="4" t="s">
        <v>94</v>
      </c>
    </row>
    <row r="599" spans="1:11" ht="16" hidden="1" x14ac:dyDescent="0.2">
      <c r="A599" s="6" t="s">
        <v>1239</v>
      </c>
      <c r="B599" s="6" t="s">
        <v>1240</v>
      </c>
      <c r="C599" s="4" t="b">
        <v>0</v>
      </c>
      <c r="D599" s="4" t="b">
        <v>0</v>
      </c>
      <c r="E599" s="4" t="b">
        <v>0</v>
      </c>
      <c r="F599" s="4"/>
      <c r="G599" s="4" t="b">
        <f t="shared" si="9"/>
        <v>0</v>
      </c>
      <c r="H599" s="4"/>
      <c r="I599" s="4"/>
      <c r="J599" s="4" t="s">
        <v>94</v>
      </c>
      <c r="K599"/>
    </row>
    <row r="600" spans="1:11" ht="32" hidden="1" x14ac:dyDescent="0.2">
      <c r="A600" s="6" t="s">
        <v>1241</v>
      </c>
      <c r="B600" s="6" t="s">
        <v>1242</v>
      </c>
      <c r="C600" s="4" t="b">
        <v>0</v>
      </c>
      <c r="D600" s="4" t="b">
        <v>0</v>
      </c>
      <c r="E600" s="4" t="b">
        <v>1</v>
      </c>
      <c r="F600" s="4" t="s">
        <v>12</v>
      </c>
      <c r="G600" s="4" t="b">
        <f t="shared" si="9"/>
        <v>1</v>
      </c>
      <c r="H600" s="4" t="s">
        <v>3104</v>
      </c>
      <c r="I600" s="4"/>
      <c r="J600" s="4" t="s">
        <v>94</v>
      </c>
    </row>
    <row r="601" spans="1:11" ht="16" hidden="1" x14ac:dyDescent="0.2">
      <c r="A601" s="6" t="s">
        <v>1243</v>
      </c>
      <c r="B601" s="6" t="s">
        <v>1244</v>
      </c>
      <c r="C601" s="4" t="b">
        <v>0</v>
      </c>
      <c r="D601" s="4" t="b">
        <v>0</v>
      </c>
      <c r="E601" s="4" t="b">
        <v>1</v>
      </c>
      <c r="F601" s="4"/>
      <c r="G601" s="4" t="b">
        <f t="shared" si="9"/>
        <v>0</v>
      </c>
      <c r="H601" s="4"/>
      <c r="I601" s="4"/>
      <c r="J601" s="4" t="s">
        <v>94</v>
      </c>
      <c r="K601"/>
    </row>
    <row r="602" spans="1:11" ht="16" x14ac:dyDescent="0.2">
      <c r="A602" s="6" t="s">
        <v>1245</v>
      </c>
      <c r="B602" s="6" t="s">
        <v>1246</v>
      </c>
      <c r="C602" s="4" t="b">
        <v>1</v>
      </c>
      <c r="D602" s="4" t="b">
        <v>0</v>
      </c>
      <c r="E602" s="4" t="b">
        <v>1</v>
      </c>
      <c r="F602" s="4" t="s">
        <v>12</v>
      </c>
      <c r="G602" s="4" t="b">
        <f t="shared" si="9"/>
        <v>1</v>
      </c>
      <c r="H602" s="4"/>
      <c r="I602" s="4"/>
      <c r="J602" s="4" t="s">
        <v>94</v>
      </c>
    </row>
    <row r="603" spans="1:11" ht="16" hidden="1" x14ac:dyDescent="0.2">
      <c r="A603" s="6" t="s">
        <v>1247</v>
      </c>
      <c r="B603" s="6" t="s">
        <v>1248</v>
      </c>
      <c r="C603" s="4" t="b">
        <v>0</v>
      </c>
      <c r="D603" s="4" t="b">
        <v>0</v>
      </c>
      <c r="E603" s="4" t="b">
        <v>0</v>
      </c>
      <c r="F603" s="4"/>
      <c r="G603" s="4" t="b">
        <f t="shared" si="9"/>
        <v>0</v>
      </c>
      <c r="H603" s="4"/>
      <c r="I603" s="4"/>
      <c r="J603" s="4" t="s">
        <v>94</v>
      </c>
      <c r="K603"/>
    </row>
    <row r="604" spans="1:11" ht="16" x14ac:dyDescent="0.2">
      <c r="A604" s="6" t="s">
        <v>1249</v>
      </c>
      <c r="B604" s="6" t="s">
        <v>1250</v>
      </c>
      <c r="C604" s="4" t="b">
        <v>1</v>
      </c>
      <c r="D604" s="4" t="b">
        <v>0</v>
      </c>
      <c r="E604" s="4" t="b">
        <v>1</v>
      </c>
      <c r="F604" s="4" t="s">
        <v>12</v>
      </c>
      <c r="G604" s="4" t="b">
        <f t="shared" si="9"/>
        <v>1</v>
      </c>
      <c r="H604" s="4" t="s">
        <v>3149</v>
      </c>
      <c r="I604" s="4"/>
      <c r="J604" s="4" t="s">
        <v>94</v>
      </c>
    </row>
    <row r="605" spans="1:11" ht="16" hidden="1" x14ac:dyDescent="0.2">
      <c r="A605" s="6" t="s">
        <v>1251</v>
      </c>
      <c r="B605" s="6" t="s">
        <v>1252</v>
      </c>
      <c r="C605" s="4" t="b">
        <v>0</v>
      </c>
      <c r="D605" s="4" t="b">
        <v>0</v>
      </c>
      <c r="E605" s="4" t="b">
        <v>0</v>
      </c>
      <c r="F605" s="4"/>
      <c r="G605" s="4" t="b">
        <f t="shared" si="9"/>
        <v>0</v>
      </c>
      <c r="H605" s="4"/>
      <c r="I605" s="4"/>
      <c r="J605" s="4" t="s">
        <v>94</v>
      </c>
      <c r="K605"/>
    </row>
    <row r="606" spans="1:11" ht="16" hidden="1" x14ac:dyDescent="0.2">
      <c r="A606" s="6" t="s">
        <v>1253</v>
      </c>
      <c r="B606" s="6" t="s">
        <v>1254</v>
      </c>
      <c r="C606" s="4" t="b">
        <v>0</v>
      </c>
      <c r="D606" s="4" t="b">
        <v>0</v>
      </c>
      <c r="E606" s="4" t="b">
        <v>0</v>
      </c>
      <c r="F606" s="4"/>
      <c r="G606" s="4" t="b">
        <f t="shared" si="9"/>
        <v>0</v>
      </c>
      <c r="H606" s="4"/>
      <c r="I606" s="4"/>
      <c r="J606" s="4" t="s">
        <v>94</v>
      </c>
      <c r="K606"/>
    </row>
    <row r="607" spans="1:11" ht="16" hidden="1" x14ac:dyDescent="0.2">
      <c r="A607" s="6" t="s">
        <v>1255</v>
      </c>
      <c r="B607" s="6" t="s">
        <v>1256</v>
      </c>
      <c r="C607" s="4" t="b">
        <v>0</v>
      </c>
      <c r="D607" s="4" t="b">
        <v>0</v>
      </c>
      <c r="E607" s="4" t="b">
        <v>1</v>
      </c>
      <c r="F607" s="4"/>
      <c r="G607" s="4" t="b">
        <f t="shared" si="9"/>
        <v>0</v>
      </c>
      <c r="H607" s="4"/>
      <c r="I607" s="4"/>
      <c r="J607" s="4" t="s">
        <v>94</v>
      </c>
      <c r="K607"/>
    </row>
    <row r="608" spans="1:11" ht="16" hidden="1" x14ac:dyDescent="0.2">
      <c r="A608" s="6" t="s">
        <v>1257</v>
      </c>
      <c r="B608" s="6" t="s">
        <v>1258</v>
      </c>
      <c r="C608" s="4" t="b">
        <v>0</v>
      </c>
      <c r="D608" s="4" t="b">
        <v>0</v>
      </c>
      <c r="E608" s="4" t="b">
        <v>0</v>
      </c>
      <c r="F608" s="4"/>
      <c r="G608" s="4" t="b">
        <f t="shared" si="9"/>
        <v>0</v>
      </c>
      <c r="H608" s="4"/>
      <c r="I608" s="4"/>
      <c r="J608" s="4" t="s">
        <v>94</v>
      </c>
      <c r="K608"/>
    </row>
    <row r="609" spans="1:11" ht="16" hidden="1" x14ac:dyDescent="0.2">
      <c r="A609" s="6" t="s">
        <v>1259</v>
      </c>
      <c r="B609" s="6" t="s">
        <v>1260</v>
      </c>
      <c r="C609" s="4" t="b">
        <v>0</v>
      </c>
      <c r="D609" s="4" t="b">
        <v>0</v>
      </c>
      <c r="E609" s="4" t="b">
        <v>1</v>
      </c>
      <c r="F609" s="4"/>
      <c r="G609" s="4" t="b">
        <f t="shared" si="9"/>
        <v>0</v>
      </c>
      <c r="H609" s="4"/>
      <c r="I609" s="4"/>
      <c r="J609" s="4" t="s">
        <v>94</v>
      </c>
      <c r="K609"/>
    </row>
    <row r="610" spans="1:11" ht="16" hidden="1" x14ac:dyDescent="0.2">
      <c r="A610" s="6" t="s">
        <v>1261</v>
      </c>
      <c r="B610" s="6" t="s">
        <v>1262</v>
      </c>
      <c r="C610" s="4" t="b">
        <v>0</v>
      </c>
      <c r="D610" s="4" t="b">
        <v>0</v>
      </c>
      <c r="E610" s="4" t="b">
        <v>0</v>
      </c>
      <c r="F610" s="4"/>
      <c r="G610" s="4" t="b">
        <f t="shared" si="9"/>
        <v>0</v>
      </c>
      <c r="H610" s="4"/>
      <c r="I610" s="4"/>
      <c r="J610" s="4" t="s">
        <v>94</v>
      </c>
      <c r="K610"/>
    </row>
    <row r="611" spans="1:11" ht="16" hidden="1" x14ac:dyDescent="0.2">
      <c r="A611" s="6" t="s">
        <v>1263</v>
      </c>
      <c r="B611" s="6" t="s">
        <v>1264</v>
      </c>
      <c r="C611" s="4" t="b">
        <v>0</v>
      </c>
      <c r="D611" s="4" t="b">
        <v>0</v>
      </c>
      <c r="E611" s="4" t="b">
        <v>1</v>
      </c>
      <c r="F611" s="4"/>
      <c r="G611" s="4" t="b">
        <f t="shared" si="9"/>
        <v>0</v>
      </c>
      <c r="H611" s="4"/>
      <c r="I611" s="4"/>
      <c r="J611" s="4" t="s">
        <v>94</v>
      </c>
      <c r="K611"/>
    </row>
    <row r="612" spans="1:11" ht="16" hidden="1" x14ac:dyDescent="0.2">
      <c r="A612" s="6" t="s">
        <v>1265</v>
      </c>
      <c r="B612" s="6" t="s">
        <v>1266</v>
      </c>
      <c r="C612" s="4" t="b">
        <v>0</v>
      </c>
      <c r="D612" s="4" t="b">
        <v>0</v>
      </c>
      <c r="E612" s="4" t="b">
        <v>0</v>
      </c>
      <c r="F612" s="4"/>
      <c r="G612" s="4" t="b">
        <f t="shared" si="9"/>
        <v>0</v>
      </c>
      <c r="H612" s="4"/>
      <c r="I612" s="4"/>
      <c r="J612" s="4" t="s">
        <v>94</v>
      </c>
      <c r="K612"/>
    </row>
    <row r="613" spans="1:11" ht="48" x14ac:dyDescent="0.2">
      <c r="A613" s="6" t="s">
        <v>1267</v>
      </c>
      <c r="B613" s="6" t="s">
        <v>1268</v>
      </c>
      <c r="C613" s="4" t="b">
        <v>1</v>
      </c>
      <c r="D613" s="4" t="b">
        <v>0</v>
      </c>
      <c r="E613" s="4" t="b">
        <v>1</v>
      </c>
      <c r="F613" s="4" t="s">
        <v>12</v>
      </c>
      <c r="G613" s="4" t="b">
        <f t="shared" si="9"/>
        <v>1</v>
      </c>
      <c r="H613" s="4" t="s">
        <v>3148</v>
      </c>
      <c r="I613" s="4"/>
      <c r="J613" s="4" t="s">
        <v>94</v>
      </c>
    </row>
    <row r="614" spans="1:11" ht="16" hidden="1" x14ac:dyDescent="0.2">
      <c r="A614" s="6" t="s">
        <v>1269</v>
      </c>
      <c r="B614" s="6" t="s">
        <v>1270</v>
      </c>
      <c r="C614" s="4" t="b">
        <v>0</v>
      </c>
      <c r="D614" s="4" t="b">
        <v>0</v>
      </c>
      <c r="E614" s="4" t="b">
        <v>1</v>
      </c>
      <c r="F614" s="4"/>
      <c r="G614" s="4" t="b">
        <f t="shared" si="9"/>
        <v>0</v>
      </c>
      <c r="H614" s="4"/>
      <c r="I614" s="4"/>
      <c r="J614" s="4" t="s">
        <v>94</v>
      </c>
      <c r="K614"/>
    </row>
    <row r="615" spans="1:11" ht="16" hidden="1" x14ac:dyDescent="0.2">
      <c r="A615" s="6" t="s">
        <v>1271</v>
      </c>
      <c r="B615" s="6" t="s">
        <v>1272</v>
      </c>
      <c r="C615" s="4" t="b">
        <v>0</v>
      </c>
      <c r="D615" s="4" t="b">
        <v>0</v>
      </c>
      <c r="E615" s="4" t="b">
        <v>0</v>
      </c>
      <c r="F615" s="4"/>
      <c r="G615" s="4" t="b">
        <f t="shared" si="9"/>
        <v>0</v>
      </c>
      <c r="H615" s="4"/>
      <c r="I615" s="4"/>
      <c r="J615" s="4" t="s">
        <v>94</v>
      </c>
      <c r="K615"/>
    </row>
    <row r="616" spans="1:11" ht="16" hidden="1" x14ac:dyDescent="0.2">
      <c r="A616" s="6" t="s">
        <v>1273</v>
      </c>
      <c r="B616" s="6" t="s">
        <v>1274</v>
      </c>
      <c r="C616" s="4" t="b">
        <v>0</v>
      </c>
      <c r="D616" s="4" t="b">
        <v>0</v>
      </c>
      <c r="E616" s="4" t="b">
        <v>0</v>
      </c>
      <c r="F616" s="4"/>
      <c r="G616" s="4" t="b">
        <f t="shared" si="9"/>
        <v>0</v>
      </c>
      <c r="H616" s="4"/>
      <c r="I616" s="4"/>
      <c r="J616" s="4" t="s">
        <v>94</v>
      </c>
      <c r="K616"/>
    </row>
    <row r="617" spans="1:11" ht="16" hidden="1" x14ac:dyDescent="0.2">
      <c r="A617" s="6" t="s">
        <v>1275</v>
      </c>
      <c r="B617" s="6" t="s">
        <v>1276</v>
      </c>
      <c r="C617" s="4" t="b">
        <v>0</v>
      </c>
      <c r="D617" s="4" t="b">
        <v>0</v>
      </c>
      <c r="E617" s="4" t="b">
        <v>1</v>
      </c>
      <c r="F617" s="4"/>
      <c r="G617" s="4" t="b">
        <f t="shared" si="9"/>
        <v>0</v>
      </c>
      <c r="H617" s="4"/>
      <c r="I617" s="4"/>
      <c r="J617" s="4" t="s">
        <v>94</v>
      </c>
      <c r="K617"/>
    </row>
    <row r="618" spans="1:11" ht="48" x14ac:dyDescent="0.2">
      <c r="A618" s="6" t="s">
        <v>1277</v>
      </c>
      <c r="B618" s="6" t="s">
        <v>1278</v>
      </c>
      <c r="C618" s="4" t="b">
        <v>1</v>
      </c>
      <c r="D618" s="4" t="b">
        <v>0</v>
      </c>
      <c r="E618" s="4" t="b">
        <v>1</v>
      </c>
      <c r="F618" s="4" t="s">
        <v>12</v>
      </c>
      <c r="G618" s="4" t="b">
        <f t="shared" si="9"/>
        <v>1</v>
      </c>
      <c r="H618" s="4" t="s">
        <v>3147</v>
      </c>
      <c r="I618" s="4"/>
      <c r="J618" s="4" t="s">
        <v>94</v>
      </c>
    </row>
    <row r="619" spans="1:11" ht="16" hidden="1" x14ac:dyDescent="0.2">
      <c r="A619" s="6" t="s">
        <v>1279</v>
      </c>
      <c r="B619" s="6" t="s">
        <v>1280</v>
      </c>
      <c r="C619" s="4" t="b">
        <v>0</v>
      </c>
      <c r="D619" s="4" t="b">
        <v>0</v>
      </c>
      <c r="E619" s="4" t="b">
        <v>0</v>
      </c>
      <c r="F619" s="4" t="s">
        <v>12</v>
      </c>
      <c r="G619" s="4" t="b">
        <f t="shared" si="9"/>
        <v>1</v>
      </c>
      <c r="H619" s="4"/>
      <c r="I619" s="4"/>
      <c r="J619" s="4" t="s">
        <v>94</v>
      </c>
    </row>
    <row r="620" spans="1:11" ht="160" x14ac:dyDescent="0.2">
      <c r="A620" s="6" t="s">
        <v>1281</v>
      </c>
      <c r="B620" s="6" t="s">
        <v>1282</v>
      </c>
      <c r="C620" s="4" t="b">
        <v>1</v>
      </c>
      <c r="D620" s="4" t="b">
        <v>1</v>
      </c>
      <c r="E620" s="4" t="b">
        <v>1</v>
      </c>
      <c r="F620" s="4" t="s">
        <v>12</v>
      </c>
      <c r="G620" s="4" t="b">
        <f t="shared" si="9"/>
        <v>1</v>
      </c>
      <c r="H620" s="4" t="s">
        <v>3157</v>
      </c>
      <c r="I620" s="4"/>
      <c r="J620" s="4" t="s">
        <v>94</v>
      </c>
    </row>
    <row r="621" spans="1:11" ht="48" x14ac:dyDescent="0.2">
      <c r="A621" s="6" t="s">
        <v>1283</v>
      </c>
      <c r="B621" s="6" t="s">
        <v>1284</v>
      </c>
      <c r="C621" s="4" t="b">
        <v>1</v>
      </c>
      <c r="D621" s="4" t="b">
        <v>1</v>
      </c>
      <c r="E621" s="4" t="b">
        <v>1</v>
      </c>
      <c r="F621" s="4" t="s">
        <v>12</v>
      </c>
      <c r="G621" s="4" t="b">
        <f t="shared" si="9"/>
        <v>1</v>
      </c>
      <c r="H621" s="4" t="s">
        <v>3146</v>
      </c>
      <c r="I621" s="4"/>
      <c r="J621" s="4" t="s">
        <v>94</v>
      </c>
    </row>
    <row r="622" spans="1:11" ht="16" hidden="1" x14ac:dyDescent="0.2">
      <c r="A622" s="6" t="s">
        <v>1285</v>
      </c>
      <c r="B622" s="6" t="s">
        <v>1286</v>
      </c>
      <c r="C622" s="4" t="b">
        <v>0</v>
      </c>
      <c r="D622" s="4" t="b">
        <v>0</v>
      </c>
      <c r="E622" s="4" t="b">
        <v>1</v>
      </c>
      <c r="F622" s="4"/>
      <c r="G622" s="4" t="b">
        <f t="shared" si="9"/>
        <v>0</v>
      </c>
      <c r="H622" s="4"/>
      <c r="I622" s="4"/>
      <c r="J622" s="4" t="s">
        <v>94</v>
      </c>
      <c r="K622"/>
    </row>
    <row r="623" spans="1:11" ht="16" hidden="1" x14ac:dyDescent="0.2">
      <c r="A623" s="6" t="s">
        <v>1287</v>
      </c>
      <c r="B623" s="6" t="s">
        <v>1288</v>
      </c>
      <c r="C623" s="4" t="b">
        <v>0</v>
      </c>
      <c r="D623" s="4" t="b">
        <v>0</v>
      </c>
      <c r="E623" s="4" t="b">
        <v>0</v>
      </c>
      <c r="F623" s="4"/>
      <c r="G623" s="4" t="b">
        <f t="shared" si="9"/>
        <v>0</v>
      </c>
      <c r="H623" s="4"/>
      <c r="I623" s="4"/>
      <c r="J623" s="4" t="s">
        <v>94</v>
      </c>
      <c r="K623"/>
    </row>
    <row r="624" spans="1:11" ht="16" hidden="1" x14ac:dyDescent="0.2">
      <c r="A624" s="6" t="s">
        <v>1289</v>
      </c>
      <c r="B624" s="6" t="s">
        <v>1290</v>
      </c>
      <c r="C624" s="4" t="b">
        <v>0</v>
      </c>
      <c r="D624" s="4" t="b">
        <v>0</v>
      </c>
      <c r="E624" s="4" t="b">
        <v>1</v>
      </c>
      <c r="F624" s="4" t="s">
        <v>12</v>
      </c>
      <c r="G624" s="4" t="b">
        <f t="shared" si="9"/>
        <v>1</v>
      </c>
      <c r="H624" s="4"/>
      <c r="I624" s="4"/>
      <c r="J624" s="4" t="s">
        <v>94</v>
      </c>
    </row>
    <row r="625" spans="1:11" ht="64" x14ac:dyDescent="0.2">
      <c r="A625" s="6" t="s">
        <v>1291</v>
      </c>
      <c r="B625" s="6" t="s">
        <v>1292</v>
      </c>
      <c r="C625" s="4" t="b">
        <v>1</v>
      </c>
      <c r="D625" s="4" t="b">
        <v>0</v>
      </c>
      <c r="E625" s="4" t="b">
        <v>1</v>
      </c>
      <c r="F625" s="4" t="s">
        <v>12</v>
      </c>
      <c r="G625" s="4" t="b">
        <f t="shared" si="9"/>
        <v>1</v>
      </c>
      <c r="H625" s="4" t="s">
        <v>3145</v>
      </c>
      <c r="I625" s="4"/>
      <c r="J625" s="4" t="s">
        <v>94</v>
      </c>
    </row>
    <row r="626" spans="1:11" ht="16" hidden="1" x14ac:dyDescent="0.2">
      <c r="A626" s="6" t="s">
        <v>1293</v>
      </c>
      <c r="B626" s="6" t="s">
        <v>1294</v>
      </c>
      <c r="C626" s="4" t="b">
        <v>0</v>
      </c>
      <c r="D626" s="4" t="b">
        <v>0</v>
      </c>
      <c r="E626" s="4" t="b">
        <v>1</v>
      </c>
      <c r="F626" s="4"/>
      <c r="G626" s="4" t="b">
        <f t="shared" si="9"/>
        <v>0</v>
      </c>
      <c r="H626" s="4"/>
      <c r="I626" s="4"/>
      <c r="J626" s="4" t="s">
        <v>94</v>
      </c>
      <c r="K626"/>
    </row>
    <row r="627" spans="1:11" ht="16" hidden="1" x14ac:dyDescent="0.2">
      <c r="A627" s="6" t="s">
        <v>1295</v>
      </c>
      <c r="B627" s="6" t="s">
        <v>1296</v>
      </c>
      <c r="C627" s="4" t="b">
        <v>0</v>
      </c>
      <c r="D627" s="4" t="b">
        <v>0</v>
      </c>
      <c r="E627" s="4" t="b">
        <v>1</v>
      </c>
      <c r="F627" s="4"/>
      <c r="G627" s="4" t="b">
        <f t="shared" si="9"/>
        <v>0</v>
      </c>
      <c r="H627" s="4"/>
      <c r="I627" s="4"/>
      <c r="J627" s="4" t="s">
        <v>94</v>
      </c>
      <c r="K627"/>
    </row>
    <row r="628" spans="1:11" ht="64" hidden="1" x14ac:dyDescent="0.2">
      <c r="A628" s="6" t="s">
        <v>1297</v>
      </c>
      <c r="B628" s="6" t="s">
        <v>1298</v>
      </c>
      <c r="C628" s="4" t="b">
        <v>0</v>
      </c>
      <c r="D628" s="4" t="b">
        <v>0</v>
      </c>
      <c r="E628" s="4" t="b">
        <v>1</v>
      </c>
      <c r="F628" s="4" t="s">
        <v>12</v>
      </c>
      <c r="G628" s="4" t="b">
        <f t="shared" si="9"/>
        <v>1</v>
      </c>
      <c r="H628" s="4" t="s">
        <v>3020</v>
      </c>
      <c r="I628" s="4"/>
      <c r="J628" s="4" t="s">
        <v>94</v>
      </c>
    </row>
    <row r="629" spans="1:11" ht="16" hidden="1" x14ac:dyDescent="0.2">
      <c r="A629" s="6" t="s">
        <v>1299</v>
      </c>
      <c r="B629" s="6" t="s">
        <v>1300</v>
      </c>
      <c r="C629" s="4" t="b">
        <v>0</v>
      </c>
      <c r="D629" s="4" t="b">
        <v>0</v>
      </c>
      <c r="E629" s="4" t="b">
        <v>1</v>
      </c>
      <c r="F629" s="4"/>
      <c r="G629" s="4" t="b">
        <f t="shared" si="9"/>
        <v>0</v>
      </c>
      <c r="H629" s="4"/>
      <c r="I629" s="4"/>
      <c r="J629" s="4" t="s">
        <v>94</v>
      </c>
      <c r="K629"/>
    </row>
    <row r="630" spans="1:11" ht="16" hidden="1" x14ac:dyDescent="0.2">
      <c r="A630" s="6" t="s">
        <v>1301</v>
      </c>
      <c r="B630" s="6" t="s">
        <v>1302</v>
      </c>
      <c r="C630" s="4" t="b">
        <v>0</v>
      </c>
      <c r="D630" s="4" t="b">
        <v>0</v>
      </c>
      <c r="E630" s="4" t="b">
        <v>0</v>
      </c>
      <c r="F630" s="4"/>
      <c r="G630" s="4" t="b">
        <f t="shared" si="9"/>
        <v>0</v>
      </c>
      <c r="H630" s="4"/>
      <c r="I630" s="4"/>
      <c r="J630" s="4" t="s">
        <v>94</v>
      </c>
      <c r="K630"/>
    </row>
    <row r="631" spans="1:11" ht="16" hidden="1" x14ac:dyDescent="0.2">
      <c r="A631" s="6" t="s">
        <v>1303</v>
      </c>
      <c r="B631" s="6" t="s">
        <v>1304</v>
      </c>
      <c r="C631" s="4" t="b">
        <v>0</v>
      </c>
      <c r="D631" s="4" t="b">
        <v>0</v>
      </c>
      <c r="E631" s="4" t="b">
        <v>1</v>
      </c>
      <c r="F631" s="4"/>
      <c r="G631" s="4" t="b">
        <f t="shared" si="9"/>
        <v>0</v>
      </c>
      <c r="H631" s="4"/>
      <c r="I631" s="4"/>
      <c r="J631" s="4" t="s">
        <v>94</v>
      </c>
      <c r="K631"/>
    </row>
    <row r="632" spans="1:11" ht="16" hidden="1" x14ac:dyDescent="0.2">
      <c r="A632" s="6" t="s">
        <v>1305</v>
      </c>
      <c r="B632" s="6" t="s">
        <v>1306</v>
      </c>
      <c r="C632" s="4" t="b">
        <v>0</v>
      </c>
      <c r="D632" s="4" t="b">
        <v>0</v>
      </c>
      <c r="E632" s="4" t="b">
        <v>0</v>
      </c>
      <c r="F632" s="4"/>
      <c r="G632" s="4" t="b">
        <f t="shared" si="9"/>
        <v>0</v>
      </c>
      <c r="H632" s="4"/>
      <c r="I632" s="4"/>
      <c r="J632" s="4" t="s">
        <v>94</v>
      </c>
      <c r="K632"/>
    </row>
    <row r="633" spans="1:11" ht="16" hidden="1" x14ac:dyDescent="0.2">
      <c r="A633" s="6" t="s">
        <v>1307</v>
      </c>
      <c r="B633" s="6" t="s">
        <v>1308</v>
      </c>
      <c r="C633" s="4" t="b">
        <v>0</v>
      </c>
      <c r="D633" s="4" t="b">
        <v>0</v>
      </c>
      <c r="E633" s="4" t="b">
        <v>0</v>
      </c>
      <c r="F633" s="4"/>
      <c r="G633" s="4" t="b">
        <f t="shared" si="9"/>
        <v>0</v>
      </c>
      <c r="H633" s="4"/>
      <c r="I633" s="4"/>
      <c r="J633" s="4" t="s">
        <v>1309</v>
      </c>
      <c r="K633"/>
    </row>
    <row r="634" spans="1:11" ht="16" hidden="1" x14ac:dyDescent="0.2">
      <c r="A634" s="6" t="s">
        <v>1310</v>
      </c>
      <c r="B634" s="6" t="s">
        <v>1311</v>
      </c>
      <c r="C634" s="4" t="b">
        <v>0</v>
      </c>
      <c r="D634" s="4" t="b">
        <v>0</v>
      </c>
      <c r="E634" s="4" t="b">
        <v>0</v>
      </c>
      <c r="F634" s="4"/>
      <c r="G634" s="4" t="b">
        <f t="shared" si="9"/>
        <v>0</v>
      </c>
      <c r="H634" s="4"/>
      <c r="I634" s="4"/>
      <c r="J634" s="4" t="s">
        <v>1309</v>
      </c>
      <c r="K634"/>
    </row>
    <row r="635" spans="1:11" ht="112" x14ac:dyDescent="0.2">
      <c r="A635" s="6" t="s">
        <v>1312</v>
      </c>
      <c r="B635" s="6" t="s">
        <v>1313</v>
      </c>
      <c r="C635" s="4" t="b">
        <v>1</v>
      </c>
      <c r="D635" s="4" t="b">
        <v>1</v>
      </c>
      <c r="E635" s="4" t="b">
        <v>1</v>
      </c>
      <c r="F635" s="4" t="s">
        <v>12</v>
      </c>
      <c r="G635" s="4" t="b">
        <f t="shared" si="9"/>
        <v>1</v>
      </c>
      <c r="H635" s="4" t="s">
        <v>3095</v>
      </c>
      <c r="I635" s="4"/>
      <c r="J635" s="4" t="s">
        <v>1309</v>
      </c>
    </row>
    <row r="636" spans="1:11" ht="16" hidden="1" x14ac:dyDescent="0.2">
      <c r="A636" s="6" t="s">
        <v>1314</v>
      </c>
      <c r="B636" s="6" t="s">
        <v>1315</v>
      </c>
      <c r="C636" s="4" t="b">
        <v>0</v>
      </c>
      <c r="D636" s="4" t="b">
        <v>0</v>
      </c>
      <c r="E636" s="4" t="b">
        <v>0</v>
      </c>
      <c r="F636" s="4"/>
      <c r="G636" s="4" t="b">
        <f t="shared" si="9"/>
        <v>0</v>
      </c>
      <c r="H636" s="4"/>
      <c r="I636" s="4"/>
      <c r="J636" s="4" t="s">
        <v>1309</v>
      </c>
      <c r="K636"/>
    </row>
    <row r="637" spans="1:11" ht="32" x14ac:dyDescent="0.2">
      <c r="A637" s="6" t="s">
        <v>1316</v>
      </c>
      <c r="B637" s="6" t="s">
        <v>1317</v>
      </c>
      <c r="C637" s="4" t="b">
        <v>1</v>
      </c>
      <c r="D637" s="4" t="b">
        <v>0</v>
      </c>
      <c r="E637" s="4" t="b">
        <v>1</v>
      </c>
      <c r="F637" s="4" t="s">
        <v>12</v>
      </c>
      <c r="G637" s="4" t="b">
        <f t="shared" si="9"/>
        <v>1</v>
      </c>
      <c r="H637" s="4" t="s">
        <v>3094</v>
      </c>
      <c r="I637" s="4"/>
      <c r="J637" s="4" t="s">
        <v>1309</v>
      </c>
    </row>
    <row r="638" spans="1:11" ht="80" hidden="1" x14ac:dyDescent="0.2">
      <c r="A638" s="6" t="s">
        <v>1318</v>
      </c>
      <c r="B638" s="6" t="s">
        <v>1319</v>
      </c>
      <c r="C638" s="4" t="b">
        <v>1</v>
      </c>
      <c r="D638" s="4" t="b">
        <v>0</v>
      </c>
      <c r="E638" s="4" t="b">
        <v>0</v>
      </c>
      <c r="F638" s="4" t="s">
        <v>12</v>
      </c>
      <c r="G638" s="4" t="b">
        <f t="shared" si="9"/>
        <v>1</v>
      </c>
      <c r="H638" s="4" t="s">
        <v>3093</v>
      </c>
      <c r="I638" s="4"/>
      <c r="J638" s="4" t="s">
        <v>1309</v>
      </c>
    </row>
    <row r="639" spans="1:11" ht="160" x14ac:dyDescent="0.2">
      <c r="A639" s="6" t="s">
        <v>1320</v>
      </c>
      <c r="B639" s="6" t="s">
        <v>1321</v>
      </c>
      <c r="C639" s="4" t="b">
        <v>1</v>
      </c>
      <c r="D639" s="4" t="b">
        <v>0</v>
      </c>
      <c r="E639" s="4" t="b">
        <v>1</v>
      </c>
      <c r="F639" s="4" t="s">
        <v>12</v>
      </c>
      <c r="G639" s="4" t="b">
        <f t="shared" si="9"/>
        <v>1</v>
      </c>
      <c r="H639" s="4" t="s">
        <v>3092</v>
      </c>
      <c r="I639" s="4"/>
      <c r="J639" s="4" t="s">
        <v>1309</v>
      </c>
    </row>
    <row r="640" spans="1:11" ht="64" x14ac:dyDescent="0.2">
      <c r="A640" s="6" t="s">
        <v>1322</v>
      </c>
      <c r="B640" s="6" t="s">
        <v>1323</v>
      </c>
      <c r="C640" s="4" t="b">
        <v>1</v>
      </c>
      <c r="D640" s="4" t="b">
        <v>1</v>
      </c>
      <c r="E640" s="4" t="b">
        <v>1</v>
      </c>
      <c r="F640" s="4" t="s">
        <v>12</v>
      </c>
      <c r="G640" s="4" t="b">
        <f t="shared" si="9"/>
        <v>1</v>
      </c>
      <c r="H640" s="4" t="s">
        <v>3091</v>
      </c>
      <c r="I640" s="4"/>
      <c r="J640" s="4" t="s">
        <v>1309</v>
      </c>
    </row>
    <row r="641" spans="1:11" ht="16" hidden="1" x14ac:dyDescent="0.2">
      <c r="A641" s="6" t="s">
        <v>1324</v>
      </c>
      <c r="B641" s="6" t="s">
        <v>1325</v>
      </c>
      <c r="C641" s="4" t="b">
        <v>0</v>
      </c>
      <c r="D641" s="4" t="b">
        <v>0</v>
      </c>
      <c r="E641" s="4" t="b">
        <v>0</v>
      </c>
      <c r="F641" s="4"/>
      <c r="G641" s="4" t="b">
        <f t="shared" si="9"/>
        <v>0</v>
      </c>
      <c r="H641" s="4"/>
      <c r="I641" s="4"/>
      <c r="J641" s="4" t="s">
        <v>1309</v>
      </c>
      <c r="K641"/>
    </row>
    <row r="642" spans="1:11" ht="16" hidden="1" x14ac:dyDescent="0.2">
      <c r="A642" s="6" t="s">
        <v>1326</v>
      </c>
      <c r="B642" s="6" t="s">
        <v>1327</v>
      </c>
      <c r="C642" s="4" t="b">
        <v>0</v>
      </c>
      <c r="D642" s="4" t="b">
        <v>0</v>
      </c>
      <c r="E642" s="4" t="b">
        <v>0</v>
      </c>
      <c r="F642" s="4"/>
      <c r="G642" s="4" t="b">
        <f t="shared" ref="G642:G705" si="10">IF(F642="✔", TRUE, FALSE)</f>
        <v>0</v>
      </c>
      <c r="H642" s="4"/>
      <c r="I642" s="4"/>
      <c r="J642" s="4" t="s">
        <v>1309</v>
      </c>
      <c r="K642"/>
    </row>
    <row r="643" spans="1:11" ht="16" hidden="1" x14ac:dyDescent="0.2">
      <c r="A643" s="6" t="s">
        <v>1328</v>
      </c>
      <c r="B643" s="6" t="s">
        <v>1329</v>
      </c>
      <c r="C643" s="4" t="b">
        <v>0</v>
      </c>
      <c r="D643" s="4" t="b">
        <v>0</v>
      </c>
      <c r="E643" s="4" t="b">
        <v>0</v>
      </c>
      <c r="F643" s="4"/>
      <c r="G643" s="4" t="b">
        <f t="shared" si="10"/>
        <v>0</v>
      </c>
      <c r="H643" s="4"/>
      <c r="I643" s="4"/>
      <c r="J643" s="4" t="s">
        <v>1309</v>
      </c>
      <c r="K643"/>
    </row>
    <row r="644" spans="1:11" ht="16" hidden="1" x14ac:dyDescent="0.2">
      <c r="A644" s="6" t="s">
        <v>1330</v>
      </c>
      <c r="B644" s="6" t="s">
        <v>1331</v>
      </c>
      <c r="C644" s="4" t="b">
        <v>0</v>
      </c>
      <c r="D644" s="4" t="b">
        <v>0</v>
      </c>
      <c r="E644" s="4" t="b">
        <v>0</v>
      </c>
      <c r="F644" s="4"/>
      <c r="G644" s="4" t="b">
        <f t="shared" si="10"/>
        <v>0</v>
      </c>
      <c r="H644" s="4"/>
      <c r="I644" s="4"/>
      <c r="J644" s="4" t="s">
        <v>1309</v>
      </c>
      <c r="K644"/>
    </row>
    <row r="645" spans="1:11" ht="16" hidden="1" x14ac:dyDescent="0.2">
      <c r="A645" s="6" t="s">
        <v>1332</v>
      </c>
      <c r="B645" s="6" t="s">
        <v>1333</v>
      </c>
      <c r="C645" s="4" t="b">
        <v>0</v>
      </c>
      <c r="D645" s="4" t="b">
        <v>0</v>
      </c>
      <c r="E645" s="4" t="b">
        <v>0</v>
      </c>
      <c r="F645" s="4"/>
      <c r="G645" s="4" t="b">
        <f t="shared" si="10"/>
        <v>0</v>
      </c>
      <c r="H645" s="4"/>
      <c r="I645" s="4"/>
      <c r="J645" s="4" t="s">
        <v>1309</v>
      </c>
      <c r="K645"/>
    </row>
    <row r="646" spans="1:11" ht="32" hidden="1" x14ac:dyDescent="0.2">
      <c r="A646" s="6" t="s">
        <v>1334</v>
      </c>
      <c r="B646" s="6" t="s">
        <v>1335</v>
      </c>
      <c r="C646" s="4" t="b">
        <v>0</v>
      </c>
      <c r="D646" s="4" t="b">
        <v>0</v>
      </c>
      <c r="E646" s="4" t="b">
        <v>0</v>
      </c>
      <c r="F646" s="4"/>
      <c r="G646" s="4" t="b">
        <f t="shared" si="10"/>
        <v>0</v>
      </c>
      <c r="H646" s="4"/>
      <c r="I646" s="4"/>
      <c r="J646" s="4" t="s">
        <v>1336</v>
      </c>
      <c r="K646"/>
    </row>
    <row r="647" spans="1:11" ht="32" hidden="1" x14ac:dyDescent="0.2">
      <c r="A647" s="6" t="s">
        <v>1337</v>
      </c>
      <c r="B647" s="6" t="s">
        <v>1338</v>
      </c>
      <c r="C647" s="4" t="b">
        <v>0</v>
      </c>
      <c r="D647" s="4" t="b">
        <v>0</v>
      </c>
      <c r="E647" s="4" t="b">
        <v>1</v>
      </c>
      <c r="F647" s="4" t="s">
        <v>12</v>
      </c>
      <c r="G647" s="4" t="b">
        <f t="shared" si="10"/>
        <v>1</v>
      </c>
      <c r="H647" s="4" t="s">
        <v>34</v>
      </c>
      <c r="I647" s="4"/>
      <c r="J647" s="4" t="s">
        <v>1336</v>
      </c>
    </row>
    <row r="648" spans="1:11" ht="32" x14ac:dyDescent="0.2">
      <c r="A648" s="6" t="s">
        <v>1339</v>
      </c>
      <c r="B648" s="6" t="s">
        <v>1340</v>
      </c>
      <c r="C648" s="4" t="b">
        <v>1</v>
      </c>
      <c r="D648" s="4" t="b">
        <v>0</v>
      </c>
      <c r="E648" s="4" t="b">
        <v>1</v>
      </c>
      <c r="F648" s="4" t="s">
        <v>12</v>
      </c>
      <c r="G648" s="4" t="b">
        <f t="shared" si="10"/>
        <v>1</v>
      </c>
      <c r="H648" s="4" t="s">
        <v>3090</v>
      </c>
      <c r="I648" s="4"/>
      <c r="J648" s="4" t="s">
        <v>1336</v>
      </c>
    </row>
    <row r="649" spans="1:11" ht="16" hidden="1" x14ac:dyDescent="0.2">
      <c r="A649" s="6" t="s">
        <v>1341</v>
      </c>
      <c r="B649" s="6" t="s">
        <v>1342</v>
      </c>
      <c r="C649" s="4" t="b">
        <v>0</v>
      </c>
      <c r="D649" s="4" t="b">
        <v>0</v>
      </c>
      <c r="E649" s="4" t="b">
        <v>1</v>
      </c>
      <c r="F649" s="4"/>
      <c r="G649" s="4" t="b">
        <f t="shared" si="10"/>
        <v>0</v>
      </c>
      <c r="H649" s="4"/>
      <c r="I649" s="4"/>
      <c r="J649" s="4" t="s">
        <v>621</v>
      </c>
      <c r="K649"/>
    </row>
    <row r="650" spans="1:11" ht="112" x14ac:dyDescent="0.2">
      <c r="A650" s="6" t="s">
        <v>1343</v>
      </c>
      <c r="B650" s="6" t="s">
        <v>1344</v>
      </c>
      <c r="C650" s="4" t="b">
        <v>1</v>
      </c>
      <c r="D650" s="4" t="b">
        <v>0</v>
      </c>
      <c r="E650" s="4" t="b">
        <v>1</v>
      </c>
      <c r="F650" s="4" t="s">
        <v>12</v>
      </c>
      <c r="G650" s="4" t="b">
        <f t="shared" si="10"/>
        <v>1</v>
      </c>
      <c r="H650" s="4" t="s">
        <v>3089</v>
      </c>
      <c r="I650" s="4"/>
      <c r="J650" s="4" t="s">
        <v>621</v>
      </c>
    </row>
    <row r="651" spans="1:11" ht="16" hidden="1" x14ac:dyDescent="0.2">
      <c r="A651" s="6" t="s">
        <v>1345</v>
      </c>
      <c r="B651" s="6" t="s">
        <v>1346</v>
      </c>
      <c r="C651" s="4" t="b">
        <v>0</v>
      </c>
      <c r="D651" s="4" t="b">
        <v>0</v>
      </c>
      <c r="E651" s="4" t="b">
        <v>0</v>
      </c>
      <c r="F651" s="4"/>
      <c r="G651" s="4" t="b">
        <f t="shared" si="10"/>
        <v>0</v>
      </c>
      <c r="H651" s="4"/>
      <c r="I651" s="4"/>
      <c r="J651" s="4" t="s">
        <v>621</v>
      </c>
      <c r="K651"/>
    </row>
    <row r="652" spans="1:11" ht="96" x14ac:dyDescent="0.2">
      <c r="A652" s="6" t="s">
        <v>1347</v>
      </c>
      <c r="B652" s="6" t="s">
        <v>1348</v>
      </c>
      <c r="C652" s="4" t="b">
        <v>1</v>
      </c>
      <c r="D652" s="4" t="b">
        <v>1</v>
      </c>
      <c r="E652" s="4" t="b">
        <v>1</v>
      </c>
      <c r="F652" s="4" t="s">
        <v>12</v>
      </c>
      <c r="G652" s="4" t="b">
        <f t="shared" si="10"/>
        <v>1</v>
      </c>
      <c r="H652" s="4" t="s">
        <v>3088</v>
      </c>
      <c r="I652" s="4"/>
      <c r="J652" s="4" t="s">
        <v>621</v>
      </c>
    </row>
    <row r="653" spans="1:11" ht="16" hidden="1" x14ac:dyDescent="0.2">
      <c r="A653" s="6" t="s">
        <v>1349</v>
      </c>
      <c r="B653" s="6" t="s">
        <v>1350</v>
      </c>
      <c r="C653" s="4" t="b">
        <v>0</v>
      </c>
      <c r="D653" s="4" t="b">
        <v>0</v>
      </c>
      <c r="E653" s="4" t="b">
        <v>0</v>
      </c>
      <c r="F653" s="4"/>
      <c r="G653" s="4" t="b">
        <f t="shared" si="10"/>
        <v>0</v>
      </c>
      <c r="H653" s="4"/>
      <c r="I653" s="4"/>
      <c r="J653" s="4" t="s">
        <v>621</v>
      </c>
      <c r="K653"/>
    </row>
    <row r="654" spans="1:11" ht="16" hidden="1" x14ac:dyDescent="0.2">
      <c r="A654" s="6" t="s">
        <v>1351</v>
      </c>
      <c r="B654" s="6" t="s">
        <v>1352</v>
      </c>
      <c r="C654" s="4" t="b">
        <v>0</v>
      </c>
      <c r="D654" s="4" t="b">
        <v>0</v>
      </c>
      <c r="E654" s="4" t="b">
        <v>1</v>
      </c>
      <c r="F654" s="4"/>
      <c r="G654" s="4" t="b">
        <f t="shared" si="10"/>
        <v>0</v>
      </c>
      <c r="H654" s="4"/>
      <c r="I654" s="4"/>
      <c r="J654" s="4" t="s">
        <v>621</v>
      </c>
      <c r="K654"/>
    </row>
    <row r="655" spans="1:11" ht="96" x14ac:dyDescent="0.2">
      <c r="A655" s="6" t="s">
        <v>1353</v>
      </c>
      <c r="B655" s="6" t="s">
        <v>1354</v>
      </c>
      <c r="C655" s="4" t="b">
        <v>1</v>
      </c>
      <c r="D655" s="4" t="b">
        <v>0</v>
      </c>
      <c r="E655" s="4" t="b">
        <v>1</v>
      </c>
      <c r="F655" s="4" t="s">
        <v>12</v>
      </c>
      <c r="G655" s="4" t="b">
        <f t="shared" si="10"/>
        <v>1</v>
      </c>
      <c r="H655" s="4" t="s">
        <v>3087</v>
      </c>
      <c r="I655" s="4"/>
      <c r="J655" s="4" t="s">
        <v>621</v>
      </c>
    </row>
    <row r="656" spans="1:11" ht="16" hidden="1" x14ac:dyDescent="0.2">
      <c r="A656" s="6" t="s">
        <v>1355</v>
      </c>
      <c r="B656" s="6" t="s">
        <v>1356</v>
      </c>
      <c r="C656" s="4" t="b">
        <v>0</v>
      </c>
      <c r="D656" s="4" t="b">
        <v>0</v>
      </c>
      <c r="E656" s="4" t="b">
        <v>1</v>
      </c>
      <c r="F656" s="4"/>
      <c r="G656" s="4" t="b">
        <f t="shared" si="10"/>
        <v>0</v>
      </c>
      <c r="H656" s="4"/>
      <c r="I656" s="4"/>
      <c r="J656" s="4" t="s">
        <v>621</v>
      </c>
      <c r="K656"/>
    </row>
    <row r="657" spans="1:11" ht="16" hidden="1" x14ac:dyDescent="0.2">
      <c r="A657" s="6" t="s">
        <v>1357</v>
      </c>
      <c r="B657" s="6" t="s">
        <v>1358</v>
      </c>
      <c r="C657" s="4" t="b">
        <v>0</v>
      </c>
      <c r="D657" s="4" t="b">
        <v>0</v>
      </c>
      <c r="E657" s="4" t="b">
        <v>0</v>
      </c>
      <c r="F657" s="4"/>
      <c r="G657" s="4" t="b">
        <f t="shared" si="10"/>
        <v>0</v>
      </c>
      <c r="H657" s="4"/>
      <c r="I657" s="4"/>
      <c r="J657" s="4" t="s">
        <v>621</v>
      </c>
      <c r="K657"/>
    </row>
    <row r="658" spans="1:11" ht="16" hidden="1" x14ac:dyDescent="0.2">
      <c r="A658" s="6" t="s">
        <v>1359</v>
      </c>
      <c r="B658" s="6" t="s">
        <v>1360</v>
      </c>
      <c r="C658" s="4" t="b">
        <v>0</v>
      </c>
      <c r="D658" s="4" t="b">
        <v>0</v>
      </c>
      <c r="E658" s="4" t="b">
        <v>1</v>
      </c>
      <c r="F658" s="4"/>
      <c r="G658" s="4" t="b">
        <f t="shared" si="10"/>
        <v>0</v>
      </c>
      <c r="H658" s="4"/>
      <c r="I658" s="4"/>
      <c r="J658" s="4" t="s">
        <v>621</v>
      </c>
      <c r="K658"/>
    </row>
    <row r="659" spans="1:11" ht="48" x14ac:dyDescent="0.2">
      <c r="A659" s="6" t="s">
        <v>1361</v>
      </c>
      <c r="B659" s="6" t="s">
        <v>1362</v>
      </c>
      <c r="C659" s="4" t="b">
        <v>1</v>
      </c>
      <c r="D659" s="4" t="b">
        <v>1</v>
      </c>
      <c r="E659" s="4" t="b">
        <v>1</v>
      </c>
      <c r="F659" s="4" t="s">
        <v>12</v>
      </c>
      <c r="G659" s="4" t="b">
        <f t="shared" si="10"/>
        <v>1</v>
      </c>
      <c r="H659" s="4" t="s">
        <v>3086</v>
      </c>
      <c r="I659" s="4"/>
      <c r="J659" s="4" t="s">
        <v>621</v>
      </c>
    </row>
    <row r="660" spans="1:11" ht="128" x14ac:dyDescent="0.2">
      <c r="A660" s="6" t="s">
        <v>1363</v>
      </c>
      <c r="B660" s="6" t="s">
        <v>1364</v>
      </c>
      <c r="C660" s="4" t="b">
        <v>1</v>
      </c>
      <c r="D660" s="4" t="b">
        <v>1</v>
      </c>
      <c r="E660" s="4" t="b">
        <v>1</v>
      </c>
      <c r="F660" s="4" t="s">
        <v>12</v>
      </c>
      <c r="G660" s="4" t="b">
        <f t="shared" si="10"/>
        <v>1</v>
      </c>
      <c r="H660" s="4" t="s">
        <v>3085</v>
      </c>
      <c r="I660" s="4"/>
      <c r="J660" s="4" t="s">
        <v>621</v>
      </c>
    </row>
    <row r="661" spans="1:11" ht="64" x14ac:dyDescent="0.2">
      <c r="A661" s="6" t="s">
        <v>1365</v>
      </c>
      <c r="B661" s="6" t="s">
        <v>1366</v>
      </c>
      <c r="C661" s="4" t="b">
        <v>1</v>
      </c>
      <c r="D661" s="4" t="b">
        <v>0</v>
      </c>
      <c r="E661" s="4" t="b">
        <v>1</v>
      </c>
      <c r="F661" s="4" t="s">
        <v>12</v>
      </c>
      <c r="G661" s="4" t="b">
        <f t="shared" si="10"/>
        <v>1</v>
      </c>
      <c r="H661" s="4" t="s">
        <v>3144</v>
      </c>
      <c r="I661" s="4"/>
      <c r="J661" s="4" t="s">
        <v>621</v>
      </c>
    </row>
    <row r="662" spans="1:11" ht="64" x14ac:dyDescent="0.2">
      <c r="A662" s="6" t="s">
        <v>1367</v>
      </c>
      <c r="B662" s="6" t="s">
        <v>1368</v>
      </c>
      <c r="C662" s="4" t="b">
        <v>1</v>
      </c>
      <c r="D662" s="4" t="b">
        <v>1</v>
      </c>
      <c r="E662" s="4" t="b">
        <v>1</v>
      </c>
      <c r="F662" s="4" t="s">
        <v>12</v>
      </c>
      <c r="G662" s="4" t="b">
        <f t="shared" si="10"/>
        <v>1</v>
      </c>
      <c r="H662" s="4" t="s">
        <v>3084</v>
      </c>
      <c r="I662" s="4"/>
      <c r="J662" s="4" t="s">
        <v>621</v>
      </c>
    </row>
    <row r="663" spans="1:11" ht="48" x14ac:dyDescent="0.2">
      <c r="A663" s="6" t="s">
        <v>1369</v>
      </c>
      <c r="B663" s="6" t="s">
        <v>1370</v>
      </c>
      <c r="C663" s="4" t="b">
        <v>1</v>
      </c>
      <c r="D663" s="4" t="b">
        <v>0</v>
      </c>
      <c r="E663" s="4" t="b">
        <v>1</v>
      </c>
      <c r="F663" s="4" t="s">
        <v>12</v>
      </c>
      <c r="G663" s="4" t="b">
        <f t="shared" si="10"/>
        <v>1</v>
      </c>
      <c r="H663" s="4" t="s">
        <v>3083</v>
      </c>
      <c r="I663" s="4"/>
      <c r="J663" s="4" t="s">
        <v>621</v>
      </c>
    </row>
    <row r="664" spans="1:11" ht="16" hidden="1" x14ac:dyDescent="0.2">
      <c r="A664" s="6" t="s">
        <v>1371</v>
      </c>
      <c r="B664" s="6" t="s">
        <v>1372</v>
      </c>
      <c r="C664" s="4" t="b">
        <v>0</v>
      </c>
      <c r="D664" s="4" t="b">
        <v>0</v>
      </c>
      <c r="E664" s="4" t="b">
        <v>1</v>
      </c>
      <c r="F664" s="4"/>
      <c r="G664" s="4" t="b">
        <f t="shared" si="10"/>
        <v>0</v>
      </c>
      <c r="H664" s="4"/>
      <c r="I664" s="4"/>
      <c r="J664" s="4" t="s">
        <v>621</v>
      </c>
      <c r="K664"/>
    </row>
    <row r="665" spans="1:11" ht="16" hidden="1" x14ac:dyDescent="0.2">
      <c r="A665" s="6" t="s">
        <v>1373</v>
      </c>
      <c r="B665" s="6" t="s">
        <v>1374</v>
      </c>
      <c r="C665" s="4" t="b">
        <v>0</v>
      </c>
      <c r="D665" s="4" t="b">
        <v>0</v>
      </c>
      <c r="E665" s="4" t="b">
        <v>1</v>
      </c>
      <c r="F665" s="4"/>
      <c r="G665" s="4" t="b">
        <f t="shared" si="10"/>
        <v>0</v>
      </c>
      <c r="H665" s="4"/>
      <c r="I665" s="4"/>
      <c r="J665" s="4" t="s">
        <v>621</v>
      </c>
      <c r="K665"/>
    </row>
    <row r="666" spans="1:11" ht="16" hidden="1" x14ac:dyDescent="0.2">
      <c r="A666" s="6" t="s">
        <v>1375</v>
      </c>
      <c r="B666" s="6" t="s">
        <v>1376</v>
      </c>
      <c r="C666" s="4" t="b">
        <v>0</v>
      </c>
      <c r="D666" s="4" t="b">
        <v>0</v>
      </c>
      <c r="E666" s="4" t="b">
        <v>0</v>
      </c>
      <c r="F666" s="4"/>
      <c r="G666" s="4" t="b">
        <f t="shared" si="10"/>
        <v>0</v>
      </c>
      <c r="H666" s="4"/>
      <c r="I666" s="4"/>
      <c r="J666" s="4" t="s">
        <v>621</v>
      </c>
      <c r="K666"/>
    </row>
    <row r="667" spans="1:11" ht="16" x14ac:dyDescent="0.2">
      <c r="A667" s="6" t="s">
        <v>1377</v>
      </c>
      <c r="B667" s="6" t="s">
        <v>1378</v>
      </c>
      <c r="C667" s="4" t="b">
        <v>1</v>
      </c>
      <c r="D667" s="4" t="b">
        <v>0</v>
      </c>
      <c r="E667" s="4" t="b">
        <v>1</v>
      </c>
      <c r="F667" s="4" t="s">
        <v>12</v>
      </c>
      <c r="G667" s="4" t="b">
        <f t="shared" si="10"/>
        <v>1</v>
      </c>
      <c r="H667" s="4"/>
      <c r="I667" s="4"/>
      <c r="J667" s="4" t="s">
        <v>621</v>
      </c>
    </row>
    <row r="668" spans="1:11" ht="48" x14ac:dyDescent="0.2">
      <c r="A668" s="6" t="s">
        <v>1379</v>
      </c>
      <c r="B668" s="6" t="s">
        <v>1380</v>
      </c>
      <c r="C668" s="4" t="b">
        <v>1</v>
      </c>
      <c r="D668" s="4" t="b">
        <v>0</v>
      </c>
      <c r="E668" s="4" t="b">
        <v>1</v>
      </c>
      <c r="F668" s="4" t="s">
        <v>12</v>
      </c>
      <c r="G668" s="4" t="b">
        <f t="shared" si="10"/>
        <v>1</v>
      </c>
      <c r="H668" s="4" t="s">
        <v>3082</v>
      </c>
      <c r="I668" s="4"/>
      <c r="J668" s="4" t="s">
        <v>621</v>
      </c>
    </row>
    <row r="669" spans="1:11" ht="16" x14ac:dyDescent="0.2">
      <c r="A669" s="6" t="s">
        <v>1381</v>
      </c>
      <c r="B669" s="6" t="s">
        <v>1382</v>
      </c>
      <c r="C669" s="4" t="b">
        <v>1</v>
      </c>
      <c r="D669" s="4" t="b">
        <v>0</v>
      </c>
      <c r="E669" s="4" t="b">
        <v>1</v>
      </c>
      <c r="F669" s="4" t="s">
        <v>12</v>
      </c>
      <c r="G669" s="4" t="b">
        <f t="shared" si="10"/>
        <v>1</v>
      </c>
      <c r="H669" s="4" t="s">
        <v>3081</v>
      </c>
      <c r="I669" s="4"/>
      <c r="J669" s="4" t="s">
        <v>621</v>
      </c>
    </row>
    <row r="670" spans="1:11" ht="16" hidden="1" x14ac:dyDescent="0.2">
      <c r="A670" s="6" t="s">
        <v>1383</v>
      </c>
      <c r="B670" s="6" t="s">
        <v>1384</v>
      </c>
      <c r="C670" s="4" t="b">
        <v>0</v>
      </c>
      <c r="D670" s="4" t="b">
        <v>0</v>
      </c>
      <c r="E670" s="4" t="b">
        <v>0</v>
      </c>
      <c r="F670" s="4"/>
      <c r="G670" s="4" t="b">
        <f t="shared" si="10"/>
        <v>0</v>
      </c>
      <c r="H670" s="4"/>
      <c r="I670" s="4"/>
      <c r="J670" s="4" t="s">
        <v>621</v>
      </c>
      <c r="K670"/>
    </row>
    <row r="671" spans="1:11" ht="16" hidden="1" x14ac:dyDescent="0.2">
      <c r="A671" s="6" t="s">
        <v>1385</v>
      </c>
      <c r="B671" s="6" t="s">
        <v>1386</v>
      </c>
      <c r="C671" s="4" t="b">
        <v>0</v>
      </c>
      <c r="D671" s="4" t="b">
        <v>0</v>
      </c>
      <c r="E671" s="4" t="b">
        <v>1</v>
      </c>
      <c r="F671" s="4"/>
      <c r="G671" s="4" t="b">
        <f t="shared" si="10"/>
        <v>0</v>
      </c>
      <c r="H671" s="4"/>
      <c r="I671" s="4"/>
      <c r="J671" s="4" t="s">
        <v>621</v>
      </c>
      <c r="K671"/>
    </row>
    <row r="672" spans="1:11" ht="16" hidden="1" x14ac:dyDescent="0.2">
      <c r="A672" s="6" t="s">
        <v>1387</v>
      </c>
      <c r="B672" s="6" t="s">
        <v>1388</v>
      </c>
      <c r="C672" s="4" t="b">
        <v>0</v>
      </c>
      <c r="D672" s="4" t="b">
        <v>0</v>
      </c>
      <c r="E672" s="4" t="b">
        <v>0</v>
      </c>
      <c r="F672" s="4"/>
      <c r="G672" s="4" t="b">
        <f t="shared" si="10"/>
        <v>0</v>
      </c>
      <c r="H672" s="4"/>
      <c r="I672" s="4"/>
      <c r="J672" s="4" t="s">
        <v>621</v>
      </c>
      <c r="K672"/>
    </row>
    <row r="673" spans="1:11" ht="16" x14ac:dyDescent="0.2">
      <c r="A673" s="6" t="s">
        <v>1389</v>
      </c>
      <c r="B673" s="6" t="s">
        <v>1390</v>
      </c>
      <c r="C673" s="4" t="b">
        <v>1</v>
      </c>
      <c r="D673" s="4" t="b">
        <v>0</v>
      </c>
      <c r="E673" s="4" t="b">
        <v>1</v>
      </c>
      <c r="F673" s="4" t="s">
        <v>12</v>
      </c>
      <c r="G673" s="4" t="b">
        <f t="shared" si="10"/>
        <v>1</v>
      </c>
      <c r="I673" s="4"/>
      <c r="J673" s="4" t="s">
        <v>621</v>
      </c>
    </row>
    <row r="674" spans="1:11" ht="16" hidden="1" x14ac:dyDescent="0.2">
      <c r="A674" s="6" t="s">
        <v>1391</v>
      </c>
      <c r="B674" s="6" t="s">
        <v>1392</v>
      </c>
      <c r="C674" s="4" t="b">
        <v>0</v>
      </c>
      <c r="D674" s="4" t="b">
        <v>0</v>
      </c>
      <c r="E674" s="4" t="b">
        <v>1</v>
      </c>
      <c r="F674" s="4"/>
      <c r="G674" s="4" t="b">
        <f t="shared" si="10"/>
        <v>0</v>
      </c>
      <c r="H674" s="4"/>
      <c r="I674" s="4"/>
      <c r="J674" s="4" t="s">
        <v>621</v>
      </c>
      <c r="K674"/>
    </row>
    <row r="675" spans="1:11" ht="16" hidden="1" x14ac:dyDescent="0.2">
      <c r="A675" s="6" t="s">
        <v>1393</v>
      </c>
      <c r="B675" s="6" t="s">
        <v>1394</v>
      </c>
      <c r="C675" s="4" t="b">
        <v>0</v>
      </c>
      <c r="D675" s="4" t="b">
        <v>0</v>
      </c>
      <c r="E675" s="4" t="b">
        <v>1</v>
      </c>
      <c r="F675" s="4"/>
      <c r="G675" s="4" t="b">
        <f t="shared" si="10"/>
        <v>0</v>
      </c>
      <c r="H675" s="4"/>
      <c r="I675" s="4"/>
      <c r="J675" s="4" t="s">
        <v>621</v>
      </c>
      <c r="K675"/>
    </row>
    <row r="676" spans="1:11" ht="48" x14ac:dyDescent="0.2">
      <c r="A676" s="6" t="s">
        <v>1395</v>
      </c>
      <c r="B676" s="6" t="s">
        <v>1396</v>
      </c>
      <c r="C676" s="4" t="b">
        <v>1</v>
      </c>
      <c r="D676" s="4" t="b">
        <v>0</v>
      </c>
      <c r="E676" s="4" t="b">
        <v>1</v>
      </c>
      <c r="F676" s="4" t="s">
        <v>12</v>
      </c>
      <c r="G676" s="4" t="b">
        <f t="shared" si="10"/>
        <v>1</v>
      </c>
      <c r="H676" s="4" t="s">
        <v>3080</v>
      </c>
      <c r="I676" s="4"/>
      <c r="J676" s="4" t="s">
        <v>621</v>
      </c>
    </row>
    <row r="677" spans="1:11" ht="32" hidden="1" x14ac:dyDescent="0.2">
      <c r="A677" s="6" t="s">
        <v>1397</v>
      </c>
      <c r="B677" s="6" t="s">
        <v>1398</v>
      </c>
      <c r="C677" s="4" t="b">
        <v>0</v>
      </c>
      <c r="D677" s="4" t="b">
        <v>0</v>
      </c>
      <c r="E677" s="4" t="b">
        <v>1</v>
      </c>
      <c r="F677" s="4" t="s">
        <v>12</v>
      </c>
      <c r="G677" s="4" t="b">
        <f t="shared" si="10"/>
        <v>1</v>
      </c>
      <c r="H677" s="4" t="s">
        <v>3078</v>
      </c>
      <c r="I677" s="4"/>
      <c r="J677" s="4" t="s">
        <v>621</v>
      </c>
    </row>
    <row r="678" spans="1:11" ht="16" hidden="1" x14ac:dyDescent="0.2">
      <c r="A678" s="6" t="s">
        <v>1399</v>
      </c>
      <c r="B678" s="6" t="s">
        <v>1400</v>
      </c>
      <c r="C678" s="4" t="b">
        <v>0</v>
      </c>
      <c r="D678" s="4" t="b">
        <v>0</v>
      </c>
      <c r="E678" s="4" t="b">
        <v>0</v>
      </c>
      <c r="F678" s="4"/>
      <c r="G678" s="4" t="b">
        <f t="shared" si="10"/>
        <v>0</v>
      </c>
      <c r="H678" s="4"/>
      <c r="I678" s="4"/>
      <c r="J678" s="4" t="s">
        <v>621</v>
      </c>
      <c r="K678"/>
    </row>
    <row r="679" spans="1:11" ht="16" x14ac:dyDescent="0.2">
      <c r="A679" s="6" t="s">
        <v>1401</v>
      </c>
      <c r="B679" s="6" t="s">
        <v>1402</v>
      </c>
      <c r="C679" s="4" t="b">
        <v>1</v>
      </c>
      <c r="D679" s="4" t="b">
        <v>0</v>
      </c>
      <c r="E679" s="4" t="b">
        <v>1</v>
      </c>
      <c r="F679" s="4" t="s">
        <v>12</v>
      </c>
      <c r="G679" s="4" t="b">
        <f t="shared" si="10"/>
        <v>1</v>
      </c>
      <c r="H679" s="4" t="s">
        <v>3079</v>
      </c>
      <c r="I679" s="4"/>
      <c r="J679" s="4" t="s">
        <v>621</v>
      </c>
    </row>
    <row r="680" spans="1:11" ht="16" hidden="1" x14ac:dyDescent="0.2">
      <c r="A680" s="6" t="s">
        <v>1403</v>
      </c>
      <c r="B680" s="6" t="s">
        <v>1404</v>
      </c>
      <c r="C680" s="4" t="b">
        <v>0</v>
      </c>
      <c r="D680" s="4" t="b">
        <v>0</v>
      </c>
      <c r="E680" s="4" t="b">
        <v>0</v>
      </c>
      <c r="F680" s="4"/>
      <c r="G680" s="4" t="b">
        <f t="shared" si="10"/>
        <v>0</v>
      </c>
      <c r="H680" s="4"/>
      <c r="I680" s="4"/>
      <c r="J680" s="4" t="s">
        <v>621</v>
      </c>
      <c r="K680"/>
    </row>
    <row r="681" spans="1:11" ht="16" hidden="1" x14ac:dyDescent="0.2">
      <c r="A681" s="6" t="s">
        <v>1405</v>
      </c>
      <c r="B681" s="6" t="s">
        <v>1406</v>
      </c>
      <c r="C681" s="4" t="b">
        <v>0</v>
      </c>
      <c r="D681" s="4" t="b">
        <v>0</v>
      </c>
      <c r="E681" s="4" t="b">
        <v>0</v>
      </c>
      <c r="F681" s="4"/>
      <c r="G681" s="4" t="b">
        <f t="shared" si="10"/>
        <v>0</v>
      </c>
      <c r="H681" s="4"/>
      <c r="I681" s="4"/>
      <c r="J681" s="4" t="s">
        <v>621</v>
      </c>
      <c r="K681"/>
    </row>
    <row r="682" spans="1:11" ht="16" hidden="1" x14ac:dyDescent="0.2">
      <c r="A682" s="6" t="s">
        <v>1407</v>
      </c>
      <c r="B682" s="6" t="s">
        <v>1408</v>
      </c>
      <c r="C682" s="4" t="b">
        <v>0</v>
      </c>
      <c r="D682" s="4" t="b">
        <v>0</v>
      </c>
      <c r="E682" s="4" t="b">
        <v>1</v>
      </c>
      <c r="F682" s="4"/>
      <c r="G682" s="4" t="b">
        <f t="shared" si="10"/>
        <v>0</v>
      </c>
      <c r="H682" s="4"/>
      <c r="I682" s="4"/>
      <c r="J682" s="4" t="s">
        <v>621</v>
      </c>
      <c r="K682"/>
    </row>
    <row r="683" spans="1:11" ht="16" hidden="1" x14ac:dyDescent="0.2">
      <c r="A683" s="6" t="s">
        <v>1409</v>
      </c>
      <c r="B683" s="6" t="s">
        <v>1410</v>
      </c>
      <c r="C683" s="4" t="b">
        <v>0</v>
      </c>
      <c r="D683" s="4" t="b">
        <v>0</v>
      </c>
      <c r="E683" s="4" t="b">
        <v>1</v>
      </c>
      <c r="F683" s="4"/>
      <c r="G683" s="4" t="b">
        <f t="shared" si="10"/>
        <v>0</v>
      </c>
      <c r="H683" s="4"/>
      <c r="I683" s="4"/>
      <c r="J683" s="4" t="s">
        <v>621</v>
      </c>
      <c r="K683"/>
    </row>
    <row r="684" spans="1:11" ht="16" hidden="1" x14ac:dyDescent="0.2">
      <c r="A684" s="6" t="s">
        <v>1411</v>
      </c>
      <c r="B684" s="6" t="s">
        <v>1412</v>
      </c>
      <c r="C684" s="4" t="b">
        <v>0</v>
      </c>
      <c r="D684" s="4" t="b">
        <v>0</v>
      </c>
      <c r="E684" s="4" t="b">
        <v>0</v>
      </c>
      <c r="F684" s="4"/>
      <c r="G684" s="4" t="b">
        <f t="shared" si="10"/>
        <v>0</v>
      </c>
      <c r="H684" s="4"/>
      <c r="I684" s="4"/>
      <c r="J684" s="4" t="s">
        <v>621</v>
      </c>
      <c r="K684"/>
    </row>
    <row r="685" spans="1:11" ht="16" hidden="1" x14ac:dyDescent="0.2">
      <c r="A685" s="6" t="s">
        <v>1413</v>
      </c>
      <c r="B685" s="6" t="s">
        <v>1414</v>
      </c>
      <c r="C685" s="4" t="b">
        <v>0</v>
      </c>
      <c r="D685" s="4" t="b">
        <v>0</v>
      </c>
      <c r="E685" s="4" t="b">
        <v>1</v>
      </c>
      <c r="F685" s="4"/>
      <c r="G685" s="4" t="b">
        <f t="shared" si="10"/>
        <v>0</v>
      </c>
      <c r="H685" s="4"/>
      <c r="I685" s="4"/>
      <c r="J685" s="4" t="s">
        <v>621</v>
      </c>
      <c r="K685"/>
    </row>
    <row r="686" spans="1:11" ht="16" hidden="1" x14ac:dyDescent="0.2">
      <c r="A686" s="6" t="s">
        <v>1415</v>
      </c>
      <c r="B686" s="6" t="s">
        <v>1416</v>
      </c>
      <c r="C686" s="4" t="b">
        <v>0</v>
      </c>
      <c r="D686" s="4" t="b">
        <v>0</v>
      </c>
      <c r="E686" s="4" t="b">
        <v>1</v>
      </c>
      <c r="F686" s="4"/>
      <c r="G686" s="4" t="b">
        <f t="shared" si="10"/>
        <v>0</v>
      </c>
      <c r="H686" s="4"/>
      <c r="I686" s="4"/>
      <c r="J686" s="4" t="s">
        <v>621</v>
      </c>
      <c r="K686"/>
    </row>
    <row r="687" spans="1:11" ht="16" hidden="1" x14ac:dyDescent="0.2">
      <c r="A687" s="6" t="s">
        <v>1417</v>
      </c>
      <c r="B687" s="6" t="s">
        <v>1418</v>
      </c>
      <c r="C687" s="4" t="b">
        <v>0</v>
      </c>
      <c r="D687" s="4" t="b">
        <v>0</v>
      </c>
      <c r="E687" s="4" t="b">
        <v>0</v>
      </c>
      <c r="F687" s="4"/>
      <c r="G687" s="4" t="b">
        <f t="shared" si="10"/>
        <v>0</v>
      </c>
      <c r="H687" s="4"/>
      <c r="I687" s="4"/>
      <c r="J687" s="4" t="s">
        <v>621</v>
      </c>
      <c r="K687"/>
    </row>
    <row r="688" spans="1:11" ht="16" hidden="1" x14ac:dyDescent="0.2">
      <c r="A688" s="6" t="s">
        <v>1419</v>
      </c>
      <c r="B688" s="6" t="s">
        <v>1420</v>
      </c>
      <c r="C688" s="4" t="b">
        <v>0</v>
      </c>
      <c r="D688" s="4" t="b">
        <v>0</v>
      </c>
      <c r="E688" s="4" t="b">
        <v>0</v>
      </c>
      <c r="F688" s="4" t="s">
        <v>12</v>
      </c>
      <c r="G688" s="4" t="b">
        <f t="shared" si="10"/>
        <v>1</v>
      </c>
      <c r="H688" s="4" t="s">
        <v>3077</v>
      </c>
      <c r="I688" s="4"/>
      <c r="J688" s="4" t="s">
        <v>621</v>
      </c>
    </row>
    <row r="689" spans="1:11" ht="128" x14ac:dyDescent="0.2">
      <c r="A689" s="6" t="s">
        <v>1421</v>
      </c>
      <c r="B689" s="6" t="s">
        <v>1422</v>
      </c>
      <c r="C689" s="4" t="b">
        <v>1</v>
      </c>
      <c r="D689" s="4" t="b">
        <v>0</v>
      </c>
      <c r="E689" s="4" t="b">
        <v>1</v>
      </c>
      <c r="F689" s="4" t="s">
        <v>12</v>
      </c>
      <c r="G689" s="4" t="b">
        <f t="shared" si="10"/>
        <v>1</v>
      </c>
      <c r="H689" s="4" t="s">
        <v>3076</v>
      </c>
      <c r="I689" s="4"/>
      <c r="J689" s="4" t="s">
        <v>621</v>
      </c>
    </row>
    <row r="690" spans="1:11" ht="16" hidden="1" x14ac:dyDescent="0.2">
      <c r="A690" s="6" t="s">
        <v>1423</v>
      </c>
      <c r="B690" s="6" t="s">
        <v>1424</v>
      </c>
      <c r="C690" s="4" t="b">
        <v>0</v>
      </c>
      <c r="D690" s="4" t="b">
        <v>0</v>
      </c>
      <c r="E690" s="4" t="b">
        <v>0</v>
      </c>
      <c r="F690" s="4"/>
      <c r="G690" s="4" t="b">
        <f t="shared" si="10"/>
        <v>0</v>
      </c>
      <c r="H690" s="4"/>
      <c r="I690" s="4"/>
      <c r="J690" s="4" t="s">
        <v>621</v>
      </c>
      <c r="K690"/>
    </row>
    <row r="691" spans="1:11" ht="16" hidden="1" x14ac:dyDescent="0.2">
      <c r="A691" s="6" t="s">
        <v>1425</v>
      </c>
      <c r="B691" s="6" t="s">
        <v>1426</v>
      </c>
      <c r="C691" s="4" t="b">
        <v>0</v>
      </c>
      <c r="D691" s="4" t="b">
        <v>0</v>
      </c>
      <c r="E691" s="4" t="b">
        <v>1</v>
      </c>
      <c r="F691" s="4"/>
      <c r="G691" s="4" t="b">
        <f t="shared" si="10"/>
        <v>0</v>
      </c>
      <c r="H691" s="4"/>
      <c r="I691" s="4"/>
      <c r="J691" s="4" t="s">
        <v>621</v>
      </c>
      <c r="K691"/>
    </row>
    <row r="692" spans="1:11" ht="16" hidden="1" x14ac:dyDescent="0.2">
      <c r="A692" s="6" t="s">
        <v>1427</v>
      </c>
      <c r="B692" s="6" t="s">
        <v>1428</v>
      </c>
      <c r="C692" s="4" t="b">
        <v>0</v>
      </c>
      <c r="D692" s="4" t="b">
        <v>0</v>
      </c>
      <c r="E692" s="4" t="b">
        <v>1</v>
      </c>
      <c r="F692" s="4" t="s">
        <v>12</v>
      </c>
      <c r="G692" s="4" t="b">
        <f t="shared" si="10"/>
        <v>1</v>
      </c>
      <c r="H692" s="4"/>
      <c r="I692" s="4"/>
      <c r="J692" s="4" t="s">
        <v>621</v>
      </c>
    </row>
    <row r="693" spans="1:11" ht="48" x14ac:dyDescent="0.2">
      <c r="A693" s="6" t="s">
        <v>1429</v>
      </c>
      <c r="B693" s="6" t="s">
        <v>1430</v>
      </c>
      <c r="C693" s="4" t="b">
        <v>1</v>
      </c>
      <c r="D693" s="4" t="b">
        <v>0</v>
      </c>
      <c r="E693" s="4" t="b">
        <v>1</v>
      </c>
      <c r="F693" s="4" t="s">
        <v>12</v>
      </c>
      <c r="G693" s="4" t="b">
        <f t="shared" si="10"/>
        <v>1</v>
      </c>
      <c r="H693" s="4" t="s">
        <v>3075</v>
      </c>
      <c r="I693" s="4"/>
      <c r="J693" s="4" t="s">
        <v>621</v>
      </c>
    </row>
    <row r="694" spans="1:11" ht="64" x14ac:dyDescent="0.2">
      <c r="A694" s="6" t="s">
        <v>1431</v>
      </c>
      <c r="B694" s="6" t="s">
        <v>1432</v>
      </c>
      <c r="C694" s="4" t="b">
        <v>1</v>
      </c>
      <c r="D694" s="4" t="b">
        <v>0</v>
      </c>
      <c r="E694" s="4" t="b">
        <v>1</v>
      </c>
      <c r="F694" s="4" t="s">
        <v>12</v>
      </c>
      <c r="G694" s="4" t="b">
        <f t="shared" si="10"/>
        <v>1</v>
      </c>
      <c r="H694" s="4" t="s">
        <v>3074</v>
      </c>
      <c r="I694" s="4"/>
      <c r="J694" s="4" t="s">
        <v>621</v>
      </c>
    </row>
    <row r="695" spans="1:11" ht="16" x14ac:dyDescent="0.2">
      <c r="A695" s="6" t="s">
        <v>1433</v>
      </c>
      <c r="B695" s="6" t="s">
        <v>1434</v>
      </c>
      <c r="C695" s="4" t="b">
        <v>1</v>
      </c>
      <c r="D695" s="4" t="b">
        <v>0</v>
      </c>
      <c r="E695" s="4" t="b">
        <v>1</v>
      </c>
      <c r="F695" s="4" t="s">
        <v>12</v>
      </c>
      <c r="G695" s="4" t="b">
        <f t="shared" si="10"/>
        <v>1</v>
      </c>
      <c r="H695" s="4"/>
      <c r="I695" s="4"/>
      <c r="J695" s="4" t="s">
        <v>621</v>
      </c>
    </row>
    <row r="696" spans="1:11" ht="16" hidden="1" x14ac:dyDescent="0.2">
      <c r="A696" s="6" t="s">
        <v>1435</v>
      </c>
      <c r="B696" s="6" t="s">
        <v>1436</v>
      </c>
      <c r="C696" s="4" t="b">
        <v>0</v>
      </c>
      <c r="D696" s="4" t="b">
        <v>0</v>
      </c>
      <c r="E696" s="4" t="b">
        <v>0</v>
      </c>
      <c r="F696" s="4" t="s">
        <v>12</v>
      </c>
      <c r="G696" s="4" t="b">
        <f t="shared" si="10"/>
        <v>1</v>
      </c>
      <c r="H696" s="4"/>
      <c r="I696" s="4"/>
      <c r="J696" s="4" t="s">
        <v>621</v>
      </c>
    </row>
    <row r="697" spans="1:11" ht="32" x14ac:dyDescent="0.2">
      <c r="A697" s="6" t="s">
        <v>1437</v>
      </c>
      <c r="B697" s="6" t="s">
        <v>1438</v>
      </c>
      <c r="C697" s="4" t="b">
        <v>1</v>
      </c>
      <c r="D697" s="4" t="b">
        <v>0</v>
      </c>
      <c r="E697" s="4" t="b">
        <v>1</v>
      </c>
      <c r="F697" s="4" t="s">
        <v>12</v>
      </c>
      <c r="G697" s="4" t="b">
        <f t="shared" si="10"/>
        <v>1</v>
      </c>
      <c r="H697" s="4" t="s">
        <v>3073</v>
      </c>
      <c r="I697" s="4"/>
      <c r="J697" s="4" t="s">
        <v>621</v>
      </c>
    </row>
    <row r="698" spans="1:11" ht="16" hidden="1" x14ac:dyDescent="0.2">
      <c r="A698" s="6" t="s">
        <v>1439</v>
      </c>
      <c r="B698" s="6" t="s">
        <v>1440</v>
      </c>
      <c r="C698" s="4" t="b">
        <v>0</v>
      </c>
      <c r="D698" s="4" t="b">
        <v>0</v>
      </c>
      <c r="E698" s="4" t="b">
        <v>0</v>
      </c>
      <c r="F698" s="4"/>
      <c r="G698" s="4" t="b">
        <f t="shared" si="10"/>
        <v>0</v>
      </c>
      <c r="H698" s="4"/>
      <c r="I698" s="4"/>
      <c r="J698" s="4" t="s">
        <v>14</v>
      </c>
      <c r="K698"/>
    </row>
    <row r="699" spans="1:11" ht="64" x14ac:dyDescent="0.2">
      <c r="A699" s="6" t="s">
        <v>1441</v>
      </c>
      <c r="B699" s="6" t="s">
        <v>1442</v>
      </c>
      <c r="C699" s="4" t="b">
        <v>1</v>
      </c>
      <c r="D699" s="4" t="b">
        <v>0</v>
      </c>
      <c r="E699" s="4" t="b">
        <v>1</v>
      </c>
      <c r="F699" s="4" t="s">
        <v>12</v>
      </c>
      <c r="G699" s="4" t="b">
        <f t="shared" si="10"/>
        <v>1</v>
      </c>
      <c r="H699" s="4" t="s">
        <v>3349</v>
      </c>
      <c r="I699" s="4"/>
      <c r="J699" s="4" t="s">
        <v>14</v>
      </c>
      <c r="K699"/>
    </row>
    <row r="700" spans="1:11" ht="16" hidden="1" x14ac:dyDescent="0.2">
      <c r="A700" s="6" t="s">
        <v>1443</v>
      </c>
      <c r="B700" s="6" t="s">
        <v>1444</v>
      </c>
      <c r="C700" s="4" t="b">
        <v>0</v>
      </c>
      <c r="D700" s="4" t="b">
        <v>0</v>
      </c>
      <c r="E700" s="4" t="b">
        <v>0</v>
      </c>
      <c r="F700" s="4"/>
      <c r="G700" s="4" t="b">
        <f t="shared" si="10"/>
        <v>0</v>
      </c>
      <c r="H700" s="4"/>
      <c r="I700" s="4"/>
      <c r="J700" s="4" t="s">
        <v>14</v>
      </c>
      <c r="K700"/>
    </row>
    <row r="701" spans="1:11" ht="16" hidden="1" x14ac:dyDescent="0.2">
      <c r="A701" s="6" t="s">
        <v>1445</v>
      </c>
      <c r="B701" s="6" t="s">
        <v>1446</v>
      </c>
      <c r="C701" s="4" t="b">
        <v>0</v>
      </c>
      <c r="D701" s="4" t="b">
        <v>0</v>
      </c>
      <c r="E701" s="4" t="b">
        <v>0</v>
      </c>
      <c r="F701" s="4"/>
      <c r="G701" s="4" t="b">
        <f t="shared" si="10"/>
        <v>0</v>
      </c>
      <c r="H701" s="4"/>
      <c r="I701" s="4"/>
      <c r="J701" s="4" t="s">
        <v>14</v>
      </c>
      <c r="K701"/>
    </row>
    <row r="702" spans="1:11" ht="16" hidden="1" x14ac:dyDescent="0.2">
      <c r="A702" s="6" t="s">
        <v>1447</v>
      </c>
      <c r="B702" s="6" t="s">
        <v>1448</v>
      </c>
      <c r="C702" s="4" t="b">
        <v>0</v>
      </c>
      <c r="D702" s="4" t="b">
        <v>0</v>
      </c>
      <c r="E702" s="4" t="b">
        <v>0</v>
      </c>
      <c r="F702" s="4"/>
      <c r="G702" s="4" t="b">
        <f t="shared" si="10"/>
        <v>0</v>
      </c>
      <c r="H702" s="4"/>
      <c r="I702" s="4"/>
      <c r="J702" s="4" t="s">
        <v>14</v>
      </c>
      <c r="K702"/>
    </row>
    <row r="703" spans="1:11" ht="16" hidden="1" x14ac:dyDescent="0.2">
      <c r="A703" s="6" t="s">
        <v>1449</v>
      </c>
      <c r="B703" s="6" t="s">
        <v>1450</v>
      </c>
      <c r="C703" s="4" t="b">
        <v>0</v>
      </c>
      <c r="D703" s="4" t="b">
        <v>0</v>
      </c>
      <c r="E703" s="4" t="b">
        <v>0</v>
      </c>
      <c r="F703" s="4"/>
      <c r="G703" s="4" t="b">
        <f t="shared" si="10"/>
        <v>0</v>
      </c>
      <c r="H703" s="4"/>
      <c r="I703" s="4"/>
      <c r="J703" s="4" t="s">
        <v>1451</v>
      </c>
      <c r="K703"/>
    </row>
    <row r="704" spans="1:11" ht="16" hidden="1" x14ac:dyDescent="0.2">
      <c r="A704" s="6" t="s">
        <v>1452</v>
      </c>
      <c r="B704" s="6" t="s">
        <v>1453</v>
      </c>
      <c r="C704" s="4" t="b">
        <v>0</v>
      </c>
      <c r="D704" s="4" t="b">
        <v>0</v>
      </c>
      <c r="E704" s="4" t="b">
        <v>0</v>
      </c>
      <c r="F704" s="4"/>
      <c r="G704" s="4" t="b">
        <f t="shared" si="10"/>
        <v>0</v>
      </c>
      <c r="H704" s="4"/>
      <c r="I704" s="4"/>
      <c r="J704" s="4" t="s">
        <v>1451</v>
      </c>
      <c r="K704"/>
    </row>
    <row r="705" spans="1:10" customFormat="1" ht="16" hidden="1" x14ac:dyDescent="0.2">
      <c r="A705" s="6" t="s">
        <v>1454</v>
      </c>
      <c r="B705" s="6" t="s">
        <v>1455</v>
      </c>
      <c r="C705" s="4" t="b">
        <v>0</v>
      </c>
      <c r="D705" s="4" t="b">
        <v>0</v>
      </c>
      <c r="E705" s="4" t="b">
        <v>0</v>
      </c>
      <c r="F705" s="4"/>
      <c r="G705" s="4" t="b">
        <f t="shared" si="10"/>
        <v>0</v>
      </c>
      <c r="H705" s="4"/>
      <c r="I705" s="4"/>
      <c r="J705" s="4" t="s">
        <v>1451</v>
      </c>
    </row>
    <row r="706" spans="1:10" customFormat="1" ht="16" hidden="1" x14ac:dyDescent="0.2">
      <c r="A706" s="6" t="s">
        <v>1456</v>
      </c>
      <c r="B706" s="6" t="s">
        <v>1457</v>
      </c>
      <c r="C706" s="4" t="b">
        <v>0</v>
      </c>
      <c r="D706" s="4" t="b">
        <v>0</v>
      </c>
      <c r="E706" s="4" t="b">
        <v>0</v>
      </c>
      <c r="F706" s="4"/>
      <c r="G706" s="4" t="b">
        <f t="shared" ref="G706:G769" si="11">IF(F706="✔", TRUE, FALSE)</f>
        <v>0</v>
      </c>
      <c r="H706" s="4"/>
      <c r="I706" s="4"/>
      <c r="J706" s="4" t="s">
        <v>98</v>
      </c>
    </row>
    <row r="707" spans="1:10" customFormat="1" ht="16" hidden="1" x14ac:dyDescent="0.2">
      <c r="A707" s="6" t="s">
        <v>1458</v>
      </c>
      <c r="B707" s="6" t="s">
        <v>1459</v>
      </c>
      <c r="C707" s="4" t="b">
        <v>0</v>
      </c>
      <c r="D707" s="4" t="b">
        <v>0</v>
      </c>
      <c r="E707" s="4" t="b">
        <v>0</v>
      </c>
      <c r="F707" s="4"/>
      <c r="G707" s="4" t="b">
        <f t="shared" si="11"/>
        <v>0</v>
      </c>
      <c r="H707" s="4"/>
      <c r="I707" s="4"/>
      <c r="J707" s="4" t="s">
        <v>98</v>
      </c>
    </row>
    <row r="708" spans="1:10" customFormat="1" ht="16" hidden="1" x14ac:dyDescent="0.2">
      <c r="A708" s="6" t="s">
        <v>1460</v>
      </c>
      <c r="B708" s="6" t="s">
        <v>1461</v>
      </c>
      <c r="C708" s="4" t="b">
        <v>0</v>
      </c>
      <c r="D708" s="4" t="b">
        <v>0</v>
      </c>
      <c r="E708" s="4" t="b">
        <v>0</v>
      </c>
      <c r="F708" s="4"/>
      <c r="G708" s="4" t="b">
        <f t="shared" si="11"/>
        <v>0</v>
      </c>
      <c r="H708" s="4"/>
      <c r="I708" s="4"/>
      <c r="J708" s="4" t="s">
        <v>98</v>
      </c>
    </row>
    <row r="709" spans="1:10" customFormat="1" ht="208" x14ac:dyDescent="0.2">
      <c r="A709" s="6" t="s">
        <v>1462</v>
      </c>
      <c r="B709" s="6" t="s">
        <v>1463</v>
      </c>
      <c r="C709" s="4" t="b">
        <v>1</v>
      </c>
      <c r="D709" s="4" t="b">
        <v>1</v>
      </c>
      <c r="E709" s="4" t="b">
        <v>1</v>
      </c>
      <c r="F709" s="4" t="s">
        <v>12</v>
      </c>
      <c r="G709" s="4" t="b">
        <f t="shared" si="11"/>
        <v>1</v>
      </c>
      <c r="H709" s="4" t="s">
        <v>3307</v>
      </c>
      <c r="I709" s="4"/>
      <c r="J709" s="4" t="s">
        <v>98</v>
      </c>
    </row>
    <row r="710" spans="1:10" customFormat="1" ht="16" hidden="1" x14ac:dyDescent="0.2">
      <c r="A710" s="6" t="s">
        <v>1464</v>
      </c>
      <c r="B710" s="6" t="s">
        <v>1465</v>
      </c>
      <c r="C710" s="4" t="b">
        <v>0</v>
      </c>
      <c r="D710" s="4" t="b">
        <v>0</v>
      </c>
      <c r="E710" s="4" t="b">
        <v>0</v>
      </c>
      <c r="F710" s="4"/>
      <c r="G710" s="4" t="b">
        <f t="shared" si="11"/>
        <v>0</v>
      </c>
      <c r="H710" s="4"/>
      <c r="I710" s="4"/>
      <c r="J710" s="4" t="s">
        <v>98</v>
      </c>
    </row>
    <row r="711" spans="1:10" customFormat="1" ht="16" hidden="1" x14ac:dyDescent="0.2">
      <c r="A711" s="6" t="s">
        <v>1466</v>
      </c>
      <c r="B711" s="6" t="s">
        <v>1467</v>
      </c>
      <c r="C711" s="4" t="b">
        <v>0</v>
      </c>
      <c r="D711" s="4" t="b">
        <v>0</v>
      </c>
      <c r="E711" s="4" t="b">
        <v>0</v>
      </c>
      <c r="F711" s="4"/>
      <c r="G711" s="4" t="b">
        <f t="shared" si="11"/>
        <v>0</v>
      </c>
      <c r="H711" s="4"/>
      <c r="I711" s="4"/>
      <c r="J711" s="4" t="s">
        <v>98</v>
      </c>
    </row>
    <row r="712" spans="1:10" customFormat="1" ht="160" x14ac:dyDescent="0.2">
      <c r="A712" s="6" t="s">
        <v>1468</v>
      </c>
      <c r="B712" s="6" t="s">
        <v>1469</v>
      </c>
      <c r="C712" s="4" t="b">
        <v>1</v>
      </c>
      <c r="D712" s="4" t="b">
        <v>0</v>
      </c>
      <c r="E712" s="4" t="b">
        <v>1</v>
      </c>
      <c r="F712" s="4" t="s">
        <v>12</v>
      </c>
      <c r="G712" s="4" t="b">
        <f t="shared" si="11"/>
        <v>1</v>
      </c>
      <c r="H712" s="4" t="s">
        <v>3306</v>
      </c>
      <c r="I712" s="4"/>
      <c r="J712" s="4" t="s">
        <v>98</v>
      </c>
    </row>
    <row r="713" spans="1:10" customFormat="1" ht="32" x14ac:dyDescent="0.2">
      <c r="A713" s="6" t="s">
        <v>1470</v>
      </c>
      <c r="B713" s="6" t="s">
        <v>1471</v>
      </c>
      <c r="C713" s="4" t="b">
        <v>1</v>
      </c>
      <c r="D713" s="4" t="b">
        <v>0</v>
      </c>
      <c r="E713" s="4" t="b">
        <v>1</v>
      </c>
      <c r="F713" s="4" t="s">
        <v>12</v>
      </c>
      <c r="G713" s="4" t="b">
        <f t="shared" si="11"/>
        <v>1</v>
      </c>
      <c r="H713" s="4" t="s">
        <v>3305</v>
      </c>
      <c r="I713" s="4"/>
      <c r="J713" s="4" t="s">
        <v>98</v>
      </c>
    </row>
    <row r="714" spans="1:10" customFormat="1" ht="16" hidden="1" x14ac:dyDescent="0.2">
      <c r="A714" s="6" t="s">
        <v>1472</v>
      </c>
      <c r="B714" s="6" t="s">
        <v>1473</v>
      </c>
      <c r="C714" s="4" t="b">
        <v>0</v>
      </c>
      <c r="D714" s="4" t="b">
        <v>0</v>
      </c>
      <c r="E714" s="4" t="b">
        <v>0</v>
      </c>
      <c r="F714" s="4"/>
      <c r="G714" s="4" t="b">
        <f t="shared" si="11"/>
        <v>0</v>
      </c>
      <c r="H714" s="4"/>
      <c r="I714" s="4"/>
      <c r="J714" s="4" t="s">
        <v>98</v>
      </c>
    </row>
    <row r="715" spans="1:10" customFormat="1" ht="16" hidden="1" x14ac:dyDescent="0.2">
      <c r="A715" s="6" t="s">
        <v>1474</v>
      </c>
      <c r="B715" s="6" t="s">
        <v>1475</v>
      </c>
      <c r="C715" s="4" t="b">
        <v>0</v>
      </c>
      <c r="D715" s="4" t="b">
        <v>0</v>
      </c>
      <c r="E715" s="4" t="b">
        <v>0</v>
      </c>
      <c r="F715" s="4"/>
      <c r="G715" s="4" t="b">
        <f t="shared" si="11"/>
        <v>0</v>
      </c>
      <c r="H715" s="4"/>
      <c r="I715" s="4"/>
      <c r="J715" s="4" t="s">
        <v>98</v>
      </c>
    </row>
    <row r="716" spans="1:10" customFormat="1" ht="64" x14ac:dyDescent="0.2">
      <c r="A716" s="6" t="s">
        <v>1476</v>
      </c>
      <c r="B716" s="6" t="s">
        <v>1477</v>
      </c>
      <c r="C716" s="4" t="b">
        <v>1</v>
      </c>
      <c r="D716" s="4" t="b">
        <v>0</v>
      </c>
      <c r="E716" s="4" t="b">
        <v>1</v>
      </c>
      <c r="F716" s="4" t="s">
        <v>12</v>
      </c>
      <c r="G716" s="4" t="b">
        <f t="shared" si="11"/>
        <v>1</v>
      </c>
      <c r="H716" s="4" t="s">
        <v>3304</v>
      </c>
      <c r="I716" s="4"/>
      <c r="J716" s="4" t="s">
        <v>98</v>
      </c>
    </row>
    <row r="717" spans="1:10" customFormat="1" ht="16" hidden="1" x14ac:dyDescent="0.2">
      <c r="A717" s="6" t="s">
        <v>1478</v>
      </c>
      <c r="B717" s="6" t="s">
        <v>1479</v>
      </c>
      <c r="C717" s="4" t="b">
        <v>0</v>
      </c>
      <c r="D717" s="4" t="b">
        <v>0</v>
      </c>
      <c r="E717" s="4" t="b">
        <v>0</v>
      </c>
      <c r="F717" s="4"/>
      <c r="G717" s="4" t="b">
        <f t="shared" si="11"/>
        <v>0</v>
      </c>
      <c r="H717" s="4"/>
      <c r="I717" s="4"/>
      <c r="J717" s="4" t="s">
        <v>98</v>
      </c>
    </row>
    <row r="718" spans="1:10" customFormat="1" ht="16" hidden="1" x14ac:dyDescent="0.2">
      <c r="A718" s="6" t="s">
        <v>1480</v>
      </c>
      <c r="B718" s="6" t="s">
        <v>1481</v>
      </c>
      <c r="C718" s="4" t="b">
        <v>0</v>
      </c>
      <c r="D718" s="4" t="b">
        <v>0</v>
      </c>
      <c r="E718" s="4" t="b">
        <v>0</v>
      </c>
      <c r="F718" s="4"/>
      <c r="G718" s="4" t="b">
        <f t="shared" si="11"/>
        <v>0</v>
      </c>
      <c r="H718" s="4"/>
      <c r="I718" s="4"/>
      <c r="J718" s="4" t="s">
        <v>98</v>
      </c>
    </row>
    <row r="719" spans="1:10" customFormat="1" ht="16" hidden="1" x14ac:dyDescent="0.2">
      <c r="A719" s="6" t="s">
        <v>1482</v>
      </c>
      <c r="B719" s="6" t="s">
        <v>1483</v>
      </c>
      <c r="C719" s="4" t="b">
        <v>0</v>
      </c>
      <c r="D719" s="4" t="b">
        <v>0</v>
      </c>
      <c r="E719" s="4" t="b">
        <v>1</v>
      </c>
      <c r="F719" s="4"/>
      <c r="G719" s="4" t="b">
        <f t="shared" si="11"/>
        <v>0</v>
      </c>
      <c r="H719" s="4"/>
      <c r="I719" s="4"/>
      <c r="J719" s="4" t="s">
        <v>98</v>
      </c>
    </row>
    <row r="720" spans="1:10" customFormat="1" ht="64" x14ac:dyDescent="0.2">
      <c r="A720" s="6" t="s">
        <v>1484</v>
      </c>
      <c r="B720" s="6" t="s">
        <v>2851</v>
      </c>
      <c r="C720" s="4" t="b">
        <v>1</v>
      </c>
      <c r="D720" s="4" t="b">
        <v>0</v>
      </c>
      <c r="E720" s="4" t="b">
        <v>1</v>
      </c>
      <c r="F720" s="4" t="s">
        <v>12</v>
      </c>
      <c r="G720" s="4" t="b">
        <f t="shared" si="11"/>
        <v>1</v>
      </c>
      <c r="H720" s="4" t="s">
        <v>3303</v>
      </c>
      <c r="I720" s="4"/>
      <c r="J720" s="4" t="s">
        <v>98</v>
      </c>
    </row>
    <row r="721" spans="1:10" customFormat="1" ht="16" hidden="1" x14ac:dyDescent="0.2">
      <c r="A721" s="6" t="s">
        <v>1485</v>
      </c>
      <c r="B721" s="6" t="s">
        <v>1486</v>
      </c>
      <c r="C721" s="4" t="b">
        <v>0</v>
      </c>
      <c r="D721" s="4" t="b">
        <v>0</v>
      </c>
      <c r="E721" s="4" t="b">
        <v>0</v>
      </c>
      <c r="F721" s="4"/>
      <c r="G721" s="4" t="b">
        <f t="shared" si="11"/>
        <v>0</v>
      </c>
      <c r="H721" s="4"/>
      <c r="I721" s="4"/>
      <c r="J721" s="4" t="s">
        <v>98</v>
      </c>
    </row>
    <row r="722" spans="1:10" customFormat="1" ht="48" x14ac:dyDescent="0.2">
      <c r="A722" s="6" t="s">
        <v>1487</v>
      </c>
      <c r="B722" s="6" t="s">
        <v>1488</v>
      </c>
      <c r="C722" s="4" t="b">
        <v>1</v>
      </c>
      <c r="D722" s="4" t="b">
        <v>0</v>
      </c>
      <c r="E722" s="4" t="b">
        <v>1</v>
      </c>
      <c r="F722" s="4" t="s">
        <v>12</v>
      </c>
      <c r="G722" s="4" t="b">
        <f t="shared" si="11"/>
        <v>1</v>
      </c>
      <c r="H722" s="4" t="s">
        <v>3302</v>
      </c>
      <c r="I722" s="4"/>
      <c r="J722" s="4" t="s">
        <v>98</v>
      </c>
    </row>
    <row r="723" spans="1:10" customFormat="1" ht="16" hidden="1" x14ac:dyDescent="0.2">
      <c r="A723" s="6" t="s">
        <v>1489</v>
      </c>
      <c r="B723" s="6" t="s">
        <v>1490</v>
      </c>
      <c r="C723" s="4" t="b">
        <v>0</v>
      </c>
      <c r="D723" s="4" t="b">
        <v>0</v>
      </c>
      <c r="E723" s="4" t="b">
        <v>0</v>
      </c>
      <c r="F723" s="4"/>
      <c r="G723" s="4" t="b">
        <f t="shared" si="11"/>
        <v>0</v>
      </c>
      <c r="H723" s="4"/>
      <c r="I723" s="4"/>
      <c r="J723" s="4" t="s">
        <v>98</v>
      </c>
    </row>
    <row r="724" spans="1:10" customFormat="1" ht="96" x14ac:dyDescent="0.2">
      <c r="A724" s="6" t="s">
        <v>1491</v>
      </c>
      <c r="B724" s="6" t="s">
        <v>1492</v>
      </c>
      <c r="C724" s="4" t="b">
        <v>1</v>
      </c>
      <c r="D724" s="4" t="b">
        <v>0</v>
      </c>
      <c r="E724" s="4" t="b">
        <v>1</v>
      </c>
      <c r="F724" s="4" t="s">
        <v>12</v>
      </c>
      <c r="G724" s="4" t="b">
        <f t="shared" si="11"/>
        <v>1</v>
      </c>
      <c r="H724" s="4" t="s">
        <v>3301</v>
      </c>
      <c r="I724" s="4"/>
      <c r="J724" s="4" t="s">
        <v>98</v>
      </c>
    </row>
    <row r="725" spans="1:10" customFormat="1" ht="32" hidden="1" x14ac:dyDescent="0.2">
      <c r="A725" s="6" t="s">
        <v>1493</v>
      </c>
      <c r="B725" s="6" t="s">
        <v>1494</v>
      </c>
      <c r="C725" s="4" t="b">
        <v>0</v>
      </c>
      <c r="D725" s="4" t="b">
        <v>0</v>
      </c>
      <c r="E725" s="4" t="b">
        <v>1</v>
      </c>
      <c r="F725" s="4" t="s">
        <v>12</v>
      </c>
      <c r="G725" s="4" t="b">
        <f t="shared" si="11"/>
        <v>1</v>
      </c>
      <c r="H725" s="4" t="s">
        <v>3300</v>
      </c>
      <c r="I725" s="4"/>
      <c r="J725" s="4" t="s">
        <v>98</v>
      </c>
    </row>
    <row r="726" spans="1:10" customFormat="1" ht="16" hidden="1" x14ac:dyDescent="0.2">
      <c r="A726" s="6" t="s">
        <v>1495</v>
      </c>
      <c r="B726" s="6" t="s">
        <v>1496</v>
      </c>
      <c r="C726" s="4" t="b">
        <v>0</v>
      </c>
      <c r="D726" s="4" t="b">
        <v>0</v>
      </c>
      <c r="E726" s="4" t="b">
        <v>0</v>
      </c>
      <c r="F726" s="4"/>
      <c r="G726" s="4" t="b">
        <f t="shared" si="11"/>
        <v>0</v>
      </c>
      <c r="H726" s="4"/>
      <c r="I726" s="4"/>
      <c r="J726" s="4" t="s">
        <v>98</v>
      </c>
    </row>
    <row r="727" spans="1:10" customFormat="1" ht="16" hidden="1" x14ac:dyDescent="0.2">
      <c r="A727" s="6" t="s">
        <v>1497</v>
      </c>
      <c r="B727" s="6" t="s">
        <v>1498</v>
      </c>
      <c r="C727" s="4" t="b">
        <v>0</v>
      </c>
      <c r="D727" s="4" t="b">
        <v>0</v>
      </c>
      <c r="E727" s="4" t="b">
        <v>0</v>
      </c>
      <c r="F727" s="4"/>
      <c r="G727" s="4" t="b">
        <f t="shared" si="11"/>
        <v>0</v>
      </c>
      <c r="H727" s="4"/>
      <c r="I727" s="4"/>
      <c r="J727" s="4" t="s">
        <v>98</v>
      </c>
    </row>
    <row r="728" spans="1:10" customFormat="1" ht="32" x14ac:dyDescent="0.2">
      <c r="A728" s="6" t="s">
        <v>1499</v>
      </c>
      <c r="B728" s="6" t="s">
        <v>1500</v>
      </c>
      <c r="C728" s="4" t="b">
        <v>1</v>
      </c>
      <c r="D728" s="4" t="b">
        <v>0</v>
      </c>
      <c r="E728" s="4" t="b">
        <v>1</v>
      </c>
      <c r="F728" s="4" t="s">
        <v>12</v>
      </c>
      <c r="G728" s="4" t="b">
        <f t="shared" si="11"/>
        <v>1</v>
      </c>
      <c r="H728" s="4" t="s">
        <v>3299</v>
      </c>
      <c r="I728" s="4"/>
      <c r="J728" s="4" t="s">
        <v>98</v>
      </c>
    </row>
    <row r="729" spans="1:10" customFormat="1" ht="16" hidden="1" x14ac:dyDescent="0.2">
      <c r="A729" s="6" t="s">
        <v>1501</v>
      </c>
      <c r="B729" s="6" t="s">
        <v>1502</v>
      </c>
      <c r="C729" s="4" t="b">
        <v>0</v>
      </c>
      <c r="D729" s="4" t="b">
        <v>0</v>
      </c>
      <c r="E729" s="4" t="b">
        <v>1</v>
      </c>
      <c r="F729" s="4"/>
      <c r="G729" s="4" t="b">
        <f t="shared" si="11"/>
        <v>0</v>
      </c>
      <c r="H729" s="4"/>
      <c r="I729" s="4"/>
      <c r="J729" s="4" t="s">
        <v>98</v>
      </c>
    </row>
    <row r="730" spans="1:10" customFormat="1" ht="48" x14ac:dyDescent="0.2">
      <c r="A730" s="6" t="s">
        <v>1503</v>
      </c>
      <c r="B730" s="6" t="s">
        <v>1504</v>
      </c>
      <c r="C730" s="4" t="b">
        <v>1</v>
      </c>
      <c r="D730" s="4" t="b">
        <v>0</v>
      </c>
      <c r="E730" s="4" t="b">
        <v>1</v>
      </c>
      <c r="F730" s="4" t="s">
        <v>12</v>
      </c>
      <c r="G730" s="4" t="b">
        <f t="shared" si="11"/>
        <v>1</v>
      </c>
      <c r="H730" s="4" t="s">
        <v>3298</v>
      </c>
      <c r="I730" s="4"/>
      <c r="J730" s="4" t="s">
        <v>98</v>
      </c>
    </row>
    <row r="731" spans="1:10" customFormat="1" ht="16" hidden="1" x14ac:dyDescent="0.2">
      <c r="A731" s="6" t="s">
        <v>1505</v>
      </c>
      <c r="B731" s="6" t="s">
        <v>1506</v>
      </c>
      <c r="C731" s="4" t="b">
        <v>0</v>
      </c>
      <c r="D731" s="4" t="b">
        <v>0</v>
      </c>
      <c r="E731" s="4" t="b">
        <v>0</v>
      </c>
      <c r="F731" s="4"/>
      <c r="G731" s="4" t="b">
        <f t="shared" si="11"/>
        <v>0</v>
      </c>
      <c r="H731" s="4"/>
      <c r="I731" s="4"/>
      <c r="J731" s="4" t="s">
        <v>98</v>
      </c>
    </row>
    <row r="732" spans="1:10" customFormat="1" ht="16" hidden="1" x14ac:dyDescent="0.2">
      <c r="A732" s="6" t="s">
        <v>1507</v>
      </c>
      <c r="B732" s="6" t="s">
        <v>1508</v>
      </c>
      <c r="C732" s="4" t="b">
        <v>0</v>
      </c>
      <c r="D732" s="4" t="b">
        <v>0</v>
      </c>
      <c r="E732" s="4" t="b">
        <v>0</v>
      </c>
      <c r="F732" s="4"/>
      <c r="G732" s="4" t="b">
        <f t="shared" si="11"/>
        <v>0</v>
      </c>
      <c r="H732" s="4"/>
      <c r="I732" s="4"/>
      <c r="J732" s="4" t="s">
        <v>98</v>
      </c>
    </row>
    <row r="733" spans="1:10" customFormat="1" ht="16" x14ac:dyDescent="0.2">
      <c r="A733" s="6" t="s">
        <v>1509</v>
      </c>
      <c r="B733" s="6" t="s">
        <v>1510</v>
      </c>
      <c r="C733" s="4" t="b">
        <v>1</v>
      </c>
      <c r="D733" s="4" t="b">
        <v>0</v>
      </c>
      <c r="E733" s="4" t="b">
        <v>1</v>
      </c>
      <c r="F733" s="4" t="s">
        <v>12</v>
      </c>
      <c r="G733" s="4" t="b">
        <f t="shared" si="11"/>
        <v>1</v>
      </c>
      <c r="H733" s="4"/>
      <c r="I733" s="4"/>
      <c r="J733" s="4" t="s">
        <v>98</v>
      </c>
    </row>
    <row r="734" spans="1:10" customFormat="1" ht="16" x14ac:dyDescent="0.2">
      <c r="A734" s="6" t="s">
        <v>1511</v>
      </c>
      <c r="B734" s="6" t="s">
        <v>1512</v>
      </c>
      <c r="C734" s="4" t="b">
        <v>1</v>
      </c>
      <c r="D734" s="4" t="b">
        <v>0</v>
      </c>
      <c r="E734" s="4" t="b">
        <v>1</v>
      </c>
      <c r="F734" s="4" t="s">
        <v>12</v>
      </c>
      <c r="G734" s="4" t="b">
        <f t="shared" si="11"/>
        <v>1</v>
      </c>
      <c r="H734" s="4" t="s">
        <v>3297</v>
      </c>
      <c r="I734" s="4"/>
      <c r="J734" s="4" t="s">
        <v>98</v>
      </c>
    </row>
    <row r="735" spans="1:10" customFormat="1" ht="16" hidden="1" x14ac:dyDescent="0.2">
      <c r="A735" s="6" t="s">
        <v>1513</v>
      </c>
      <c r="B735" s="6" t="s">
        <v>1514</v>
      </c>
      <c r="C735" s="4" t="b">
        <v>0</v>
      </c>
      <c r="D735" s="4" t="b">
        <v>0</v>
      </c>
      <c r="E735" s="4" t="b">
        <v>1</v>
      </c>
      <c r="F735" s="4"/>
      <c r="G735" s="4" t="b">
        <f t="shared" si="11"/>
        <v>0</v>
      </c>
      <c r="H735" s="4"/>
      <c r="I735" s="4"/>
      <c r="J735" s="4" t="s">
        <v>98</v>
      </c>
    </row>
    <row r="736" spans="1:10" customFormat="1" ht="16" hidden="1" x14ac:dyDescent="0.2">
      <c r="A736" s="6" t="s">
        <v>1515</v>
      </c>
      <c r="B736" s="6" t="s">
        <v>1516</v>
      </c>
      <c r="C736" s="4" t="b">
        <v>0</v>
      </c>
      <c r="D736" s="4" t="b">
        <v>0</v>
      </c>
      <c r="E736" s="4" t="b">
        <v>0</v>
      </c>
      <c r="F736" s="4"/>
      <c r="G736" s="4" t="b">
        <f t="shared" si="11"/>
        <v>0</v>
      </c>
      <c r="H736" s="4"/>
      <c r="I736" s="4"/>
      <c r="J736" s="4" t="s">
        <v>98</v>
      </c>
    </row>
    <row r="737" spans="1:10" customFormat="1" ht="16" hidden="1" x14ac:dyDescent="0.2">
      <c r="A737" s="6" t="s">
        <v>1517</v>
      </c>
      <c r="B737" s="6" t="s">
        <v>1518</v>
      </c>
      <c r="C737" s="4" t="b">
        <v>0</v>
      </c>
      <c r="D737" s="4" t="b">
        <v>0</v>
      </c>
      <c r="E737" s="4" t="b">
        <v>0</v>
      </c>
      <c r="F737" s="4"/>
      <c r="G737" s="4" t="b">
        <f t="shared" si="11"/>
        <v>0</v>
      </c>
      <c r="H737" s="4"/>
      <c r="I737" s="4"/>
      <c r="J737" s="4" t="s">
        <v>98</v>
      </c>
    </row>
    <row r="738" spans="1:10" customFormat="1" ht="48" x14ac:dyDescent="0.2">
      <c r="A738" s="6" t="s">
        <v>1519</v>
      </c>
      <c r="B738" s="6" t="s">
        <v>1520</v>
      </c>
      <c r="C738" s="4" t="b">
        <v>1</v>
      </c>
      <c r="D738" s="4" t="b">
        <v>0</v>
      </c>
      <c r="E738" s="4" t="b">
        <v>1</v>
      </c>
      <c r="F738" s="4" t="s">
        <v>12</v>
      </c>
      <c r="G738" s="4" t="b">
        <f t="shared" si="11"/>
        <v>1</v>
      </c>
      <c r="H738" s="4" t="s">
        <v>3296</v>
      </c>
      <c r="I738" s="4"/>
      <c r="J738" s="4" t="s">
        <v>98</v>
      </c>
    </row>
    <row r="739" spans="1:10" customFormat="1" ht="16" hidden="1" x14ac:dyDescent="0.2">
      <c r="A739" s="6" t="s">
        <v>1521</v>
      </c>
      <c r="B739" s="6" t="s">
        <v>1522</v>
      </c>
      <c r="C739" s="4" t="b">
        <v>0</v>
      </c>
      <c r="D739" s="4" t="b">
        <v>0</v>
      </c>
      <c r="E739" s="4" t="b">
        <v>0</v>
      </c>
      <c r="F739" s="4"/>
      <c r="G739" s="4" t="b">
        <f t="shared" si="11"/>
        <v>0</v>
      </c>
      <c r="H739" s="4"/>
      <c r="I739" s="4"/>
      <c r="J739" s="4" t="s">
        <v>98</v>
      </c>
    </row>
    <row r="740" spans="1:10" customFormat="1" ht="16" hidden="1" x14ac:dyDescent="0.2">
      <c r="A740" s="6" t="s">
        <v>1523</v>
      </c>
      <c r="B740" s="6" t="s">
        <v>1524</v>
      </c>
      <c r="C740" s="4" t="b">
        <v>0</v>
      </c>
      <c r="D740" s="4" t="b">
        <v>0</v>
      </c>
      <c r="E740" s="4" t="b">
        <v>1</v>
      </c>
      <c r="F740" s="4"/>
      <c r="G740" s="4" t="b">
        <f t="shared" si="11"/>
        <v>0</v>
      </c>
      <c r="H740" s="4"/>
      <c r="I740" s="4"/>
      <c r="J740" s="4" t="s">
        <v>98</v>
      </c>
    </row>
    <row r="741" spans="1:10" customFormat="1" ht="16" hidden="1" x14ac:dyDescent="0.2">
      <c r="A741" s="6" t="s">
        <v>1525</v>
      </c>
      <c r="B741" s="6" t="s">
        <v>1526</v>
      </c>
      <c r="C741" s="4" t="b">
        <v>0</v>
      </c>
      <c r="D741" s="4" t="b">
        <v>0</v>
      </c>
      <c r="E741" s="4" t="b">
        <v>0</v>
      </c>
      <c r="F741" s="4"/>
      <c r="G741" s="4" t="b">
        <f t="shared" si="11"/>
        <v>0</v>
      </c>
      <c r="H741" s="4"/>
      <c r="I741" s="4"/>
      <c r="J741" s="4" t="s">
        <v>98</v>
      </c>
    </row>
    <row r="742" spans="1:10" customFormat="1" ht="16" x14ac:dyDescent="0.2">
      <c r="A742" s="6" t="s">
        <v>1527</v>
      </c>
      <c r="B742" s="6" t="s">
        <v>1528</v>
      </c>
      <c r="C742" s="4" t="b">
        <v>1</v>
      </c>
      <c r="D742" s="4" t="b">
        <v>0</v>
      </c>
      <c r="E742" s="4" t="b">
        <v>1</v>
      </c>
      <c r="F742" s="4" t="s">
        <v>12</v>
      </c>
      <c r="G742" s="4" t="b">
        <f t="shared" si="11"/>
        <v>1</v>
      </c>
      <c r="H742" s="4" t="s">
        <v>3295</v>
      </c>
      <c r="I742" s="4"/>
      <c r="J742" s="4" t="s">
        <v>98</v>
      </c>
    </row>
    <row r="743" spans="1:10" customFormat="1" ht="16" hidden="1" x14ac:dyDescent="0.2">
      <c r="A743" s="6" t="s">
        <v>1529</v>
      </c>
      <c r="B743" s="6" t="s">
        <v>1530</v>
      </c>
      <c r="C743" s="4" t="b">
        <v>0</v>
      </c>
      <c r="D743" s="4" t="b">
        <v>0</v>
      </c>
      <c r="E743" s="4" t="b">
        <v>1</v>
      </c>
      <c r="F743" s="4" t="s">
        <v>12</v>
      </c>
      <c r="G743" s="4" t="b">
        <f t="shared" si="11"/>
        <v>1</v>
      </c>
      <c r="H743" s="4" t="s">
        <v>3294</v>
      </c>
      <c r="I743" s="4"/>
      <c r="J743" s="4" t="s">
        <v>98</v>
      </c>
    </row>
    <row r="744" spans="1:10" customFormat="1" ht="16" hidden="1" x14ac:dyDescent="0.2">
      <c r="A744" s="6" t="s">
        <v>1531</v>
      </c>
      <c r="B744" s="6" t="s">
        <v>1532</v>
      </c>
      <c r="C744" s="4" t="b">
        <v>0</v>
      </c>
      <c r="D744" s="4" t="b">
        <v>0</v>
      </c>
      <c r="E744" s="4" t="b">
        <v>1</v>
      </c>
      <c r="F744" s="4"/>
      <c r="G744" s="4" t="b">
        <f t="shared" si="11"/>
        <v>0</v>
      </c>
      <c r="H744" s="4"/>
      <c r="I744" s="4"/>
      <c r="J744" s="4" t="s">
        <v>98</v>
      </c>
    </row>
    <row r="745" spans="1:10" customFormat="1" ht="16" hidden="1" x14ac:dyDescent="0.2">
      <c r="A745" s="6" t="s">
        <v>1533</v>
      </c>
      <c r="B745" s="6" t="s">
        <v>1534</v>
      </c>
      <c r="C745" s="4" t="b">
        <v>0</v>
      </c>
      <c r="D745" s="4" t="b">
        <v>0</v>
      </c>
      <c r="E745" s="4" t="b">
        <v>0</v>
      </c>
      <c r="F745" s="4"/>
      <c r="G745" s="4" t="b">
        <f t="shared" si="11"/>
        <v>0</v>
      </c>
      <c r="H745" s="4"/>
      <c r="I745" s="4"/>
      <c r="J745" s="4" t="s">
        <v>98</v>
      </c>
    </row>
    <row r="746" spans="1:10" customFormat="1" ht="16" hidden="1" x14ac:dyDescent="0.2">
      <c r="A746" s="6" t="s">
        <v>1535</v>
      </c>
      <c r="B746" s="6" t="s">
        <v>1536</v>
      </c>
      <c r="C746" s="4" t="b">
        <v>0</v>
      </c>
      <c r="D746" s="4" t="b">
        <v>0</v>
      </c>
      <c r="E746" s="4" t="b">
        <v>1</v>
      </c>
      <c r="F746" s="4"/>
      <c r="G746" s="4" t="b">
        <f t="shared" si="11"/>
        <v>0</v>
      </c>
      <c r="H746" s="4"/>
      <c r="I746" s="4"/>
      <c r="J746" s="4" t="s">
        <v>98</v>
      </c>
    </row>
    <row r="747" spans="1:10" customFormat="1" ht="16" hidden="1" x14ac:dyDescent="0.2">
      <c r="A747" s="6" t="s">
        <v>1537</v>
      </c>
      <c r="B747" s="6" t="s">
        <v>1538</v>
      </c>
      <c r="C747" s="4" t="b">
        <v>0</v>
      </c>
      <c r="D747" s="4" t="b">
        <v>0</v>
      </c>
      <c r="E747" s="4" t="b">
        <v>0</v>
      </c>
      <c r="F747" s="4"/>
      <c r="G747" s="4" t="b">
        <f t="shared" si="11"/>
        <v>0</v>
      </c>
      <c r="H747" s="4"/>
      <c r="I747" s="4"/>
      <c r="J747" s="4" t="s">
        <v>98</v>
      </c>
    </row>
    <row r="748" spans="1:10" customFormat="1" ht="64" x14ac:dyDescent="0.2">
      <c r="A748" s="6" t="s">
        <v>1539</v>
      </c>
      <c r="B748" s="6" t="s">
        <v>1540</v>
      </c>
      <c r="C748" s="4" t="b">
        <v>1</v>
      </c>
      <c r="D748" s="4" t="b">
        <v>0</v>
      </c>
      <c r="E748" s="4" t="b">
        <v>1</v>
      </c>
      <c r="F748" s="4" t="s">
        <v>12</v>
      </c>
      <c r="G748" s="4" t="b">
        <f t="shared" si="11"/>
        <v>1</v>
      </c>
      <c r="H748" s="4" t="s">
        <v>3293</v>
      </c>
      <c r="I748" s="4"/>
      <c r="J748" s="4" t="s">
        <v>98</v>
      </c>
    </row>
    <row r="749" spans="1:10" customFormat="1" ht="16" hidden="1" x14ac:dyDescent="0.2">
      <c r="A749" s="6" t="s">
        <v>1541</v>
      </c>
      <c r="B749" s="6" t="s">
        <v>1542</v>
      </c>
      <c r="C749" s="4" t="b">
        <v>0</v>
      </c>
      <c r="D749" s="4" t="b">
        <v>0</v>
      </c>
      <c r="E749" s="4" t="b">
        <v>1</v>
      </c>
      <c r="F749" s="4"/>
      <c r="G749" s="4" t="b">
        <f t="shared" si="11"/>
        <v>0</v>
      </c>
      <c r="H749" s="4"/>
      <c r="I749" s="4"/>
      <c r="J749" s="4" t="s">
        <v>98</v>
      </c>
    </row>
    <row r="750" spans="1:10" customFormat="1" ht="16" hidden="1" x14ac:dyDescent="0.2">
      <c r="A750" s="6" t="s">
        <v>1543</v>
      </c>
      <c r="B750" s="6" t="s">
        <v>1544</v>
      </c>
      <c r="C750" s="4" t="b">
        <v>0</v>
      </c>
      <c r="D750" s="4" t="b">
        <v>0</v>
      </c>
      <c r="E750" s="4" t="b">
        <v>0</v>
      </c>
      <c r="F750" s="4"/>
      <c r="G750" s="4" t="b">
        <f t="shared" si="11"/>
        <v>0</v>
      </c>
      <c r="H750" s="4"/>
      <c r="I750" s="4"/>
      <c r="J750" s="4" t="s">
        <v>98</v>
      </c>
    </row>
    <row r="751" spans="1:10" customFormat="1" ht="16" hidden="1" x14ac:dyDescent="0.2">
      <c r="A751" s="6" t="s">
        <v>1545</v>
      </c>
      <c r="B751" s="6" t="s">
        <v>1546</v>
      </c>
      <c r="C751" s="4" t="b">
        <v>0</v>
      </c>
      <c r="D751" s="4" t="b">
        <v>0</v>
      </c>
      <c r="E751" s="4" t="b">
        <v>1</v>
      </c>
      <c r="F751" s="4"/>
      <c r="G751" s="4" t="b">
        <f t="shared" si="11"/>
        <v>0</v>
      </c>
      <c r="H751" s="4"/>
      <c r="I751" s="4"/>
      <c r="J751" s="4" t="s">
        <v>98</v>
      </c>
    </row>
    <row r="752" spans="1:10" customFormat="1" ht="32" x14ac:dyDescent="0.2">
      <c r="A752" s="6" t="s">
        <v>1547</v>
      </c>
      <c r="B752" s="6" t="s">
        <v>1548</v>
      </c>
      <c r="C752" s="4" t="b">
        <v>1</v>
      </c>
      <c r="D752" s="4" t="b">
        <v>0</v>
      </c>
      <c r="E752" s="4" t="b">
        <v>1</v>
      </c>
      <c r="F752" s="4" t="s">
        <v>12</v>
      </c>
      <c r="G752" s="4" t="b">
        <f t="shared" si="11"/>
        <v>1</v>
      </c>
      <c r="H752" s="4" t="s">
        <v>3292</v>
      </c>
      <c r="I752" s="4"/>
      <c r="J752" s="4" t="s">
        <v>98</v>
      </c>
    </row>
    <row r="753" spans="1:10" customFormat="1" ht="96" x14ac:dyDescent="0.2">
      <c r="A753" s="6" t="s">
        <v>1549</v>
      </c>
      <c r="B753" s="6" t="s">
        <v>1550</v>
      </c>
      <c r="C753" s="4" t="b">
        <v>1</v>
      </c>
      <c r="D753" s="4" t="b">
        <v>0</v>
      </c>
      <c r="E753" s="4" t="b">
        <v>1</v>
      </c>
      <c r="F753" s="4" t="s">
        <v>12</v>
      </c>
      <c r="G753" s="4" t="b">
        <f t="shared" si="11"/>
        <v>1</v>
      </c>
      <c r="H753" s="4" t="s">
        <v>3291</v>
      </c>
      <c r="I753" s="4"/>
      <c r="J753" s="4" t="s">
        <v>98</v>
      </c>
    </row>
    <row r="754" spans="1:10" customFormat="1" ht="64" x14ac:dyDescent="0.2">
      <c r="A754" s="6" t="s">
        <v>1551</v>
      </c>
      <c r="B754" s="6" t="s">
        <v>1552</v>
      </c>
      <c r="C754" s="4" t="b">
        <v>1</v>
      </c>
      <c r="D754" s="4" t="b">
        <v>0</v>
      </c>
      <c r="E754" s="4" t="b">
        <v>1</v>
      </c>
      <c r="F754" s="4" t="s">
        <v>12</v>
      </c>
      <c r="G754" s="4" t="b">
        <f t="shared" si="11"/>
        <v>1</v>
      </c>
      <c r="H754" s="4" t="s">
        <v>3290</v>
      </c>
      <c r="I754" s="4"/>
      <c r="J754" s="4" t="s">
        <v>98</v>
      </c>
    </row>
    <row r="755" spans="1:10" customFormat="1" ht="16" hidden="1" x14ac:dyDescent="0.2">
      <c r="A755" s="6" t="s">
        <v>1553</v>
      </c>
      <c r="B755" s="6" t="s">
        <v>1554</v>
      </c>
      <c r="C755" s="4" t="b">
        <v>0</v>
      </c>
      <c r="D755" s="4" t="b">
        <v>0</v>
      </c>
      <c r="E755" s="4" t="b">
        <v>0</v>
      </c>
      <c r="F755" s="4"/>
      <c r="G755" s="4" t="b">
        <f t="shared" si="11"/>
        <v>0</v>
      </c>
      <c r="H755" s="4"/>
      <c r="I755" s="4"/>
      <c r="J755" s="4" t="s">
        <v>98</v>
      </c>
    </row>
    <row r="756" spans="1:10" customFormat="1" ht="16" x14ac:dyDescent="0.2">
      <c r="A756" s="6" t="s">
        <v>1555</v>
      </c>
      <c r="B756" s="6" t="s">
        <v>1556</v>
      </c>
      <c r="C756" s="4" t="b">
        <v>1</v>
      </c>
      <c r="D756" s="4" t="b">
        <v>0</v>
      </c>
      <c r="E756" s="4" t="b">
        <v>1</v>
      </c>
      <c r="F756" s="4" t="s">
        <v>12</v>
      </c>
      <c r="G756" s="4" t="b">
        <f t="shared" si="11"/>
        <v>1</v>
      </c>
      <c r="H756" s="4" t="s">
        <v>3289</v>
      </c>
      <c r="I756" s="4"/>
      <c r="J756" s="4" t="s">
        <v>98</v>
      </c>
    </row>
    <row r="757" spans="1:10" customFormat="1" ht="16" hidden="1" x14ac:dyDescent="0.2">
      <c r="A757" s="6" t="s">
        <v>1557</v>
      </c>
      <c r="B757" s="6" t="s">
        <v>1558</v>
      </c>
      <c r="C757" s="4" t="b">
        <v>0</v>
      </c>
      <c r="D757" s="4" t="b">
        <v>0</v>
      </c>
      <c r="E757" s="4" t="b">
        <v>0</v>
      </c>
      <c r="F757" s="4"/>
      <c r="G757" s="4" t="b">
        <f t="shared" si="11"/>
        <v>0</v>
      </c>
      <c r="H757" s="4"/>
      <c r="I757" s="4"/>
      <c r="J757" s="4" t="s">
        <v>98</v>
      </c>
    </row>
    <row r="758" spans="1:10" customFormat="1" ht="16" hidden="1" x14ac:dyDescent="0.2">
      <c r="A758" s="6" t="s">
        <v>1559</v>
      </c>
      <c r="B758" s="6" t="s">
        <v>1560</v>
      </c>
      <c r="C758" s="4" t="b">
        <v>0</v>
      </c>
      <c r="D758" s="4" t="b">
        <v>0</v>
      </c>
      <c r="E758" s="4" t="b">
        <v>0</v>
      </c>
      <c r="F758" s="4"/>
      <c r="G758" s="4" t="b">
        <f t="shared" si="11"/>
        <v>0</v>
      </c>
      <c r="H758" s="4"/>
      <c r="I758" s="4"/>
      <c r="J758" s="4" t="s">
        <v>98</v>
      </c>
    </row>
    <row r="759" spans="1:10" customFormat="1" ht="16" hidden="1" x14ac:dyDescent="0.2">
      <c r="A759" s="6" t="s">
        <v>1561</v>
      </c>
      <c r="B759" s="6" t="s">
        <v>1562</v>
      </c>
      <c r="C759" s="4" t="b">
        <v>0</v>
      </c>
      <c r="D759" s="4" t="b">
        <v>0</v>
      </c>
      <c r="E759" s="4" t="b">
        <v>1</v>
      </c>
      <c r="F759" s="4"/>
      <c r="G759" s="4" t="b">
        <f t="shared" si="11"/>
        <v>0</v>
      </c>
      <c r="H759" s="4"/>
      <c r="I759" s="4"/>
      <c r="J759" s="4" t="s">
        <v>98</v>
      </c>
    </row>
    <row r="760" spans="1:10" customFormat="1" ht="48" x14ac:dyDescent="0.2">
      <c r="A760" s="6" t="s">
        <v>1563</v>
      </c>
      <c r="B760" s="6" t="s">
        <v>1564</v>
      </c>
      <c r="C760" s="4" t="b">
        <v>1</v>
      </c>
      <c r="D760" s="4" t="b">
        <v>1</v>
      </c>
      <c r="E760" s="4" t="b">
        <v>1</v>
      </c>
      <c r="F760" s="4" t="s">
        <v>12</v>
      </c>
      <c r="G760" s="4" t="b">
        <f t="shared" si="11"/>
        <v>1</v>
      </c>
      <c r="H760" s="4" t="s">
        <v>3288</v>
      </c>
      <c r="I760" s="4"/>
      <c r="J760" s="4" t="s">
        <v>98</v>
      </c>
    </row>
    <row r="761" spans="1:10" customFormat="1" ht="16" hidden="1" x14ac:dyDescent="0.2">
      <c r="A761" s="6" t="s">
        <v>1565</v>
      </c>
      <c r="B761" s="6" t="s">
        <v>1566</v>
      </c>
      <c r="C761" s="4" t="b">
        <v>0</v>
      </c>
      <c r="D761" s="4" t="b">
        <v>0</v>
      </c>
      <c r="E761" s="4" t="b">
        <v>0</v>
      </c>
      <c r="F761" s="4"/>
      <c r="G761" s="4" t="b">
        <f t="shared" si="11"/>
        <v>0</v>
      </c>
      <c r="H761" s="4"/>
      <c r="I761" s="4"/>
      <c r="J761" s="4" t="s">
        <v>98</v>
      </c>
    </row>
    <row r="762" spans="1:10" customFormat="1" ht="16" hidden="1" x14ac:dyDescent="0.2">
      <c r="A762" s="6" t="s">
        <v>1567</v>
      </c>
      <c r="B762" s="6" t="s">
        <v>1568</v>
      </c>
      <c r="C762" s="4" t="b">
        <v>0</v>
      </c>
      <c r="D762" s="4" t="b">
        <v>0</v>
      </c>
      <c r="E762" s="4" t="b">
        <v>0</v>
      </c>
      <c r="F762" s="4"/>
      <c r="G762" s="4" t="b">
        <f t="shared" si="11"/>
        <v>0</v>
      </c>
      <c r="H762" s="4"/>
      <c r="I762" s="4"/>
      <c r="J762" s="4" t="s">
        <v>98</v>
      </c>
    </row>
    <row r="763" spans="1:10" customFormat="1" ht="80" x14ac:dyDescent="0.2">
      <c r="A763" s="6" t="s">
        <v>1569</v>
      </c>
      <c r="B763" s="6" t="s">
        <v>1570</v>
      </c>
      <c r="C763" s="4" t="b">
        <v>1</v>
      </c>
      <c r="D763" s="4" t="b">
        <v>1</v>
      </c>
      <c r="E763" s="4" t="b">
        <v>1</v>
      </c>
      <c r="F763" s="4" t="s">
        <v>12</v>
      </c>
      <c r="G763" s="4" t="b">
        <f t="shared" si="11"/>
        <v>1</v>
      </c>
      <c r="H763" s="4" t="s">
        <v>3287</v>
      </c>
      <c r="I763" s="4"/>
      <c r="J763" s="4" t="s">
        <v>98</v>
      </c>
    </row>
    <row r="764" spans="1:10" customFormat="1" ht="16" hidden="1" x14ac:dyDescent="0.2">
      <c r="A764" s="6" t="s">
        <v>1571</v>
      </c>
      <c r="B764" s="6" t="s">
        <v>1572</v>
      </c>
      <c r="C764" s="4" t="b">
        <v>0</v>
      </c>
      <c r="D764" s="4" t="b">
        <v>0</v>
      </c>
      <c r="E764" s="4" t="b">
        <v>0</v>
      </c>
      <c r="F764" s="4"/>
      <c r="G764" s="4" t="b">
        <f t="shared" si="11"/>
        <v>0</v>
      </c>
      <c r="H764" s="4"/>
      <c r="I764" s="4"/>
      <c r="J764" s="4" t="s">
        <v>98</v>
      </c>
    </row>
    <row r="765" spans="1:10" customFormat="1" ht="16" x14ac:dyDescent="0.2">
      <c r="A765" s="6" t="s">
        <v>1573</v>
      </c>
      <c r="B765" s="6" t="s">
        <v>1574</v>
      </c>
      <c r="C765" s="4" t="b">
        <v>1</v>
      </c>
      <c r="D765" s="4" t="b">
        <v>0</v>
      </c>
      <c r="E765" s="4" t="b">
        <v>1</v>
      </c>
      <c r="F765" s="4" t="s">
        <v>12</v>
      </c>
      <c r="G765" s="4" t="b">
        <f t="shared" si="11"/>
        <v>1</v>
      </c>
      <c r="H765" s="4" t="s">
        <v>3286</v>
      </c>
      <c r="I765" s="4"/>
      <c r="J765" s="4" t="s">
        <v>98</v>
      </c>
    </row>
    <row r="766" spans="1:10" customFormat="1" ht="16" hidden="1" x14ac:dyDescent="0.2">
      <c r="A766" s="6" t="s">
        <v>1575</v>
      </c>
      <c r="B766" s="6" t="s">
        <v>1576</v>
      </c>
      <c r="C766" s="4" t="b">
        <v>0</v>
      </c>
      <c r="D766" s="4" t="b">
        <v>0</v>
      </c>
      <c r="E766" s="4" t="b">
        <v>0</v>
      </c>
      <c r="F766" s="4"/>
      <c r="G766" s="4" t="b">
        <f t="shared" si="11"/>
        <v>0</v>
      </c>
      <c r="H766" s="4"/>
      <c r="I766" s="4"/>
      <c r="J766" s="4" t="s">
        <v>98</v>
      </c>
    </row>
    <row r="767" spans="1:10" customFormat="1" ht="96" x14ac:dyDescent="0.2">
      <c r="A767" s="6" t="s">
        <v>1577</v>
      </c>
      <c r="B767" s="6" t="s">
        <v>1578</v>
      </c>
      <c r="C767" s="4" t="b">
        <v>1</v>
      </c>
      <c r="D767" s="4" t="b">
        <v>0</v>
      </c>
      <c r="E767" s="4" t="b">
        <v>1</v>
      </c>
      <c r="F767" s="4" t="s">
        <v>12</v>
      </c>
      <c r="G767" s="4" t="b">
        <f t="shared" si="11"/>
        <v>1</v>
      </c>
      <c r="H767" s="4" t="s">
        <v>3285</v>
      </c>
      <c r="I767" s="4"/>
      <c r="J767" s="4" t="s">
        <v>98</v>
      </c>
    </row>
    <row r="768" spans="1:10" customFormat="1" ht="16" hidden="1" x14ac:dyDescent="0.2">
      <c r="A768" s="6" t="s">
        <v>1579</v>
      </c>
      <c r="B768" s="6" t="s">
        <v>1580</v>
      </c>
      <c r="C768" s="4" t="b">
        <v>0</v>
      </c>
      <c r="D768" s="4" t="b">
        <v>0</v>
      </c>
      <c r="E768" s="4" t="b">
        <v>1</v>
      </c>
      <c r="F768" s="4"/>
      <c r="G768" s="4" t="b">
        <f t="shared" si="11"/>
        <v>0</v>
      </c>
      <c r="H768" s="4"/>
      <c r="I768" s="4"/>
      <c r="J768" s="4" t="s">
        <v>98</v>
      </c>
    </row>
    <row r="769" spans="1:10" customFormat="1" ht="16" hidden="1" x14ac:dyDescent="0.2">
      <c r="A769" s="6" t="s">
        <v>1581</v>
      </c>
      <c r="B769" s="6" t="s">
        <v>1582</v>
      </c>
      <c r="C769" s="4" t="b">
        <v>0</v>
      </c>
      <c r="D769" s="4" t="b">
        <v>0</v>
      </c>
      <c r="E769" s="4" t="b">
        <v>0</v>
      </c>
      <c r="F769" s="4"/>
      <c r="G769" s="4" t="b">
        <f t="shared" si="11"/>
        <v>0</v>
      </c>
      <c r="H769" s="4"/>
      <c r="I769" s="4"/>
      <c r="J769" s="4" t="s">
        <v>98</v>
      </c>
    </row>
    <row r="770" spans="1:10" customFormat="1" ht="32" x14ac:dyDescent="0.2">
      <c r="A770" s="6" t="s">
        <v>1583</v>
      </c>
      <c r="B770" s="6" t="s">
        <v>1584</v>
      </c>
      <c r="C770" s="4" t="b">
        <v>1</v>
      </c>
      <c r="D770" s="4" t="b">
        <v>0</v>
      </c>
      <c r="E770" s="4" t="b">
        <v>1</v>
      </c>
      <c r="F770" s="4" t="s">
        <v>12</v>
      </c>
      <c r="G770" s="4" t="b">
        <f t="shared" ref="G770:G833" si="12">IF(F770="✔", TRUE, FALSE)</f>
        <v>1</v>
      </c>
      <c r="H770" s="4" t="s">
        <v>3284</v>
      </c>
      <c r="I770" s="4"/>
      <c r="J770" s="4" t="s">
        <v>98</v>
      </c>
    </row>
    <row r="771" spans="1:10" customFormat="1" ht="16" hidden="1" x14ac:dyDescent="0.2">
      <c r="A771" s="6" t="s">
        <v>1585</v>
      </c>
      <c r="B771" s="6" t="s">
        <v>1586</v>
      </c>
      <c r="C771" s="4" t="b">
        <v>0</v>
      </c>
      <c r="D771" s="4" t="b">
        <v>0</v>
      </c>
      <c r="E771" s="4" t="b">
        <v>0</v>
      </c>
      <c r="F771" s="4"/>
      <c r="G771" s="4" t="b">
        <f t="shared" si="12"/>
        <v>0</v>
      </c>
      <c r="H771" s="4"/>
      <c r="I771" s="4"/>
      <c r="J771" s="4" t="s">
        <v>98</v>
      </c>
    </row>
    <row r="772" spans="1:10" customFormat="1" ht="16" hidden="1" x14ac:dyDescent="0.2">
      <c r="A772" s="6" t="s">
        <v>1587</v>
      </c>
      <c r="B772" s="6" t="s">
        <v>1588</v>
      </c>
      <c r="C772" s="4" t="b">
        <v>0</v>
      </c>
      <c r="D772" s="4" t="b">
        <v>0</v>
      </c>
      <c r="E772" s="4" t="b">
        <v>0</v>
      </c>
      <c r="F772" s="4"/>
      <c r="G772" s="4" t="b">
        <f t="shared" si="12"/>
        <v>0</v>
      </c>
      <c r="H772" s="4"/>
      <c r="I772" s="4"/>
      <c r="J772" s="4" t="s">
        <v>98</v>
      </c>
    </row>
    <row r="773" spans="1:10" customFormat="1" ht="16" hidden="1" x14ac:dyDescent="0.2">
      <c r="A773" s="6" t="s">
        <v>1589</v>
      </c>
      <c r="B773" s="6" t="s">
        <v>1590</v>
      </c>
      <c r="C773" s="4" t="b">
        <v>0</v>
      </c>
      <c r="D773" s="4" t="b">
        <v>0</v>
      </c>
      <c r="E773" s="4" t="b">
        <v>0</v>
      </c>
      <c r="F773" s="4"/>
      <c r="G773" s="4" t="b">
        <f t="shared" si="12"/>
        <v>0</v>
      </c>
      <c r="H773" s="4"/>
      <c r="I773" s="4"/>
      <c r="J773" s="4" t="s">
        <v>98</v>
      </c>
    </row>
    <row r="774" spans="1:10" customFormat="1" ht="16" hidden="1" x14ac:dyDescent="0.2">
      <c r="A774" s="6" t="s">
        <v>1591</v>
      </c>
      <c r="B774" s="6" t="s">
        <v>1592</v>
      </c>
      <c r="C774" s="4" t="b">
        <v>0</v>
      </c>
      <c r="D774" s="4" t="b">
        <v>0</v>
      </c>
      <c r="E774" s="4" t="b">
        <v>0</v>
      </c>
      <c r="F774" s="4"/>
      <c r="G774" s="4" t="b">
        <f t="shared" si="12"/>
        <v>0</v>
      </c>
      <c r="H774" s="4"/>
      <c r="I774" s="4"/>
      <c r="J774" s="4" t="s">
        <v>98</v>
      </c>
    </row>
    <row r="775" spans="1:10" customFormat="1" ht="16" hidden="1" x14ac:dyDescent="0.2">
      <c r="A775" s="6" t="s">
        <v>1593</v>
      </c>
      <c r="B775" s="6" t="s">
        <v>1594</v>
      </c>
      <c r="C775" s="4" t="b">
        <v>0</v>
      </c>
      <c r="D775" s="4" t="b">
        <v>0</v>
      </c>
      <c r="E775" s="4" t="b">
        <v>0</v>
      </c>
      <c r="F775" s="4"/>
      <c r="G775" s="4" t="b">
        <f t="shared" si="12"/>
        <v>0</v>
      </c>
      <c r="H775" s="4"/>
      <c r="I775" s="4"/>
      <c r="J775" s="4" t="s">
        <v>98</v>
      </c>
    </row>
    <row r="776" spans="1:10" customFormat="1" ht="32" x14ac:dyDescent="0.2">
      <c r="A776" s="6" t="s">
        <v>1595</v>
      </c>
      <c r="B776" s="6" t="s">
        <v>1596</v>
      </c>
      <c r="C776" s="4" t="b">
        <v>1</v>
      </c>
      <c r="D776" s="4" t="b">
        <v>0</v>
      </c>
      <c r="E776" s="4" t="b">
        <v>1</v>
      </c>
      <c r="F776" s="4" t="s">
        <v>12</v>
      </c>
      <c r="G776" s="4" t="b">
        <f t="shared" si="12"/>
        <v>1</v>
      </c>
      <c r="H776" s="4" t="s">
        <v>3283</v>
      </c>
      <c r="I776" s="4"/>
      <c r="J776" s="4" t="s">
        <v>98</v>
      </c>
    </row>
    <row r="777" spans="1:10" customFormat="1" ht="16" hidden="1" x14ac:dyDescent="0.2">
      <c r="A777" s="6" t="s">
        <v>1597</v>
      </c>
      <c r="B777" s="6" t="s">
        <v>1598</v>
      </c>
      <c r="C777" s="4" t="b">
        <v>0</v>
      </c>
      <c r="D777" s="4" t="b">
        <v>0</v>
      </c>
      <c r="E777" s="4" t="b">
        <v>0</v>
      </c>
      <c r="F777" s="4"/>
      <c r="G777" s="4" t="b">
        <f t="shared" si="12"/>
        <v>0</v>
      </c>
      <c r="H777" s="4"/>
      <c r="I777" s="4"/>
      <c r="J777" s="4" t="s">
        <v>98</v>
      </c>
    </row>
    <row r="778" spans="1:10" customFormat="1" ht="16" hidden="1" x14ac:dyDescent="0.2">
      <c r="A778" s="6" t="s">
        <v>1599</v>
      </c>
      <c r="B778" s="6" t="s">
        <v>1600</v>
      </c>
      <c r="C778" s="4" t="b">
        <v>0</v>
      </c>
      <c r="D778" s="4" t="b">
        <v>0</v>
      </c>
      <c r="E778" s="4" t="b">
        <v>1</v>
      </c>
      <c r="F778" s="4"/>
      <c r="G778" s="4" t="b">
        <f t="shared" si="12"/>
        <v>0</v>
      </c>
      <c r="H778" s="4"/>
      <c r="I778" s="4"/>
      <c r="J778" s="4" t="s">
        <v>98</v>
      </c>
    </row>
    <row r="779" spans="1:10" customFormat="1" ht="16" x14ac:dyDescent="0.2">
      <c r="A779" s="6" t="s">
        <v>1601</v>
      </c>
      <c r="B779" s="6" t="s">
        <v>1602</v>
      </c>
      <c r="C779" s="4" t="b">
        <v>1</v>
      </c>
      <c r="D779" s="4" t="b">
        <v>0</v>
      </c>
      <c r="E779" s="4" t="b">
        <v>1</v>
      </c>
      <c r="F779" s="4" t="s">
        <v>12</v>
      </c>
      <c r="G779" s="4" t="b">
        <f t="shared" si="12"/>
        <v>1</v>
      </c>
      <c r="H779" s="4" t="s">
        <v>3282</v>
      </c>
      <c r="I779" s="4"/>
      <c r="J779" s="4" t="s">
        <v>98</v>
      </c>
    </row>
    <row r="780" spans="1:10" customFormat="1" ht="96" x14ac:dyDescent="0.2">
      <c r="A780" s="6" t="s">
        <v>1603</v>
      </c>
      <c r="B780" s="6" t="s">
        <v>1604</v>
      </c>
      <c r="C780" s="4" t="b">
        <v>1</v>
      </c>
      <c r="D780" s="4" t="b">
        <v>0</v>
      </c>
      <c r="E780" s="4" t="b">
        <v>1</v>
      </c>
      <c r="F780" s="4" t="s">
        <v>12</v>
      </c>
      <c r="G780" s="4" t="b">
        <f t="shared" si="12"/>
        <v>1</v>
      </c>
      <c r="H780" s="4" t="s">
        <v>3281</v>
      </c>
      <c r="I780" s="4"/>
      <c r="J780" s="4" t="s">
        <v>98</v>
      </c>
    </row>
    <row r="781" spans="1:10" customFormat="1" ht="16" hidden="1" x14ac:dyDescent="0.2">
      <c r="A781" s="6" t="s">
        <v>1605</v>
      </c>
      <c r="B781" s="6" t="s">
        <v>1606</v>
      </c>
      <c r="C781" s="4" t="b">
        <v>0</v>
      </c>
      <c r="D781" s="4" t="b">
        <v>0</v>
      </c>
      <c r="E781" s="4" t="b">
        <v>0</v>
      </c>
      <c r="F781" s="4"/>
      <c r="G781" s="4" t="b">
        <f t="shared" si="12"/>
        <v>0</v>
      </c>
      <c r="H781" s="4"/>
      <c r="I781" s="4"/>
      <c r="J781" s="4" t="s">
        <v>98</v>
      </c>
    </row>
    <row r="782" spans="1:10" customFormat="1" ht="16" hidden="1" x14ac:dyDescent="0.2">
      <c r="A782" s="6" t="s">
        <v>1607</v>
      </c>
      <c r="B782" s="6" t="s">
        <v>1608</v>
      </c>
      <c r="C782" s="4" t="b">
        <v>0</v>
      </c>
      <c r="D782" s="4" t="b">
        <v>0</v>
      </c>
      <c r="E782" s="4" t="b">
        <v>0</v>
      </c>
      <c r="F782" s="4"/>
      <c r="G782" s="4" t="b">
        <f t="shared" si="12"/>
        <v>0</v>
      </c>
      <c r="H782" s="4"/>
      <c r="I782" s="4"/>
      <c r="J782" s="4" t="s">
        <v>98</v>
      </c>
    </row>
    <row r="783" spans="1:10" customFormat="1" ht="16" hidden="1" x14ac:dyDescent="0.2">
      <c r="A783" s="6" t="s">
        <v>1609</v>
      </c>
      <c r="B783" s="6" t="s">
        <v>1610</v>
      </c>
      <c r="C783" s="4" t="b">
        <v>0</v>
      </c>
      <c r="D783" s="4" t="b">
        <v>0</v>
      </c>
      <c r="E783" s="4" t="b">
        <v>0</v>
      </c>
      <c r="F783" s="4"/>
      <c r="G783" s="4" t="b">
        <f t="shared" si="12"/>
        <v>0</v>
      </c>
      <c r="H783" s="4"/>
      <c r="I783" s="4"/>
      <c r="J783" s="4" t="s">
        <v>98</v>
      </c>
    </row>
    <row r="784" spans="1:10" customFormat="1" ht="80" x14ac:dyDescent="0.2">
      <c r="A784" s="6" t="s">
        <v>1611</v>
      </c>
      <c r="B784" s="6" t="s">
        <v>1612</v>
      </c>
      <c r="C784" s="4" t="b">
        <v>1</v>
      </c>
      <c r="D784" s="4" t="b">
        <v>0</v>
      </c>
      <c r="E784" s="4" t="b">
        <v>1</v>
      </c>
      <c r="F784" s="4" t="s">
        <v>12</v>
      </c>
      <c r="G784" s="4" t="b">
        <f t="shared" si="12"/>
        <v>1</v>
      </c>
      <c r="H784" s="4" t="s">
        <v>3280</v>
      </c>
      <c r="I784" s="4"/>
      <c r="J784" s="4" t="s">
        <v>98</v>
      </c>
    </row>
    <row r="785" spans="1:10" customFormat="1" ht="16" hidden="1" x14ac:dyDescent="0.2">
      <c r="A785" s="6" t="s">
        <v>1613</v>
      </c>
      <c r="B785" s="6" t="s">
        <v>1614</v>
      </c>
      <c r="C785" s="4" t="b">
        <v>0</v>
      </c>
      <c r="D785" s="4" t="b">
        <v>0</v>
      </c>
      <c r="E785" s="4" t="b">
        <v>1</v>
      </c>
      <c r="F785" s="4" t="s">
        <v>12</v>
      </c>
      <c r="G785" s="4" t="b">
        <f t="shared" si="12"/>
        <v>1</v>
      </c>
      <c r="H785" s="4" t="s">
        <v>3279</v>
      </c>
      <c r="I785" s="4"/>
      <c r="J785" s="4" t="s">
        <v>98</v>
      </c>
    </row>
    <row r="786" spans="1:10" customFormat="1" ht="16" hidden="1" x14ac:dyDescent="0.2">
      <c r="A786" s="6" t="s">
        <v>1615</v>
      </c>
      <c r="B786" s="6" t="s">
        <v>1616</v>
      </c>
      <c r="C786" s="4" t="b">
        <v>0</v>
      </c>
      <c r="D786" s="4" t="b">
        <v>0</v>
      </c>
      <c r="E786" s="4" t="b">
        <v>0</v>
      </c>
      <c r="F786" s="4"/>
      <c r="G786" s="4" t="b">
        <f t="shared" si="12"/>
        <v>0</v>
      </c>
      <c r="H786" s="4"/>
      <c r="I786" s="4"/>
      <c r="J786" s="4" t="s">
        <v>98</v>
      </c>
    </row>
    <row r="787" spans="1:10" customFormat="1" ht="48" x14ac:dyDescent="0.2">
      <c r="A787" s="6" t="s">
        <v>1617</v>
      </c>
      <c r="B787" s="6" t="s">
        <v>1618</v>
      </c>
      <c r="C787" s="4" t="b">
        <v>1</v>
      </c>
      <c r="D787" s="4" t="b">
        <v>0</v>
      </c>
      <c r="E787" s="4" t="b">
        <v>1</v>
      </c>
      <c r="F787" s="4" t="s">
        <v>12</v>
      </c>
      <c r="G787" s="4" t="b">
        <f t="shared" si="12"/>
        <v>1</v>
      </c>
      <c r="H787" s="4" t="s">
        <v>3278</v>
      </c>
      <c r="I787" s="4"/>
      <c r="J787" s="4" t="s">
        <v>98</v>
      </c>
    </row>
    <row r="788" spans="1:10" customFormat="1" ht="16" hidden="1" x14ac:dyDescent="0.2">
      <c r="A788" s="6" t="s">
        <v>1619</v>
      </c>
      <c r="B788" s="6" t="s">
        <v>1620</v>
      </c>
      <c r="C788" s="4" t="b">
        <v>0</v>
      </c>
      <c r="D788" s="4" t="b">
        <v>0</v>
      </c>
      <c r="E788" s="4" t="b">
        <v>1</v>
      </c>
      <c r="F788" s="4"/>
      <c r="G788" s="4" t="b">
        <f t="shared" si="12"/>
        <v>0</v>
      </c>
      <c r="H788" s="4"/>
      <c r="I788" s="4"/>
      <c r="J788" s="4" t="s">
        <v>98</v>
      </c>
    </row>
    <row r="789" spans="1:10" customFormat="1" ht="16" hidden="1" x14ac:dyDescent="0.2">
      <c r="A789" s="6" t="s">
        <v>1621</v>
      </c>
      <c r="B789" s="6" t="s">
        <v>1622</v>
      </c>
      <c r="C789" s="4" t="b">
        <v>0</v>
      </c>
      <c r="D789" s="4" t="b">
        <v>0</v>
      </c>
      <c r="E789" s="4" t="b">
        <v>0</v>
      </c>
      <c r="F789" s="4"/>
      <c r="G789" s="4" t="b">
        <f t="shared" si="12"/>
        <v>0</v>
      </c>
      <c r="H789" s="4"/>
      <c r="I789" s="4"/>
      <c r="J789" s="4" t="s">
        <v>98</v>
      </c>
    </row>
    <row r="790" spans="1:10" customFormat="1" ht="32" x14ac:dyDescent="0.2">
      <c r="A790" s="6" t="s">
        <v>1623</v>
      </c>
      <c r="B790" s="6" t="s">
        <v>1624</v>
      </c>
      <c r="C790" s="4" t="b">
        <v>1</v>
      </c>
      <c r="D790" s="4" t="b">
        <v>1</v>
      </c>
      <c r="E790" s="4" t="b">
        <v>1</v>
      </c>
      <c r="F790" s="4" t="s">
        <v>12</v>
      </c>
      <c r="G790" s="4" t="b">
        <f t="shared" si="12"/>
        <v>1</v>
      </c>
      <c r="H790" s="4" t="s">
        <v>3277</v>
      </c>
      <c r="I790" s="4"/>
      <c r="J790" s="4" t="s">
        <v>98</v>
      </c>
    </row>
    <row r="791" spans="1:10" customFormat="1" ht="16" hidden="1" x14ac:dyDescent="0.2">
      <c r="A791" s="6" t="s">
        <v>1625</v>
      </c>
      <c r="B791" s="6" t="s">
        <v>1626</v>
      </c>
      <c r="C791" s="4" t="b">
        <v>0</v>
      </c>
      <c r="D791" s="4" t="b">
        <v>0</v>
      </c>
      <c r="E791" s="4" t="b">
        <v>1</v>
      </c>
      <c r="F791" s="4"/>
      <c r="G791" s="4" t="b">
        <f t="shared" si="12"/>
        <v>0</v>
      </c>
      <c r="H791" s="4"/>
      <c r="I791" s="4"/>
      <c r="J791" s="4" t="s">
        <v>98</v>
      </c>
    </row>
    <row r="792" spans="1:10" customFormat="1" ht="16" hidden="1" x14ac:dyDescent="0.2">
      <c r="A792" s="6" t="s">
        <v>1627</v>
      </c>
      <c r="B792" s="6" t="s">
        <v>1628</v>
      </c>
      <c r="C792" s="4" t="b">
        <v>0</v>
      </c>
      <c r="D792" s="4" t="b">
        <v>0</v>
      </c>
      <c r="E792" s="4" t="b">
        <v>0</v>
      </c>
      <c r="F792" s="4"/>
      <c r="G792" s="4" t="b">
        <f t="shared" si="12"/>
        <v>0</v>
      </c>
      <c r="H792" s="4"/>
      <c r="I792" s="4"/>
      <c r="J792" s="4" t="s">
        <v>98</v>
      </c>
    </row>
    <row r="793" spans="1:10" customFormat="1" ht="16" x14ac:dyDescent="0.2">
      <c r="A793" s="6" t="s">
        <v>1629</v>
      </c>
      <c r="B793" s="6" t="s">
        <v>1630</v>
      </c>
      <c r="C793" s="4" t="b">
        <v>1</v>
      </c>
      <c r="D793" s="4" t="b">
        <v>0</v>
      </c>
      <c r="E793" s="4" t="b">
        <v>1</v>
      </c>
      <c r="F793" s="4" t="s">
        <v>12</v>
      </c>
      <c r="G793" s="4" t="b">
        <f t="shared" si="12"/>
        <v>1</v>
      </c>
      <c r="H793" s="4" t="s">
        <v>3276</v>
      </c>
      <c r="I793" s="4"/>
      <c r="J793" s="4" t="s">
        <v>98</v>
      </c>
    </row>
    <row r="794" spans="1:10" customFormat="1" ht="16" hidden="1" x14ac:dyDescent="0.2">
      <c r="A794" s="6" t="s">
        <v>1631</v>
      </c>
      <c r="B794" s="6" t="s">
        <v>1632</v>
      </c>
      <c r="C794" s="4" t="b">
        <v>0</v>
      </c>
      <c r="D794" s="4" t="b">
        <v>0</v>
      </c>
      <c r="E794" s="4" t="b">
        <v>1</v>
      </c>
      <c r="F794" s="4"/>
      <c r="G794" s="4" t="b">
        <f t="shared" si="12"/>
        <v>0</v>
      </c>
      <c r="H794" s="4"/>
      <c r="I794" s="4"/>
      <c r="J794" s="4" t="s">
        <v>98</v>
      </c>
    </row>
    <row r="795" spans="1:10" customFormat="1" ht="16" hidden="1" x14ac:dyDescent="0.2">
      <c r="A795" s="6" t="s">
        <v>1633</v>
      </c>
      <c r="B795" s="6" t="s">
        <v>1634</v>
      </c>
      <c r="C795" s="4" t="b">
        <v>0</v>
      </c>
      <c r="D795" s="4" t="b">
        <v>0</v>
      </c>
      <c r="E795" s="4" t="b">
        <v>0</v>
      </c>
      <c r="F795" s="4"/>
      <c r="G795" s="4" t="b">
        <f t="shared" si="12"/>
        <v>0</v>
      </c>
      <c r="H795" s="4"/>
      <c r="I795" s="4"/>
      <c r="J795" s="4" t="s">
        <v>98</v>
      </c>
    </row>
    <row r="796" spans="1:10" customFormat="1" ht="80" x14ac:dyDescent="0.2">
      <c r="A796" s="6" t="s">
        <v>1635</v>
      </c>
      <c r="B796" s="6" t="s">
        <v>1636</v>
      </c>
      <c r="C796" s="4" t="b">
        <v>1</v>
      </c>
      <c r="D796" s="4" t="b">
        <v>1</v>
      </c>
      <c r="E796" s="4" t="b">
        <v>1</v>
      </c>
      <c r="F796" s="4" t="s">
        <v>12</v>
      </c>
      <c r="G796" s="4" t="b">
        <f t="shared" si="12"/>
        <v>1</v>
      </c>
      <c r="H796" s="4" t="s">
        <v>3275</v>
      </c>
      <c r="I796" s="4"/>
      <c r="J796" s="4" t="s">
        <v>98</v>
      </c>
    </row>
    <row r="797" spans="1:10" customFormat="1" ht="16" hidden="1" x14ac:dyDescent="0.2">
      <c r="A797" s="6" t="s">
        <v>1637</v>
      </c>
      <c r="B797" s="6" t="s">
        <v>1638</v>
      </c>
      <c r="C797" s="4" t="b">
        <v>0</v>
      </c>
      <c r="D797" s="4" t="b">
        <v>0</v>
      </c>
      <c r="E797" s="4" t="b">
        <v>1</v>
      </c>
      <c r="F797" s="4"/>
      <c r="G797" s="4" t="b">
        <f t="shared" si="12"/>
        <v>0</v>
      </c>
      <c r="H797" s="4"/>
      <c r="I797" s="4"/>
      <c r="J797" s="4" t="s">
        <v>98</v>
      </c>
    </row>
    <row r="798" spans="1:10" customFormat="1" ht="16" x14ac:dyDescent="0.2">
      <c r="A798" s="6" t="s">
        <v>1639</v>
      </c>
      <c r="B798" s="6" t="s">
        <v>1640</v>
      </c>
      <c r="C798" s="4" t="b">
        <v>1</v>
      </c>
      <c r="D798" s="4" t="b">
        <v>0</v>
      </c>
      <c r="E798" s="4" t="b">
        <v>1</v>
      </c>
      <c r="F798" s="4" t="s">
        <v>12</v>
      </c>
      <c r="G798" s="4" t="b">
        <f t="shared" si="12"/>
        <v>1</v>
      </c>
      <c r="H798" s="4" t="s">
        <v>3267</v>
      </c>
      <c r="I798" s="4"/>
      <c r="J798" s="4" t="s">
        <v>98</v>
      </c>
    </row>
    <row r="799" spans="1:10" customFormat="1" ht="32" x14ac:dyDescent="0.2">
      <c r="A799" s="6" t="s">
        <v>1641</v>
      </c>
      <c r="B799" s="6" t="s">
        <v>1642</v>
      </c>
      <c r="C799" s="4" t="b">
        <v>1</v>
      </c>
      <c r="D799" s="4" t="b">
        <v>0</v>
      </c>
      <c r="E799" s="4" t="b">
        <v>1</v>
      </c>
      <c r="F799" s="4" t="s">
        <v>12</v>
      </c>
      <c r="G799" s="4" t="b">
        <f t="shared" si="12"/>
        <v>1</v>
      </c>
      <c r="H799" s="4" t="s">
        <v>3274</v>
      </c>
      <c r="I799" s="4"/>
      <c r="J799" s="4" t="s">
        <v>98</v>
      </c>
    </row>
    <row r="800" spans="1:10" customFormat="1" ht="96" x14ac:dyDescent="0.2">
      <c r="A800" s="6" t="s">
        <v>1643</v>
      </c>
      <c r="B800" s="6" t="s">
        <v>1644</v>
      </c>
      <c r="C800" s="4" t="b">
        <v>1</v>
      </c>
      <c r="D800" s="4" t="b">
        <v>1</v>
      </c>
      <c r="E800" s="4" t="b">
        <v>1</v>
      </c>
      <c r="F800" s="4" t="s">
        <v>12</v>
      </c>
      <c r="G800" s="4" t="b">
        <f t="shared" si="12"/>
        <v>1</v>
      </c>
      <c r="H800" s="4" t="s">
        <v>3273</v>
      </c>
      <c r="I800" s="4"/>
      <c r="J800" s="4" t="s">
        <v>98</v>
      </c>
    </row>
    <row r="801" spans="1:11" ht="16" hidden="1" x14ac:dyDescent="0.2">
      <c r="A801" s="6" t="s">
        <v>1645</v>
      </c>
      <c r="B801" s="6" t="s">
        <v>1646</v>
      </c>
      <c r="C801" s="4" t="b">
        <v>0</v>
      </c>
      <c r="D801" s="4" t="b">
        <v>0</v>
      </c>
      <c r="E801" s="4" t="b">
        <v>0</v>
      </c>
      <c r="F801" s="4"/>
      <c r="G801" s="4" t="b">
        <f t="shared" si="12"/>
        <v>0</v>
      </c>
      <c r="H801" s="4"/>
      <c r="I801" s="4"/>
      <c r="J801" s="4" t="s">
        <v>98</v>
      </c>
      <c r="K801"/>
    </row>
    <row r="802" spans="1:11" ht="48" x14ac:dyDescent="0.2">
      <c r="A802" s="6" t="s">
        <v>1647</v>
      </c>
      <c r="B802" s="6" t="s">
        <v>1648</v>
      </c>
      <c r="C802" s="4" t="b">
        <v>1</v>
      </c>
      <c r="D802" s="4" t="b">
        <v>0</v>
      </c>
      <c r="E802" s="4" t="b">
        <v>1</v>
      </c>
      <c r="F802" s="4" t="s">
        <v>12</v>
      </c>
      <c r="G802" s="4" t="b">
        <f t="shared" si="12"/>
        <v>1</v>
      </c>
      <c r="H802" s="4" t="s">
        <v>3272</v>
      </c>
      <c r="I802" s="4"/>
      <c r="J802" s="4" t="s">
        <v>98</v>
      </c>
      <c r="K802"/>
    </row>
    <row r="803" spans="1:11" ht="16" x14ac:dyDescent="0.2">
      <c r="A803" s="6" t="s">
        <v>1649</v>
      </c>
      <c r="B803" s="6" t="s">
        <v>1650</v>
      </c>
      <c r="C803" s="4" t="b">
        <v>1</v>
      </c>
      <c r="D803" s="4" t="b">
        <v>0</v>
      </c>
      <c r="E803" s="4" t="b">
        <v>1</v>
      </c>
      <c r="F803" s="4" t="s">
        <v>12</v>
      </c>
      <c r="G803" s="4" t="b">
        <f t="shared" si="12"/>
        <v>1</v>
      </c>
      <c r="H803" s="4" t="s">
        <v>3271</v>
      </c>
      <c r="I803" s="4"/>
      <c r="J803" s="4" t="s">
        <v>98</v>
      </c>
      <c r="K803"/>
    </row>
    <row r="804" spans="1:11" ht="16" x14ac:dyDescent="0.2">
      <c r="A804" s="6" t="s">
        <v>1651</v>
      </c>
      <c r="B804" s="6" t="s">
        <v>1652</v>
      </c>
      <c r="C804" s="4" t="b">
        <v>1</v>
      </c>
      <c r="D804" s="4" t="b">
        <v>0</v>
      </c>
      <c r="E804" s="4" t="b">
        <v>1</v>
      </c>
      <c r="F804" s="4" t="s">
        <v>12</v>
      </c>
      <c r="G804" s="4" t="b">
        <f t="shared" si="12"/>
        <v>1</v>
      </c>
      <c r="H804" s="4" t="s">
        <v>3122</v>
      </c>
      <c r="I804" s="4"/>
      <c r="J804" s="4" t="s">
        <v>94</v>
      </c>
    </row>
    <row r="805" spans="1:11" ht="51" x14ac:dyDescent="0.25">
      <c r="A805" s="6" t="s">
        <v>1653</v>
      </c>
      <c r="B805" s="6" t="s">
        <v>1654</v>
      </c>
      <c r="C805" s="4" t="b">
        <v>1</v>
      </c>
      <c r="D805" s="4" t="b">
        <v>0</v>
      </c>
      <c r="E805" s="4" t="b">
        <v>1</v>
      </c>
      <c r="F805" s="4" t="s">
        <v>12</v>
      </c>
      <c r="G805" s="4" t="b">
        <f t="shared" si="12"/>
        <v>1</v>
      </c>
      <c r="H805" s="16" t="s">
        <v>3121</v>
      </c>
      <c r="I805" s="4"/>
      <c r="J805" s="4" t="s">
        <v>94</v>
      </c>
    </row>
    <row r="806" spans="1:11" ht="32" x14ac:dyDescent="0.2">
      <c r="A806" s="6" t="s">
        <v>1655</v>
      </c>
      <c r="B806" s="6" t="s">
        <v>1656</v>
      </c>
      <c r="C806" s="4" t="b">
        <v>1</v>
      </c>
      <c r="D806" s="4" t="b">
        <v>0</v>
      </c>
      <c r="E806" s="4" t="b">
        <v>1</v>
      </c>
      <c r="F806" s="4" t="s">
        <v>12</v>
      </c>
      <c r="G806" s="4" t="b">
        <f t="shared" si="12"/>
        <v>1</v>
      </c>
      <c r="H806" s="4" t="s">
        <v>3120</v>
      </c>
      <c r="I806" s="4"/>
      <c r="J806" s="4" t="s">
        <v>94</v>
      </c>
    </row>
    <row r="807" spans="1:11" ht="16" hidden="1" x14ac:dyDescent="0.2">
      <c r="A807" s="6" t="s">
        <v>1657</v>
      </c>
      <c r="B807" s="6" t="s">
        <v>1658</v>
      </c>
      <c r="C807" s="4" t="b">
        <v>0</v>
      </c>
      <c r="D807" s="4" t="b">
        <v>0</v>
      </c>
      <c r="E807" s="4" t="b">
        <v>0</v>
      </c>
      <c r="F807" s="4"/>
      <c r="G807" s="4" t="b">
        <f t="shared" si="12"/>
        <v>0</v>
      </c>
      <c r="H807" s="4"/>
      <c r="I807" s="4"/>
      <c r="J807" s="4" t="s">
        <v>94</v>
      </c>
      <c r="K807"/>
    </row>
    <row r="808" spans="1:11" ht="16" hidden="1" x14ac:dyDescent="0.2">
      <c r="A808" s="6" t="s">
        <v>1659</v>
      </c>
      <c r="B808" s="6" t="s">
        <v>1660</v>
      </c>
      <c r="C808" s="4" t="b">
        <v>0</v>
      </c>
      <c r="D808" s="4" t="b">
        <v>0</v>
      </c>
      <c r="E808" s="4" t="b">
        <v>1</v>
      </c>
      <c r="F808" s="4"/>
      <c r="G808" s="4" t="b">
        <f t="shared" si="12"/>
        <v>0</v>
      </c>
      <c r="H808" s="4"/>
      <c r="I808" s="4"/>
      <c r="J808" s="4" t="s">
        <v>94</v>
      </c>
      <c r="K808"/>
    </row>
    <row r="809" spans="1:11" ht="16" hidden="1" x14ac:dyDescent="0.2">
      <c r="A809" s="6" t="s">
        <v>1661</v>
      </c>
      <c r="B809" s="6" t="s">
        <v>1662</v>
      </c>
      <c r="C809" s="4" t="b">
        <v>0</v>
      </c>
      <c r="D809" s="4" t="b">
        <v>0</v>
      </c>
      <c r="E809" s="4" t="b">
        <v>0</v>
      </c>
      <c r="F809" s="4"/>
      <c r="G809" s="4" t="b">
        <f t="shared" si="12"/>
        <v>0</v>
      </c>
      <c r="H809" s="4"/>
      <c r="I809" s="4"/>
      <c r="J809" s="4" t="s">
        <v>94</v>
      </c>
      <c r="K809"/>
    </row>
    <row r="810" spans="1:11" ht="16" hidden="1" x14ac:dyDescent="0.2">
      <c r="A810" s="6" t="s">
        <v>1663</v>
      </c>
      <c r="B810" s="6" t="s">
        <v>1664</v>
      </c>
      <c r="C810" s="4" t="b">
        <v>0</v>
      </c>
      <c r="D810" s="4" t="b">
        <v>0</v>
      </c>
      <c r="E810" s="4" t="b">
        <v>0</v>
      </c>
      <c r="F810" s="4"/>
      <c r="G810" s="4" t="b">
        <f t="shared" si="12"/>
        <v>0</v>
      </c>
      <c r="H810" s="4"/>
      <c r="I810" s="4"/>
      <c r="J810" s="4" t="s">
        <v>94</v>
      </c>
      <c r="K810"/>
    </row>
    <row r="811" spans="1:11" ht="48" x14ac:dyDescent="0.2">
      <c r="A811" s="6" t="s">
        <v>1665</v>
      </c>
      <c r="B811" s="6" t="s">
        <v>1666</v>
      </c>
      <c r="C811" s="4" t="b">
        <v>1</v>
      </c>
      <c r="D811" s="4" t="b">
        <v>0</v>
      </c>
      <c r="E811" s="4" t="b">
        <v>1</v>
      </c>
      <c r="F811" s="4" t="s">
        <v>12</v>
      </c>
      <c r="G811" s="4" t="b">
        <f t="shared" si="12"/>
        <v>1</v>
      </c>
      <c r="H811" s="4" t="s">
        <v>3119</v>
      </c>
      <c r="I811" s="4"/>
      <c r="J811" s="4" t="s">
        <v>94</v>
      </c>
    </row>
    <row r="812" spans="1:11" ht="16" hidden="1" x14ac:dyDescent="0.2">
      <c r="A812" s="6" t="s">
        <v>1667</v>
      </c>
      <c r="B812" s="6" t="s">
        <v>1668</v>
      </c>
      <c r="C812" s="4" t="b">
        <v>0</v>
      </c>
      <c r="D812" s="4" t="b">
        <v>0</v>
      </c>
      <c r="E812" s="4" t="b">
        <v>0</v>
      </c>
      <c r="F812" s="4"/>
      <c r="G812" s="4" t="b">
        <f t="shared" si="12"/>
        <v>0</v>
      </c>
      <c r="H812" s="4"/>
      <c r="I812" s="4"/>
      <c r="J812" s="4" t="s">
        <v>94</v>
      </c>
      <c r="K812"/>
    </row>
    <row r="813" spans="1:11" ht="16" hidden="1" x14ac:dyDescent="0.2">
      <c r="A813" s="6" t="s">
        <v>1669</v>
      </c>
      <c r="B813" s="6" t="s">
        <v>1670</v>
      </c>
      <c r="C813" s="4" t="b">
        <v>0</v>
      </c>
      <c r="D813" s="4" t="b">
        <v>0</v>
      </c>
      <c r="E813" s="4" t="b">
        <v>0</v>
      </c>
      <c r="F813" s="4"/>
      <c r="G813" s="4" t="b">
        <f t="shared" si="12"/>
        <v>0</v>
      </c>
      <c r="H813" s="4"/>
      <c r="I813" s="4"/>
      <c r="J813" s="4" t="s">
        <v>94</v>
      </c>
      <c r="K813"/>
    </row>
    <row r="814" spans="1:11" ht="16" hidden="1" x14ac:dyDescent="0.2">
      <c r="A814" s="6" t="s">
        <v>1671</v>
      </c>
      <c r="B814" s="6" t="s">
        <v>1672</v>
      </c>
      <c r="C814" s="4" t="b">
        <v>0</v>
      </c>
      <c r="D814" s="4" t="b">
        <v>0</v>
      </c>
      <c r="E814" s="4" t="b">
        <v>1</v>
      </c>
      <c r="F814" s="4" t="s">
        <v>12</v>
      </c>
      <c r="G814" s="4" t="b">
        <f t="shared" si="12"/>
        <v>1</v>
      </c>
      <c r="H814" s="4" t="s">
        <v>3118</v>
      </c>
      <c r="I814" s="4"/>
      <c r="J814" s="4" t="s">
        <v>94</v>
      </c>
    </row>
    <row r="815" spans="1:11" ht="16" x14ac:dyDescent="0.2">
      <c r="A815" s="6" t="s">
        <v>1673</v>
      </c>
      <c r="B815" s="6" t="s">
        <v>1674</v>
      </c>
      <c r="C815" s="4" t="b">
        <v>1</v>
      </c>
      <c r="D815" s="4" t="b">
        <v>0</v>
      </c>
      <c r="E815" s="4" t="b">
        <v>1</v>
      </c>
      <c r="F815" s="4" t="s">
        <v>12</v>
      </c>
      <c r="G815" s="4" t="b">
        <f t="shared" si="12"/>
        <v>1</v>
      </c>
      <c r="H815" s="4"/>
      <c r="I815" s="4"/>
      <c r="J815" s="4" t="s">
        <v>94</v>
      </c>
    </row>
    <row r="816" spans="1:11" ht="64" x14ac:dyDescent="0.2">
      <c r="A816" s="6" t="s">
        <v>1675</v>
      </c>
      <c r="B816" s="6" t="s">
        <v>1676</v>
      </c>
      <c r="C816" s="4" t="b">
        <v>1</v>
      </c>
      <c r="D816" s="4" t="b">
        <v>1</v>
      </c>
      <c r="E816" s="4" t="b">
        <v>1</v>
      </c>
      <c r="F816" s="4" t="s">
        <v>12</v>
      </c>
      <c r="G816" s="4" t="b">
        <f t="shared" si="12"/>
        <v>1</v>
      </c>
      <c r="H816" s="4" t="s">
        <v>3117</v>
      </c>
      <c r="I816" s="4"/>
      <c r="J816" s="4" t="s">
        <v>94</v>
      </c>
    </row>
    <row r="817" spans="1:11" ht="16" hidden="1" x14ac:dyDescent="0.2">
      <c r="A817" s="6" t="s">
        <v>1677</v>
      </c>
      <c r="B817" s="6" t="s">
        <v>1678</v>
      </c>
      <c r="C817" s="4" t="b">
        <v>0</v>
      </c>
      <c r="D817" s="4" t="b">
        <v>0</v>
      </c>
      <c r="E817" s="4" t="b">
        <v>1</v>
      </c>
      <c r="F817" s="4"/>
      <c r="G817" s="4" t="b">
        <f t="shared" si="12"/>
        <v>0</v>
      </c>
      <c r="H817" s="4"/>
      <c r="I817" s="4"/>
      <c r="J817" s="4" t="s">
        <v>94</v>
      </c>
      <c r="K817"/>
    </row>
    <row r="818" spans="1:11" ht="80" x14ac:dyDescent="0.2">
      <c r="A818" s="6" t="s">
        <v>1679</v>
      </c>
      <c r="B818" s="6" t="s">
        <v>1680</v>
      </c>
      <c r="C818" s="4" t="b">
        <v>1</v>
      </c>
      <c r="D818" s="4" t="b">
        <v>1</v>
      </c>
      <c r="E818" s="4" t="b">
        <v>1</v>
      </c>
      <c r="F818" s="4" t="s">
        <v>12</v>
      </c>
      <c r="G818" s="4" t="b">
        <f t="shared" si="12"/>
        <v>1</v>
      </c>
      <c r="H818" s="4" t="s">
        <v>3116</v>
      </c>
      <c r="I818" s="4"/>
      <c r="J818" s="4" t="s">
        <v>94</v>
      </c>
    </row>
    <row r="819" spans="1:11" ht="16" hidden="1" x14ac:dyDescent="0.2">
      <c r="A819" s="6" t="s">
        <v>1681</v>
      </c>
      <c r="B819" s="6" t="s">
        <v>1682</v>
      </c>
      <c r="C819" s="4" t="b">
        <v>0</v>
      </c>
      <c r="D819" s="4" t="b">
        <v>0</v>
      </c>
      <c r="E819" s="4" t="b">
        <v>0</v>
      </c>
      <c r="F819" s="4"/>
      <c r="G819" s="4" t="b">
        <f t="shared" si="12"/>
        <v>0</v>
      </c>
      <c r="H819" s="4"/>
      <c r="I819" s="4"/>
      <c r="J819" s="4" t="s">
        <v>94</v>
      </c>
      <c r="K819"/>
    </row>
    <row r="820" spans="1:11" ht="16" hidden="1" x14ac:dyDescent="0.2">
      <c r="A820" s="6" t="s">
        <v>1683</v>
      </c>
      <c r="B820" s="6" t="s">
        <v>1684</v>
      </c>
      <c r="C820" s="4" t="b">
        <v>0</v>
      </c>
      <c r="D820" s="4" t="b">
        <v>0</v>
      </c>
      <c r="E820" s="4" t="b">
        <v>0</v>
      </c>
      <c r="F820" s="4"/>
      <c r="G820" s="4" t="b">
        <f t="shared" si="12"/>
        <v>0</v>
      </c>
      <c r="H820" s="4"/>
      <c r="I820" s="4"/>
      <c r="J820" s="4" t="s">
        <v>94</v>
      </c>
      <c r="K820"/>
    </row>
    <row r="821" spans="1:11" ht="16" hidden="1" x14ac:dyDescent="0.2">
      <c r="A821" s="6" t="s">
        <v>1685</v>
      </c>
      <c r="B821" s="6" t="s">
        <v>1686</v>
      </c>
      <c r="C821" s="4" t="b">
        <v>0</v>
      </c>
      <c r="D821" s="4" t="b">
        <v>0</v>
      </c>
      <c r="E821" s="4" t="b">
        <v>0</v>
      </c>
      <c r="F821" s="4"/>
      <c r="G821" s="4" t="b">
        <f t="shared" si="12"/>
        <v>0</v>
      </c>
      <c r="H821" s="4"/>
      <c r="I821" s="4"/>
      <c r="J821" s="4" t="s">
        <v>94</v>
      </c>
      <c r="K821"/>
    </row>
    <row r="822" spans="1:11" ht="32" hidden="1" x14ac:dyDescent="0.2">
      <c r="A822" s="6" t="s">
        <v>1687</v>
      </c>
      <c r="B822" s="6" t="s">
        <v>1688</v>
      </c>
      <c r="C822" s="4" t="b">
        <v>0</v>
      </c>
      <c r="D822" s="4" t="b">
        <v>0</v>
      </c>
      <c r="E822" s="4" t="b">
        <v>0</v>
      </c>
      <c r="F822" s="4" t="s">
        <v>12</v>
      </c>
      <c r="G822" s="4" t="b">
        <f t="shared" si="12"/>
        <v>1</v>
      </c>
      <c r="H822" s="4" t="s">
        <v>3115</v>
      </c>
      <c r="I822" s="4"/>
      <c r="J822" s="4" t="s">
        <v>94</v>
      </c>
    </row>
    <row r="823" spans="1:11" ht="64" x14ac:dyDescent="0.2">
      <c r="A823" s="6" t="s">
        <v>1689</v>
      </c>
      <c r="B823" s="6" t="s">
        <v>1690</v>
      </c>
      <c r="C823" s="4" t="b">
        <v>1</v>
      </c>
      <c r="D823" s="4" t="b">
        <v>0</v>
      </c>
      <c r="E823" s="4" t="b">
        <v>1</v>
      </c>
      <c r="F823" s="4" t="s">
        <v>12</v>
      </c>
      <c r="G823" s="4" t="b">
        <f t="shared" si="12"/>
        <v>1</v>
      </c>
      <c r="H823" s="4" t="s">
        <v>3114</v>
      </c>
      <c r="I823" s="4"/>
      <c r="J823" s="4" t="s">
        <v>94</v>
      </c>
    </row>
    <row r="824" spans="1:11" ht="16" hidden="1" x14ac:dyDescent="0.2">
      <c r="A824" s="6" t="s">
        <v>1691</v>
      </c>
      <c r="B824" s="6" t="s">
        <v>1692</v>
      </c>
      <c r="C824" s="4" t="b">
        <v>0</v>
      </c>
      <c r="D824" s="4" t="b">
        <v>0</v>
      </c>
      <c r="E824" s="4" t="b">
        <v>0</v>
      </c>
      <c r="F824" s="4"/>
      <c r="G824" s="4" t="b">
        <f t="shared" si="12"/>
        <v>0</v>
      </c>
      <c r="H824" s="4"/>
      <c r="I824" s="4"/>
      <c r="J824" s="4" t="s">
        <v>94</v>
      </c>
      <c r="K824"/>
    </row>
    <row r="825" spans="1:11" ht="16" hidden="1" x14ac:dyDescent="0.2">
      <c r="A825" s="6" t="s">
        <v>1693</v>
      </c>
      <c r="B825" s="6" t="s">
        <v>1694</v>
      </c>
      <c r="C825" s="4" t="b">
        <v>0</v>
      </c>
      <c r="D825" s="4" t="b">
        <v>0</v>
      </c>
      <c r="E825" s="4" t="b">
        <v>0</v>
      </c>
      <c r="F825" s="4"/>
      <c r="G825" s="4" t="b">
        <f t="shared" si="12"/>
        <v>0</v>
      </c>
      <c r="H825" s="4"/>
      <c r="I825" s="4"/>
      <c r="J825" s="4" t="s">
        <v>94</v>
      </c>
      <c r="K825"/>
    </row>
    <row r="826" spans="1:11" ht="16" hidden="1" x14ac:dyDescent="0.2">
      <c r="A826" s="6" t="s">
        <v>1695</v>
      </c>
      <c r="B826" s="6" t="s">
        <v>1696</v>
      </c>
      <c r="C826" s="4" t="b">
        <v>0</v>
      </c>
      <c r="D826" s="4" t="b">
        <v>0</v>
      </c>
      <c r="E826" s="4" t="b">
        <v>1</v>
      </c>
      <c r="F826" s="4"/>
      <c r="G826" s="4" t="b">
        <f t="shared" si="12"/>
        <v>0</v>
      </c>
      <c r="H826" s="4"/>
      <c r="I826" s="4"/>
      <c r="J826" s="4" t="s">
        <v>94</v>
      </c>
      <c r="K826"/>
    </row>
    <row r="827" spans="1:11" ht="16" hidden="1" x14ac:dyDescent="0.2">
      <c r="A827" s="6" t="s">
        <v>1697</v>
      </c>
      <c r="B827" s="6" t="s">
        <v>1698</v>
      </c>
      <c r="C827" s="4" t="b">
        <v>0</v>
      </c>
      <c r="D827" s="4" t="b">
        <v>0</v>
      </c>
      <c r="E827" s="4" t="b">
        <v>1</v>
      </c>
      <c r="F827" s="4"/>
      <c r="G827" s="4" t="b">
        <f t="shared" si="12"/>
        <v>0</v>
      </c>
      <c r="H827" s="4"/>
      <c r="I827" s="4"/>
      <c r="J827" s="4" t="s">
        <v>94</v>
      </c>
      <c r="K827"/>
    </row>
    <row r="828" spans="1:11" ht="80" x14ac:dyDescent="0.2">
      <c r="A828" s="6" t="s">
        <v>1699</v>
      </c>
      <c r="B828" s="6" t="s">
        <v>1700</v>
      </c>
      <c r="C828" s="4" t="b">
        <v>1</v>
      </c>
      <c r="D828" s="4" t="b">
        <v>0</v>
      </c>
      <c r="E828" s="4" t="b">
        <v>1</v>
      </c>
      <c r="F828" s="4" t="s">
        <v>12</v>
      </c>
      <c r="G828" s="4" t="b">
        <f t="shared" si="12"/>
        <v>1</v>
      </c>
      <c r="H828" s="1" t="s">
        <v>3113</v>
      </c>
      <c r="I828" s="4"/>
      <c r="J828" s="4" t="s">
        <v>94</v>
      </c>
      <c r="K828" s="1" t="s">
        <v>2998</v>
      </c>
    </row>
    <row r="829" spans="1:11" ht="32" x14ac:dyDescent="0.2">
      <c r="A829" s="6" t="s">
        <v>1701</v>
      </c>
      <c r="B829" s="6" t="s">
        <v>1702</v>
      </c>
      <c r="C829" s="4" t="b">
        <v>1</v>
      </c>
      <c r="D829" s="4" t="b">
        <v>0</v>
      </c>
      <c r="E829" s="4" t="b">
        <v>1</v>
      </c>
      <c r="F829" s="4" t="s">
        <v>12</v>
      </c>
      <c r="G829" s="4" t="b">
        <f t="shared" si="12"/>
        <v>1</v>
      </c>
      <c r="H829" s="4" t="s">
        <v>3112</v>
      </c>
      <c r="I829" s="4"/>
      <c r="J829" s="4" t="s">
        <v>94</v>
      </c>
    </row>
    <row r="830" spans="1:11" ht="16" hidden="1" x14ac:dyDescent="0.2">
      <c r="A830" s="6" t="s">
        <v>1703</v>
      </c>
      <c r="B830" s="6" t="s">
        <v>1704</v>
      </c>
      <c r="C830" s="4" t="b">
        <v>0</v>
      </c>
      <c r="D830" s="4" t="b">
        <v>0</v>
      </c>
      <c r="E830" s="4" t="b">
        <v>0</v>
      </c>
      <c r="F830" s="4"/>
      <c r="G830" s="4" t="b">
        <f t="shared" si="12"/>
        <v>0</v>
      </c>
      <c r="H830" s="4"/>
      <c r="I830" s="4"/>
      <c r="J830" s="4" t="s">
        <v>94</v>
      </c>
      <c r="K830"/>
    </row>
    <row r="831" spans="1:11" ht="32" x14ac:dyDescent="0.2">
      <c r="A831" s="6" t="s">
        <v>1705</v>
      </c>
      <c r="B831" s="6" t="s">
        <v>1706</v>
      </c>
      <c r="C831" s="4" t="b">
        <v>1</v>
      </c>
      <c r="D831" s="4" t="b">
        <v>0</v>
      </c>
      <c r="E831" s="4" t="b">
        <v>1</v>
      </c>
      <c r="F831" s="4" t="s">
        <v>12</v>
      </c>
      <c r="G831" s="4" t="b">
        <f t="shared" si="12"/>
        <v>1</v>
      </c>
      <c r="H831" s="4" t="s">
        <v>3111</v>
      </c>
      <c r="I831" s="4"/>
      <c r="J831" s="4" t="s">
        <v>94</v>
      </c>
      <c r="K831" s="1" t="s">
        <v>2998</v>
      </c>
    </row>
    <row r="832" spans="1:11" ht="32" x14ac:dyDescent="0.2">
      <c r="A832" s="6" t="s">
        <v>1707</v>
      </c>
      <c r="B832" s="6" t="s">
        <v>1708</v>
      </c>
      <c r="C832" s="4" t="b">
        <v>1</v>
      </c>
      <c r="D832" s="4" t="b">
        <v>0</v>
      </c>
      <c r="E832" s="4" t="b">
        <v>1</v>
      </c>
      <c r="F832" s="4" t="s">
        <v>12</v>
      </c>
      <c r="G832" s="4" t="b">
        <f t="shared" si="12"/>
        <v>1</v>
      </c>
      <c r="H832" s="4" t="s">
        <v>3110</v>
      </c>
      <c r="I832" s="4"/>
      <c r="J832" s="4" t="s">
        <v>94</v>
      </c>
    </row>
    <row r="833" spans="1:11" ht="16" hidden="1" x14ac:dyDescent="0.2">
      <c r="A833" s="6" t="s">
        <v>1709</v>
      </c>
      <c r="B833" s="6" t="s">
        <v>1710</v>
      </c>
      <c r="C833" s="4" t="b">
        <v>0</v>
      </c>
      <c r="D833" s="4" t="b">
        <v>0</v>
      </c>
      <c r="E833" s="4" t="b">
        <v>0</v>
      </c>
      <c r="F833" s="4"/>
      <c r="G833" s="4" t="b">
        <f t="shared" si="12"/>
        <v>0</v>
      </c>
      <c r="H833" s="4"/>
      <c r="I833" s="4"/>
      <c r="J833" s="4" t="s">
        <v>94</v>
      </c>
      <c r="K833"/>
    </row>
    <row r="834" spans="1:11" ht="16" hidden="1" x14ac:dyDescent="0.2">
      <c r="A834" s="6" t="s">
        <v>1711</v>
      </c>
      <c r="B834" s="6" t="s">
        <v>1712</v>
      </c>
      <c r="C834" s="4" t="b">
        <v>0</v>
      </c>
      <c r="D834" s="4" t="b">
        <v>0</v>
      </c>
      <c r="E834" s="4" t="b">
        <v>0</v>
      </c>
      <c r="F834" s="4"/>
      <c r="G834" s="4" t="b">
        <f t="shared" ref="G834:G897" si="13">IF(F834="✔", TRUE, FALSE)</f>
        <v>0</v>
      </c>
      <c r="H834" s="4"/>
      <c r="I834" s="4"/>
      <c r="J834" s="4" t="s">
        <v>94</v>
      </c>
      <c r="K834"/>
    </row>
    <row r="835" spans="1:11" ht="16" hidden="1" x14ac:dyDescent="0.2">
      <c r="A835" s="6" t="s">
        <v>1713</v>
      </c>
      <c r="B835" s="6" t="s">
        <v>1714</v>
      </c>
      <c r="C835" s="4" t="b">
        <v>0</v>
      </c>
      <c r="D835" s="4" t="b">
        <v>0</v>
      </c>
      <c r="E835" s="4" t="b">
        <v>0</v>
      </c>
      <c r="F835" s="4"/>
      <c r="G835" s="4" t="b">
        <f t="shared" si="13"/>
        <v>0</v>
      </c>
      <c r="H835" s="4"/>
      <c r="I835" s="4"/>
      <c r="J835" s="4" t="s">
        <v>94</v>
      </c>
      <c r="K835"/>
    </row>
    <row r="836" spans="1:11" ht="16" hidden="1" x14ac:dyDescent="0.2">
      <c r="A836" s="6" t="s">
        <v>1715</v>
      </c>
      <c r="B836" s="6" t="s">
        <v>1716</v>
      </c>
      <c r="C836" s="4" t="b">
        <v>0</v>
      </c>
      <c r="D836" s="4" t="b">
        <v>0</v>
      </c>
      <c r="E836" s="4" t="b">
        <v>0</v>
      </c>
      <c r="F836" s="4"/>
      <c r="G836" s="4" t="b">
        <f t="shared" si="13"/>
        <v>0</v>
      </c>
      <c r="H836" s="4"/>
      <c r="I836" s="4"/>
      <c r="J836" s="4" t="s">
        <v>94</v>
      </c>
      <c r="K836"/>
    </row>
    <row r="837" spans="1:11" ht="16" hidden="1" x14ac:dyDescent="0.2">
      <c r="A837" s="6" t="s">
        <v>1717</v>
      </c>
      <c r="B837" s="6" t="s">
        <v>1718</v>
      </c>
      <c r="C837" s="4" t="b">
        <v>0</v>
      </c>
      <c r="D837" s="4" t="b">
        <v>0</v>
      </c>
      <c r="E837" s="4" t="b">
        <v>0</v>
      </c>
      <c r="F837" s="4"/>
      <c r="G837" s="4" t="b">
        <f t="shared" si="13"/>
        <v>0</v>
      </c>
      <c r="H837" s="4"/>
      <c r="I837" s="4"/>
      <c r="J837" s="4" t="s">
        <v>94</v>
      </c>
      <c r="K837"/>
    </row>
    <row r="838" spans="1:11" ht="16" hidden="1" x14ac:dyDescent="0.2">
      <c r="A838" s="6" t="s">
        <v>1719</v>
      </c>
      <c r="B838" s="6" t="s">
        <v>1720</v>
      </c>
      <c r="C838" s="4" t="b">
        <v>0</v>
      </c>
      <c r="D838" s="4" t="b">
        <v>0</v>
      </c>
      <c r="E838" s="4" t="b">
        <v>0</v>
      </c>
      <c r="F838" s="4"/>
      <c r="G838" s="4" t="b">
        <f t="shared" si="13"/>
        <v>0</v>
      </c>
      <c r="H838" s="4"/>
      <c r="I838" s="4"/>
      <c r="J838" s="4" t="s">
        <v>94</v>
      </c>
      <c r="K838"/>
    </row>
    <row r="839" spans="1:11" ht="64" x14ac:dyDescent="0.2">
      <c r="A839" s="6" t="s">
        <v>1721</v>
      </c>
      <c r="B839" s="6" t="s">
        <v>1722</v>
      </c>
      <c r="C839" s="4" t="b">
        <v>1</v>
      </c>
      <c r="D839" s="4" t="b">
        <v>0</v>
      </c>
      <c r="E839" s="4" t="b">
        <v>1</v>
      </c>
      <c r="F839" s="4" t="s">
        <v>12</v>
      </c>
      <c r="G839" s="4" t="b">
        <f t="shared" si="13"/>
        <v>1</v>
      </c>
      <c r="H839" s="4" t="s">
        <v>3109</v>
      </c>
      <c r="I839" s="4"/>
      <c r="J839" s="4" t="s">
        <v>94</v>
      </c>
    </row>
    <row r="840" spans="1:11" ht="112" x14ac:dyDescent="0.2">
      <c r="A840" s="6" t="s">
        <v>1723</v>
      </c>
      <c r="B840" s="6" t="s">
        <v>1724</v>
      </c>
      <c r="C840" s="4" t="b">
        <v>1</v>
      </c>
      <c r="D840" s="4" t="b">
        <v>0</v>
      </c>
      <c r="E840" s="4" t="b">
        <v>1</v>
      </c>
      <c r="F840" s="4" t="s">
        <v>12</v>
      </c>
      <c r="G840" s="4" t="b">
        <f t="shared" si="13"/>
        <v>1</v>
      </c>
      <c r="H840" s="4" t="s">
        <v>3108</v>
      </c>
      <c r="I840" s="4"/>
      <c r="J840" s="4" t="s">
        <v>94</v>
      </c>
    </row>
    <row r="841" spans="1:11" ht="16" hidden="1" x14ac:dyDescent="0.2">
      <c r="A841" s="6" t="s">
        <v>1725</v>
      </c>
      <c r="B841" s="6" t="s">
        <v>1726</v>
      </c>
      <c r="C841" s="4" t="b">
        <v>0</v>
      </c>
      <c r="D841" s="4" t="b">
        <v>0</v>
      </c>
      <c r="E841" s="4" t="b">
        <v>0</v>
      </c>
      <c r="F841" s="4"/>
      <c r="G841" s="4" t="b">
        <f t="shared" si="13"/>
        <v>0</v>
      </c>
      <c r="H841" s="4"/>
      <c r="I841" s="4"/>
      <c r="J841" s="4" t="s">
        <v>94</v>
      </c>
      <c r="K841"/>
    </row>
    <row r="842" spans="1:11" ht="64" hidden="1" x14ac:dyDescent="0.2">
      <c r="A842" s="6" t="s">
        <v>1727</v>
      </c>
      <c r="B842" s="6" t="s">
        <v>1728</v>
      </c>
      <c r="C842" s="4" t="b">
        <v>0</v>
      </c>
      <c r="D842" s="4" t="b">
        <v>0</v>
      </c>
      <c r="E842" s="4" t="b">
        <v>0</v>
      </c>
      <c r="F842" s="4" t="s">
        <v>12</v>
      </c>
      <c r="G842" s="4" t="b">
        <f t="shared" si="13"/>
        <v>1</v>
      </c>
      <c r="H842" s="4" t="s">
        <v>3107</v>
      </c>
      <c r="I842" s="4"/>
      <c r="J842" s="4" t="s">
        <v>94</v>
      </c>
    </row>
    <row r="843" spans="1:11" ht="16" hidden="1" x14ac:dyDescent="0.2">
      <c r="A843" s="6" t="s">
        <v>1729</v>
      </c>
      <c r="B843" s="6" t="s">
        <v>1730</v>
      </c>
      <c r="C843" s="4" t="b">
        <v>0</v>
      </c>
      <c r="D843" s="4" t="b">
        <v>0</v>
      </c>
      <c r="E843" s="4" t="b">
        <v>0</v>
      </c>
      <c r="F843" s="4"/>
      <c r="G843" s="4" t="b">
        <f t="shared" si="13"/>
        <v>0</v>
      </c>
      <c r="H843" s="4"/>
      <c r="I843" s="4"/>
      <c r="J843" s="4" t="s">
        <v>94</v>
      </c>
      <c r="K843"/>
    </row>
    <row r="844" spans="1:11" ht="16" hidden="1" x14ac:dyDescent="0.2">
      <c r="A844" s="6" t="s">
        <v>1731</v>
      </c>
      <c r="B844" s="6" t="s">
        <v>1732</v>
      </c>
      <c r="C844" s="4" t="b">
        <v>0</v>
      </c>
      <c r="D844" s="4" t="b">
        <v>0</v>
      </c>
      <c r="E844" s="4" t="b">
        <v>0</v>
      </c>
      <c r="F844" s="4"/>
      <c r="G844" s="4" t="b">
        <f t="shared" si="13"/>
        <v>0</v>
      </c>
      <c r="H844" s="4"/>
      <c r="I844" s="4"/>
      <c r="J844" s="4" t="s">
        <v>94</v>
      </c>
      <c r="K844"/>
    </row>
    <row r="845" spans="1:11" ht="64" x14ac:dyDescent="0.2">
      <c r="A845" s="6" t="s">
        <v>1733</v>
      </c>
      <c r="B845" s="6" t="s">
        <v>1734</v>
      </c>
      <c r="C845" s="4" t="b">
        <v>1</v>
      </c>
      <c r="D845" s="4" t="b">
        <v>1</v>
      </c>
      <c r="E845" s="4" t="b">
        <v>1</v>
      </c>
      <c r="F845" s="4" t="s">
        <v>12</v>
      </c>
      <c r="G845" s="4" t="b">
        <f t="shared" si="13"/>
        <v>1</v>
      </c>
      <c r="H845" s="4" t="s">
        <v>3106</v>
      </c>
      <c r="I845" s="4"/>
      <c r="J845" s="4" t="s">
        <v>94</v>
      </c>
    </row>
    <row r="846" spans="1:11" ht="32" x14ac:dyDescent="0.2">
      <c r="A846" s="6" t="s">
        <v>1735</v>
      </c>
      <c r="B846" s="6" t="s">
        <v>1736</v>
      </c>
      <c r="C846" s="4" t="b">
        <v>1</v>
      </c>
      <c r="D846" s="4" t="b">
        <v>0</v>
      </c>
      <c r="E846" s="4" t="b">
        <v>1</v>
      </c>
      <c r="F846" s="4" t="s">
        <v>12</v>
      </c>
      <c r="G846" s="4" t="b">
        <f t="shared" si="13"/>
        <v>1</v>
      </c>
      <c r="H846" s="4" t="s">
        <v>3105</v>
      </c>
      <c r="I846" s="4"/>
      <c r="J846" s="4" t="s">
        <v>94</v>
      </c>
      <c r="K846" s="1" t="s">
        <v>2998</v>
      </c>
    </row>
    <row r="847" spans="1:11" ht="80" x14ac:dyDescent="0.2">
      <c r="A847" s="6" t="s">
        <v>1737</v>
      </c>
      <c r="B847" s="6" t="s">
        <v>1738</v>
      </c>
      <c r="C847" s="4" t="b">
        <v>1</v>
      </c>
      <c r="D847" s="4" t="b">
        <v>0</v>
      </c>
      <c r="E847" s="4" t="b">
        <v>1</v>
      </c>
      <c r="F847" s="4" t="s">
        <v>12</v>
      </c>
      <c r="G847" s="4" t="b">
        <f t="shared" si="13"/>
        <v>1</v>
      </c>
      <c r="H847" s="4" t="s">
        <v>3100</v>
      </c>
      <c r="I847" s="4"/>
      <c r="J847" s="4" t="s">
        <v>94</v>
      </c>
    </row>
    <row r="848" spans="1:11" ht="176" x14ac:dyDescent="0.2">
      <c r="A848" s="6" t="s">
        <v>1739</v>
      </c>
      <c r="B848" s="6" t="s">
        <v>1740</v>
      </c>
      <c r="C848" s="4" t="b">
        <v>1</v>
      </c>
      <c r="D848" s="4" t="b">
        <v>1</v>
      </c>
      <c r="E848" s="4" t="b">
        <v>1</v>
      </c>
      <c r="F848" s="4" t="s">
        <v>12</v>
      </c>
      <c r="G848" s="4" t="b">
        <f t="shared" si="13"/>
        <v>1</v>
      </c>
      <c r="H848" s="4" t="s">
        <v>3099</v>
      </c>
      <c r="I848" s="4"/>
      <c r="J848" s="4" t="s">
        <v>94</v>
      </c>
    </row>
    <row r="849" spans="1:11" ht="128" x14ac:dyDescent="0.2">
      <c r="A849" s="6" t="s">
        <v>1741</v>
      </c>
      <c r="B849" s="6" t="s">
        <v>1742</v>
      </c>
      <c r="C849" s="4" t="b">
        <v>1</v>
      </c>
      <c r="D849" s="4" t="b">
        <v>0</v>
      </c>
      <c r="E849" s="4" t="b">
        <v>1</v>
      </c>
      <c r="F849" s="4" t="s">
        <v>12</v>
      </c>
      <c r="G849" s="4" t="b">
        <f t="shared" si="13"/>
        <v>1</v>
      </c>
      <c r="H849" s="4" t="s">
        <v>3098</v>
      </c>
      <c r="I849" s="4"/>
      <c r="J849" s="4" t="s">
        <v>94</v>
      </c>
      <c r="K849" s="1" t="s">
        <v>2998</v>
      </c>
    </row>
    <row r="850" spans="1:11" ht="16" hidden="1" x14ac:dyDescent="0.2">
      <c r="A850" s="6" t="s">
        <v>1743</v>
      </c>
      <c r="B850" s="6" t="s">
        <v>1744</v>
      </c>
      <c r="C850" s="4" t="b">
        <v>0</v>
      </c>
      <c r="D850" s="4" t="b">
        <v>0</v>
      </c>
      <c r="E850" s="4" t="b">
        <v>1</v>
      </c>
      <c r="F850" s="4"/>
      <c r="G850" s="4" t="b">
        <f t="shared" si="13"/>
        <v>0</v>
      </c>
      <c r="H850" s="4"/>
      <c r="I850" s="4"/>
      <c r="J850" s="4" t="s">
        <v>94</v>
      </c>
      <c r="K850"/>
    </row>
    <row r="851" spans="1:11" ht="32" hidden="1" x14ac:dyDescent="0.2">
      <c r="A851" s="6" t="s">
        <v>1745</v>
      </c>
      <c r="B851" s="6" t="s">
        <v>1746</v>
      </c>
      <c r="C851" s="4" t="b">
        <v>0</v>
      </c>
      <c r="D851" s="4" t="b">
        <v>0</v>
      </c>
      <c r="E851" s="4" t="b">
        <v>1</v>
      </c>
      <c r="F851" s="4" t="s">
        <v>12</v>
      </c>
      <c r="G851" s="4" t="b">
        <f t="shared" si="13"/>
        <v>1</v>
      </c>
      <c r="H851" s="4" t="s">
        <v>3101</v>
      </c>
      <c r="I851" s="4"/>
      <c r="J851" s="4" t="s">
        <v>94</v>
      </c>
    </row>
    <row r="852" spans="1:11" ht="16" hidden="1" x14ac:dyDescent="0.2">
      <c r="A852" s="6" t="s">
        <v>1747</v>
      </c>
      <c r="B852" s="6" t="s">
        <v>1748</v>
      </c>
      <c r="C852" s="4" t="b">
        <v>0</v>
      </c>
      <c r="D852" s="4" t="b">
        <v>0</v>
      </c>
      <c r="E852" s="4" t="b">
        <v>0</v>
      </c>
      <c r="F852" s="4"/>
      <c r="G852" s="4" t="b">
        <f t="shared" si="13"/>
        <v>0</v>
      </c>
      <c r="H852" s="4"/>
      <c r="I852" s="4"/>
      <c r="J852" s="4" t="s">
        <v>94</v>
      </c>
      <c r="K852"/>
    </row>
    <row r="853" spans="1:11" ht="16" hidden="1" x14ac:dyDescent="0.2">
      <c r="A853" s="6" t="s">
        <v>1749</v>
      </c>
      <c r="B853" s="6" t="s">
        <v>1750</v>
      </c>
      <c r="C853" s="4" t="b">
        <v>0</v>
      </c>
      <c r="D853" s="4" t="b">
        <v>0</v>
      </c>
      <c r="E853" s="4" t="b">
        <v>0</v>
      </c>
      <c r="F853" s="4"/>
      <c r="G853" s="4" t="b">
        <f t="shared" si="13"/>
        <v>0</v>
      </c>
      <c r="H853" s="4"/>
      <c r="I853" s="4"/>
      <c r="J853" s="4" t="s">
        <v>94</v>
      </c>
      <c r="K853"/>
    </row>
    <row r="854" spans="1:11" ht="16" x14ac:dyDescent="0.2">
      <c r="A854" s="6" t="s">
        <v>1751</v>
      </c>
      <c r="B854" s="6" t="s">
        <v>1752</v>
      </c>
      <c r="C854" s="4" t="b">
        <v>1</v>
      </c>
      <c r="D854" s="4" t="b">
        <v>0</v>
      </c>
      <c r="E854" s="4" t="b">
        <v>1</v>
      </c>
      <c r="F854" s="4" t="s">
        <v>12</v>
      </c>
      <c r="G854" s="4" t="b">
        <f t="shared" si="13"/>
        <v>1</v>
      </c>
      <c r="H854" s="4" t="s">
        <v>3097</v>
      </c>
      <c r="I854" s="4"/>
      <c r="J854" s="4" t="s">
        <v>94</v>
      </c>
    </row>
    <row r="855" spans="1:11" ht="16" x14ac:dyDescent="0.2">
      <c r="A855" s="6" t="s">
        <v>1753</v>
      </c>
      <c r="B855" s="6" t="s">
        <v>1754</v>
      </c>
      <c r="C855" s="4" t="b">
        <v>1</v>
      </c>
      <c r="D855" s="4" t="b">
        <v>0</v>
      </c>
      <c r="E855" s="4" t="b">
        <v>1</v>
      </c>
      <c r="F855" s="4" t="s">
        <v>12</v>
      </c>
      <c r="G855" s="4" t="b">
        <f t="shared" si="13"/>
        <v>1</v>
      </c>
      <c r="H855" s="4"/>
      <c r="I855" s="4"/>
      <c r="J855" s="4" t="s">
        <v>94</v>
      </c>
    </row>
    <row r="856" spans="1:11" ht="16" hidden="1" x14ac:dyDescent="0.2">
      <c r="A856" s="6" t="s">
        <v>1755</v>
      </c>
      <c r="B856" s="6" t="s">
        <v>1756</v>
      </c>
      <c r="C856" s="4" t="b">
        <v>0</v>
      </c>
      <c r="D856" s="4" t="b">
        <v>0</v>
      </c>
      <c r="E856" s="4" t="b">
        <v>0</v>
      </c>
      <c r="F856" s="4"/>
      <c r="G856" s="4" t="b">
        <f t="shared" si="13"/>
        <v>0</v>
      </c>
      <c r="H856" s="4"/>
      <c r="I856" s="4"/>
      <c r="J856" s="4" t="s">
        <v>94</v>
      </c>
      <c r="K856"/>
    </row>
    <row r="857" spans="1:11" ht="64" x14ac:dyDescent="0.2">
      <c r="A857" s="6" t="s">
        <v>1757</v>
      </c>
      <c r="B857" s="6" t="s">
        <v>1758</v>
      </c>
      <c r="C857" s="4" t="b">
        <v>1</v>
      </c>
      <c r="D857" s="4" t="b">
        <v>0</v>
      </c>
      <c r="E857" s="4" t="b">
        <v>1</v>
      </c>
      <c r="F857" s="4" t="s">
        <v>12</v>
      </c>
      <c r="G857" s="4" t="b">
        <f t="shared" si="13"/>
        <v>1</v>
      </c>
      <c r="H857" s="4" t="s">
        <v>3096</v>
      </c>
      <c r="I857" s="4"/>
      <c r="J857" s="4" t="s">
        <v>94</v>
      </c>
    </row>
    <row r="858" spans="1:11" ht="16" hidden="1" x14ac:dyDescent="0.2">
      <c r="A858" s="6" t="s">
        <v>1759</v>
      </c>
      <c r="B858" s="6" t="s">
        <v>1760</v>
      </c>
      <c r="C858" s="4" t="b">
        <v>0</v>
      </c>
      <c r="D858" s="4" t="b">
        <v>0</v>
      </c>
      <c r="E858" s="4" t="b">
        <v>1</v>
      </c>
      <c r="F858" s="4"/>
      <c r="G858" s="4" t="b">
        <f t="shared" si="13"/>
        <v>0</v>
      </c>
      <c r="H858" s="4"/>
      <c r="I858" s="4"/>
      <c r="J858" s="4" t="s">
        <v>94</v>
      </c>
      <c r="K858"/>
    </row>
    <row r="859" spans="1:11" ht="144" x14ac:dyDescent="0.2">
      <c r="A859" s="6" t="s">
        <v>1761</v>
      </c>
      <c r="B859" s="6" t="s">
        <v>1762</v>
      </c>
      <c r="C859" s="4" t="b">
        <v>1</v>
      </c>
      <c r="D859" s="4" t="b">
        <v>1</v>
      </c>
      <c r="E859" s="4" t="b">
        <v>1</v>
      </c>
      <c r="F859" s="4" t="s">
        <v>12</v>
      </c>
      <c r="G859" s="4" t="b">
        <f t="shared" si="13"/>
        <v>1</v>
      </c>
      <c r="H859" s="4" t="s">
        <v>3072</v>
      </c>
      <c r="I859" s="4"/>
      <c r="J859" s="4" t="s">
        <v>94</v>
      </c>
    </row>
    <row r="860" spans="1:11" ht="64" x14ac:dyDescent="0.2">
      <c r="A860" s="6" t="s">
        <v>1763</v>
      </c>
      <c r="B860" s="6" t="s">
        <v>1764</v>
      </c>
      <c r="C860" s="4" t="b">
        <v>1</v>
      </c>
      <c r="D860" s="4" t="b">
        <v>1</v>
      </c>
      <c r="E860" s="4" t="b">
        <v>1</v>
      </c>
      <c r="F860" s="4" t="s">
        <v>12</v>
      </c>
      <c r="G860" s="4" t="b">
        <f t="shared" si="13"/>
        <v>1</v>
      </c>
      <c r="H860" s="4" t="s">
        <v>3071</v>
      </c>
      <c r="I860" s="4"/>
      <c r="J860" s="4" t="s">
        <v>94</v>
      </c>
    </row>
    <row r="861" spans="1:11" ht="16" hidden="1" x14ac:dyDescent="0.2">
      <c r="A861" s="6" t="s">
        <v>1765</v>
      </c>
      <c r="B861" s="6" t="s">
        <v>1766</v>
      </c>
      <c r="C861" s="4" t="b">
        <v>0</v>
      </c>
      <c r="D861" s="4" t="b">
        <v>0</v>
      </c>
      <c r="E861" s="4" t="b">
        <v>1</v>
      </c>
      <c r="F861" s="4"/>
      <c r="G861" s="4" t="b">
        <f t="shared" si="13"/>
        <v>0</v>
      </c>
      <c r="H861" s="4"/>
      <c r="I861" s="4"/>
      <c r="J861" s="4" t="s">
        <v>94</v>
      </c>
      <c r="K861"/>
    </row>
    <row r="862" spans="1:11" ht="16" hidden="1" x14ac:dyDescent="0.2">
      <c r="A862" s="6" t="s">
        <v>1767</v>
      </c>
      <c r="B862" s="6" t="s">
        <v>1768</v>
      </c>
      <c r="C862" s="4" t="b">
        <v>0</v>
      </c>
      <c r="D862" s="4" t="b">
        <v>0</v>
      </c>
      <c r="E862" s="4" t="b">
        <v>1</v>
      </c>
      <c r="F862" s="4"/>
      <c r="G862" s="4" t="b">
        <f t="shared" si="13"/>
        <v>0</v>
      </c>
      <c r="H862" s="4"/>
      <c r="I862" s="4"/>
      <c r="J862" s="4" t="s">
        <v>94</v>
      </c>
      <c r="K862"/>
    </row>
    <row r="863" spans="1:11" ht="16" hidden="1" x14ac:dyDescent="0.2">
      <c r="A863" s="6" t="s">
        <v>1769</v>
      </c>
      <c r="B863" s="6" t="s">
        <v>1770</v>
      </c>
      <c r="C863" s="4" t="b">
        <v>0</v>
      </c>
      <c r="D863" s="4" t="b">
        <v>0</v>
      </c>
      <c r="E863" s="4" t="b">
        <v>1</v>
      </c>
      <c r="F863" s="4"/>
      <c r="G863" s="4" t="b">
        <f t="shared" si="13"/>
        <v>0</v>
      </c>
      <c r="H863" s="4"/>
      <c r="I863" s="4"/>
      <c r="J863" s="4" t="s">
        <v>94</v>
      </c>
      <c r="K863"/>
    </row>
    <row r="864" spans="1:11" ht="32" x14ac:dyDescent="0.2">
      <c r="A864" s="6" t="s">
        <v>1771</v>
      </c>
      <c r="B864" s="6" t="s">
        <v>1772</v>
      </c>
      <c r="C864" s="4" t="b">
        <v>1</v>
      </c>
      <c r="D864" s="4" t="b">
        <v>0</v>
      </c>
      <c r="E864" s="4" t="b">
        <v>1</v>
      </c>
      <c r="F864" s="4" t="s">
        <v>12</v>
      </c>
      <c r="G864" s="4" t="b">
        <f t="shared" si="13"/>
        <v>1</v>
      </c>
      <c r="H864" s="4" t="s">
        <v>3070</v>
      </c>
      <c r="I864" s="4"/>
      <c r="J864" s="4" t="s">
        <v>94</v>
      </c>
    </row>
    <row r="865" spans="1:11" ht="16" x14ac:dyDescent="0.2">
      <c r="A865" s="6" t="s">
        <v>1773</v>
      </c>
      <c r="B865" s="6" t="s">
        <v>1774</v>
      </c>
      <c r="C865" s="4" t="b">
        <v>1</v>
      </c>
      <c r="D865" s="4" t="b">
        <v>0</v>
      </c>
      <c r="E865" s="4" t="b">
        <v>1</v>
      </c>
      <c r="F865" s="4" t="s">
        <v>12</v>
      </c>
      <c r="G865" s="4" t="b">
        <f t="shared" si="13"/>
        <v>1</v>
      </c>
      <c r="H865" s="4"/>
      <c r="I865" s="4"/>
      <c r="J865" s="4" t="s">
        <v>94</v>
      </c>
    </row>
    <row r="866" spans="1:11" ht="48" x14ac:dyDescent="0.2">
      <c r="A866" s="6" t="s">
        <v>1775</v>
      </c>
      <c r="B866" s="6" t="s">
        <v>1776</v>
      </c>
      <c r="C866" s="4" t="b">
        <v>1</v>
      </c>
      <c r="D866" s="4" t="b">
        <v>0</v>
      </c>
      <c r="E866" s="4" t="b">
        <v>1</v>
      </c>
      <c r="F866" s="4" t="s">
        <v>12</v>
      </c>
      <c r="G866" s="4" t="b">
        <f t="shared" si="13"/>
        <v>1</v>
      </c>
      <c r="H866" s="4" t="s">
        <v>3069</v>
      </c>
      <c r="I866" s="4"/>
      <c r="J866" s="4" t="s">
        <v>94</v>
      </c>
    </row>
    <row r="867" spans="1:11" ht="16" hidden="1" x14ac:dyDescent="0.2">
      <c r="A867" s="6" t="s">
        <v>1777</v>
      </c>
      <c r="B867" s="6" t="s">
        <v>1778</v>
      </c>
      <c r="C867" s="4" t="b">
        <v>0</v>
      </c>
      <c r="D867" s="4" t="b">
        <v>0</v>
      </c>
      <c r="E867" s="4" t="b">
        <v>1</v>
      </c>
      <c r="F867" s="4"/>
      <c r="G867" s="4" t="b">
        <f t="shared" si="13"/>
        <v>0</v>
      </c>
      <c r="H867" s="4"/>
      <c r="I867" s="4"/>
      <c r="J867" s="4" t="s">
        <v>94</v>
      </c>
      <c r="K867"/>
    </row>
    <row r="868" spans="1:11" ht="16" hidden="1" x14ac:dyDescent="0.2">
      <c r="A868" s="6" t="s">
        <v>1779</v>
      </c>
      <c r="B868" s="6" t="s">
        <v>1780</v>
      </c>
      <c r="C868" s="4" t="b">
        <v>0</v>
      </c>
      <c r="D868" s="4" t="b">
        <v>0</v>
      </c>
      <c r="E868" s="4" t="b">
        <v>1</v>
      </c>
      <c r="F868" s="4"/>
      <c r="G868" s="4" t="b">
        <f t="shared" si="13"/>
        <v>0</v>
      </c>
      <c r="H868" s="4"/>
      <c r="I868" s="4"/>
      <c r="J868" s="4" t="s">
        <v>94</v>
      </c>
      <c r="K868"/>
    </row>
    <row r="869" spans="1:11" ht="16" hidden="1" x14ac:dyDescent="0.2">
      <c r="A869" s="6" t="s">
        <v>1781</v>
      </c>
      <c r="B869" s="6" t="s">
        <v>1782</v>
      </c>
      <c r="C869" s="4" t="b">
        <v>0</v>
      </c>
      <c r="D869" s="4" t="b">
        <v>0</v>
      </c>
      <c r="E869" s="4" t="b">
        <v>1</v>
      </c>
      <c r="F869" s="4"/>
      <c r="G869" s="4" t="b">
        <f t="shared" si="13"/>
        <v>0</v>
      </c>
      <c r="H869" s="4"/>
      <c r="I869" s="4"/>
      <c r="J869" s="4" t="s">
        <v>94</v>
      </c>
      <c r="K869"/>
    </row>
    <row r="870" spans="1:11" ht="16" hidden="1" x14ac:dyDescent="0.2">
      <c r="A870" s="6" t="s">
        <v>1783</v>
      </c>
      <c r="B870" s="6" t="s">
        <v>1784</v>
      </c>
      <c r="C870" s="4" t="b">
        <v>0</v>
      </c>
      <c r="D870" s="4" t="b">
        <v>0</v>
      </c>
      <c r="E870" s="4" t="b">
        <v>0</v>
      </c>
      <c r="F870" s="4"/>
      <c r="G870" s="4" t="b">
        <f t="shared" si="13"/>
        <v>0</v>
      </c>
      <c r="H870" s="4"/>
      <c r="I870" s="4"/>
      <c r="J870" s="4" t="s">
        <v>94</v>
      </c>
      <c r="K870"/>
    </row>
    <row r="871" spans="1:11" ht="16" x14ac:dyDescent="0.2">
      <c r="A871" s="6" t="s">
        <v>1785</v>
      </c>
      <c r="B871" s="6" t="s">
        <v>1786</v>
      </c>
      <c r="C871" s="4" t="b">
        <v>1</v>
      </c>
      <c r="D871" s="4" t="b">
        <v>0</v>
      </c>
      <c r="E871" s="4" t="b">
        <v>1</v>
      </c>
      <c r="F871" s="4" t="s">
        <v>12</v>
      </c>
      <c r="G871" s="4" t="b">
        <f t="shared" si="13"/>
        <v>1</v>
      </c>
      <c r="H871" s="4"/>
      <c r="I871" s="4"/>
      <c r="J871" s="4" t="s">
        <v>1309</v>
      </c>
    </row>
    <row r="872" spans="1:11" ht="16" hidden="1" x14ac:dyDescent="0.2">
      <c r="A872" s="6" t="s">
        <v>1787</v>
      </c>
      <c r="B872" s="6" t="s">
        <v>1788</v>
      </c>
      <c r="C872" s="4" t="b">
        <v>0</v>
      </c>
      <c r="D872" s="4" t="b">
        <v>0</v>
      </c>
      <c r="E872" s="4" t="b">
        <v>0</v>
      </c>
      <c r="F872" s="4" t="s">
        <v>12</v>
      </c>
      <c r="G872" s="4" t="b">
        <f t="shared" si="13"/>
        <v>1</v>
      </c>
      <c r="H872" s="4"/>
      <c r="I872" s="4"/>
      <c r="J872" s="4" t="s">
        <v>1309</v>
      </c>
    </row>
    <row r="873" spans="1:11" ht="16" hidden="1" x14ac:dyDescent="0.2">
      <c r="A873" s="6" t="s">
        <v>1789</v>
      </c>
      <c r="B873" s="6" t="s">
        <v>1790</v>
      </c>
      <c r="C873" s="4" t="b">
        <v>0</v>
      </c>
      <c r="D873" s="4" t="b">
        <v>0</v>
      </c>
      <c r="E873" s="4" t="b">
        <v>0</v>
      </c>
      <c r="F873" s="4"/>
      <c r="G873" s="4" t="b">
        <f t="shared" si="13"/>
        <v>0</v>
      </c>
      <c r="H873" s="4"/>
      <c r="I873" s="4"/>
      <c r="J873" s="4" t="s">
        <v>1309</v>
      </c>
      <c r="K873"/>
    </row>
    <row r="874" spans="1:11" ht="16" hidden="1" x14ac:dyDescent="0.2">
      <c r="A874" s="6" t="s">
        <v>1791</v>
      </c>
      <c r="B874" s="6" t="s">
        <v>1792</v>
      </c>
      <c r="C874" s="4" t="b">
        <v>0</v>
      </c>
      <c r="D874" s="4" t="b">
        <v>0</v>
      </c>
      <c r="E874" s="4" t="b">
        <v>0</v>
      </c>
      <c r="F874" s="4"/>
      <c r="G874" s="4" t="b">
        <f t="shared" si="13"/>
        <v>0</v>
      </c>
      <c r="H874" s="4"/>
      <c r="I874" s="4"/>
      <c r="J874" s="4" t="s">
        <v>1309</v>
      </c>
      <c r="K874"/>
    </row>
    <row r="875" spans="1:11" ht="16" hidden="1" x14ac:dyDescent="0.2">
      <c r="A875" s="6" t="s">
        <v>1793</v>
      </c>
      <c r="B875" s="6" t="s">
        <v>1794</v>
      </c>
      <c r="C875" s="4" t="b">
        <v>0</v>
      </c>
      <c r="D875" s="4" t="b">
        <v>0</v>
      </c>
      <c r="E875" s="4" t="b">
        <v>0</v>
      </c>
      <c r="F875" s="4"/>
      <c r="G875" s="4" t="b">
        <f t="shared" si="13"/>
        <v>0</v>
      </c>
      <c r="H875" s="4"/>
      <c r="I875" s="4"/>
      <c r="J875" s="4" t="s">
        <v>1309</v>
      </c>
      <c r="K875"/>
    </row>
    <row r="876" spans="1:11" ht="32" hidden="1" x14ac:dyDescent="0.2">
      <c r="A876" s="6" t="s">
        <v>1795</v>
      </c>
      <c r="B876" s="6" t="s">
        <v>1796</v>
      </c>
      <c r="C876" s="4" t="b">
        <v>0</v>
      </c>
      <c r="D876" s="4" t="b">
        <v>0</v>
      </c>
      <c r="E876" s="4" t="b">
        <v>0</v>
      </c>
      <c r="F876" s="4" t="s">
        <v>12</v>
      </c>
      <c r="G876" s="4" t="b">
        <f t="shared" si="13"/>
        <v>1</v>
      </c>
      <c r="H876" s="4" t="s">
        <v>3068</v>
      </c>
      <c r="I876" s="4"/>
      <c r="J876" s="4" t="s">
        <v>1309</v>
      </c>
    </row>
    <row r="877" spans="1:11" ht="16" hidden="1" x14ac:dyDescent="0.2">
      <c r="A877" s="6" t="s">
        <v>1797</v>
      </c>
      <c r="B877" s="6" t="s">
        <v>1798</v>
      </c>
      <c r="C877" s="4" t="b">
        <v>0</v>
      </c>
      <c r="D877" s="4" t="b">
        <v>0</v>
      </c>
      <c r="E877" s="4" t="b">
        <v>1</v>
      </c>
      <c r="F877" s="4" t="s">
        <v>12</v>
      </c>
      <c r="G877" s="4" t="b">
        <f t="shared" si="13"/>
        <v>1</v>
      </c>
      <c r="H877" s="4" t="s">
        <v>3102</v>
      </c>
      <c r="I877" s="4"/>
      <c r="J877" s="4" t="s">
        <v>1309</v>
      </c>
    </row>
    <row r="878" spans="1:11" ht="16" hidden="1" x14ac:dyDescent="0.2">
      <c r="A878" s="6" t="s">
        <v>1799</v>
      </c>
      <c r="B878" s="6" t="s">
        <v>1800</v>
      </c>
      <c r="C878" s="4" t="b">
        <v>0</v>
      </c>
      <c r="D878" s="4" t="b">
        <v>0</v>
      </c>
      <c r="E878" s="4" t="b">
        <v>0</v>
      </c>
      <c r="F878" s="4" t="s">
        <v>12</v>
      </c>
      <c r="G878" s="4" t="b">
        <f t="shared" si="13"/>
        <v>1</v>
      </c>
      <c r="H878" s="4"/>
      <c r="I878" s="4"/>
      <c r="J878" s="4" t="s">
        <v>1309</v>
      </c>
    </row>
    <row r="879" spans="1:11" ht="144" x14ac:dyDescent="0.2">
      <c r="A879" s="6" t="s">
        <v>1801</v>
      </c>
      <c r="B879" s="6" t="s">
        <v>1802</v>
      </c>
      <c r="C879" s="4" t="b">
        <v>1</v>
      </c>
      <c r="D879" s="4" t="b">
        <v>0</v>
      </c>
      <c r="E879" s="4" t="b">
        <v>1</v>
      </c>
      <c r="F879" s="4" t="s">
        <v>12</v>
      </c>
      <c r="G879" s="4" t="b">
        <f t="shared" si="13"/>
        <v>1</v>
      </c>
      <c r="H879" s="4" t="s">
        <v>3067</v>
      </c>
      <c r="I879" s="4"/>
      <c r="J879" s="4" t="s">
        <v>1309</v>
      </c>
    </row>
    <row r="880" spans="1:11" ht="96" x14ac:dyDescent="0.2">
      <c r="A880" s="6" t="s">
        <v>1803</v>
      </c>
      <c r="B880" s="6" t="s">
        <v>1804</v>
      </c>
      <c r="C880" s="4" t="b">
        <v>1</v>
      </c>
      <c r="D880" s="4" t="b">
        <v>0</v>
      </c>
      <c r="E880" s="4" t="b">
        <v>1</v>
      </c>
      <c r="F880" s="4" t="s">
        <v>12</v>
      </c>
      <c r="G880" s="4" t="b">
        <f t="shared" si="13"/>
        <v>1</v>
      </c>
      <c r="H880" s="4" t="s">
        <v>3066</v>
      </c>
      <c r="I880" s="4"/>
      <c r="J880" s="4" t="s">
        <v>1309</v>
      </c>
    </row>
    <row r="881" spans="1:11" ht="48" hidden="1" x14ac:dyDescent="0.2">
      <c r="A881" s="6" t="s">
        <v>1805</v>
      </c>
      <c r="B881" s="6" t="s">
        <v>1806</v>
      </c>
      <c r="C881" s="4" t="b">
        <v>0</v>
      </c>
      <c r="D881" s="4" t="b">
        <v>0</v>
      </c>
      <c r="E881" s="4" t="b">
        <v>0</v>
      </c>
      <c r="F881" s="4" t="s">
        <v>12</v>
      </c>
      <c r="G881" s="4" t="b">
        <f t="shared" si="13"/>
        <v>1</v>
      </c>
      <c r="H881" s="4" t="s">
        <v>3103</v>
      </c>
      <c r="I881" s="4"/>
      <c r="J881" s="4" t="s">
        <v>1309</v>
      </c>
    </row>
    <row r="882" spans="1:11" ht="16" hidden="1" x14ac:dyDescent="0.2">
      <c r="A882" s="6" t="s">
        <v>1807</v>
      </c>
      <c r="B882" s="6" t="s">
        <v>1808</v>
      </c>
      <c r="C882" s="4" t="b">
        <v>0</v>
      </c>
      <c r="D882" s="4" t="b">
        <v>0</v>
      </c>
      <c r="E882" s="4" t="b">
        <v>0</v>
      </c>
      <c r="F882" s="4"/>
      <c r="G882" s="4" t="b">
        <f t="shared" si="13"/>
        <v>0</v>
      </c>
      <c r="H882" s="4"/>
      <c r="I882" s="4"/>
      <c r="J882" s="4" t="s">
        <v>1309</v>
      </c>
      <c r="K882"/>
    </row>
    <row r="883" spans="1:11" ht="16" hidden="1" x14ac:dyDescent="0.2">
      <c r="A883" s="6" t="s">
        <v>1809</v>
      </c>
      <c r="B883" s="6" t="s">
        <v>1810</v>
      </c>
      <c r="C883" s="4" t="b">
        <v>0</v>
      </c>
      <c r="D883" s="4" t="b">
        <v>0</v>
      </c>
      <c r="E883" s="4" t="b">
        <v>0</v>
      </c>
      <c r="F883" s="4"/>
      <c r="G883" s="4" t="b">
        <f t="shared" si="13"/>
        <v>0</v>
      </c>
      <c r="H883" s="4"/>
      <c r="I883" s="4"/>
      <c r="J883" s="4" t="s">
        <v>1309</v>
      </c>
      <c r="K883"/>
    </row>
    <row r="884" spans="1:11" ht="32" x14ac:dyDescent="0.2">
      <c r="A884" s="6" t="s">
        <v>1811</v>
      </c>
      <c r="B884" s="6" t="s">
        <v>1812</v>
      </c>
      <c r="C884" s="4" t="b">
        <v>1</v>
      </c>
      <c r="D884" s="4" t="b">
        <v>1</v>
      </c>
      <c r="E884" s="4" t="b">
        <v>1</v>
      </c>
      <c r="F884" s="4" t="s">
        <v>12</v>
      </c>
      <c r="G884" s="4" t="b">
        <f t="shared" si="13"/>
        <v>1</v>
      </c>
      <c r="H884" s="4" t="s">
        <v>3065</v>
      </c>
      <c r="I884" s="4"/>
      <c r="J884" s="4" t="s">
        <v>1336</v>
      </c>
    </row>
    <row r="885" spans="1:11" ht="32" hidden="1" x14ac:dyDescent="0.2">
      <c r="A885" s="6" t="s">
        <v>1813</v>
      </c>
      <c r="B885" s="6" t="s">
        <v>1814</v>
      </c>
      <c r="C885" s="4" t="b">
        <v>0</v>
      </c>
      <c r="D885" s="4" t="b">
        <v>0</v>
      </c>
      <c r="E885" s="4" t="b">
        <v>1</v>
      </c>
      <c r="F885" s="4"/>
      <c r="G885" s="4" t="b">
        <f t="shared" si="13"/>
        <v>0</v>
      </c>
      <c r="H885" s="4"/>
      <c r="I885" s="4"/>
      <c r="J885" s="4" t="s">
        <v>1336</v>
      </c>
      <c r="K885"/>
    </row>
    <row r="886" spans="1:11" ht="32" hidden="1" x14ac:dyDescent="0.2">
      <c r="A886" s="6" t="s">
        <v>1815</v>
      </c>
      <c r="B886" s="6" t="s">
        <v>1816</v>
      </c>
      <c r="C886" s="4" t="b">
        <v>0</v>
      </c>
      <c r="D886" s="4" t="b">
        <v>0</v>
      </c>
      <c r="E886" s="4" t="b">
        <v>1</v>
      </c>
      <c r="F886" s="4"/>
      <c r="G886" s="4" t="b">
        <f t="shared" si="13"/>
        <v>0</v>
      </c>
      <c r="H886" s="4"/>
      <c r="I886" s="4"/>
      <c r="J886" s="4" t="s">
        <v>1336</v>
      </c>
      <c r="K886"/>
    </row>
    <row r="887" spans="1:11" ht="144" x14ac:dyDescent="0.2">
      <c r="A887" s="6" t="s">
        <v>1817</v>
      </c>
      <c r="B887" s="6" t="s">
        <v>1818</v>
      </c>
      <c r="C887" s="4" t="b">
        <v>1</v>
      </c>
      <c r="D887" s="4" t="b">
        <v>0</v>
      </c>
      <c r="E887" s="4" t="b">
        <v>1</v>
      </c>
      <c r="F887" s="4" t="s">
        <v>12</v>
      </c>
      <c r="G887" s="4" t="b">
        <f t="shared" si="13"/>
        <v>1</v>
      </c>
      <c r="H887" s="4" t="s">
        <v>3064</v>
      </c>
      <c r="I887" s="4"/>
      <c r="J887" s="4" t="s">
        <v>621</v>
      </c>
    </row>
    <row r="888" spans="1:11" ht="16" hidden="1" x14ac:dyDescent="0.2">
      <c r="A888" s="6" t="s">
        <v>1819</v>
      </c>
      <c r="B888" s="6" t="s">
        <v>1820</v>
      </c>
      <c r="C888" s="4" t="b">
        <v>0</v>
      </c>
      <c r="D888" s="4" t="b">
        <v>0</v>
      </c>
      <c r="E888" s="4" t="b">
        <v>0</v>
      </c>
      <c r="F888" s="4"/>
      <c r="G888" s="4" t="b">
        <f t="shared" si="13"/>
        <v>0</v>
      </c>
      <c r="H888" s="4"/>
      <c r="I888" s="4"/>
      <c r="J888" s="4" t="s">
        <v>621</v>
      </c>
      <c r="K888"/>
    </row>
    <row r="889" spans="1:11" ht="16" hidden="1" x14ac:dyDescent="0.2">
      <c r="A889" s="6" t="s">
        <v>1821</v>
      </c>
      <c r="B889" s="6" t="s">
        <v>1822</v>
      </c>
      <c r="C889" s="4" t="b">
        <v>0</v>
      </c>
      <c r="D889" s="4" t="b">
        <v>0</v>
      </c>
      <c r="E889" s="4" t="b">
        <v>1</v>
      </c>
      <c r="F889" s="4"/>
      <c r="G889" s="4" t="b">
        <f t="shared" si="13"/>
        <v>0</v>
      </c>
      <c r="H889" s="4"/>
      <c r="I889" s="4"/>
      <c r="J889" s="4" t="s">
        <v>621</v>
      </c>
      <c r="K889"/>
    </row>
    <row r="890" spans="1:11" ht="16" hidden="1" x14ac:dyDescent="0.2">
      <c r="A890" s="6" t="s">
        <v>1823</v>
      </c>
      <c r="B890" s="6" t="s">
        <v>1824</v>
      </c>
      <c r="C890" s="4" t="b">
        <v>0</v>
      </c>
      <c r="D890" s="4" t="b">
        <v>0</v>
      </c>
      <c r="E890" s="4" t="b">
        <v>0</v>
      </c>
      <c r="F890" s="4"/>
      <c r="G890" s="4" t="b">
        <f t="shared" si="13"/>
        <v>0</v>
      </c>
      <c r="H890" s="4"/>
      <c r="I890" s="4"/>
      <c r="J890" s="4" t="s">
        <v>621</v>
      </c>
      <c r="K890"/>
    </row>
    <row r="891" spans="1:11" ht="16" hidden="1" x14ac:dyDescent="0.2">
      <c r="A891" s="6" t="s">
        <v>1825</v>
      </c>
      <c r="B891" s="6" t="s">
        <v>1826</v>
      </c>
      <c r="C891" s="4" t="b">
        <v>0</v>
      </c>
      <c r="D891" s="4" t="b">
        <v>0</v>
      </c>
      <c r="E891" s="4" t="b">
        <v>0</v>
      </c>
      <c r="F891" s="4"/>
      <c r="G891" s="4" t="b">
        <f t="shared" si="13"/>
        <v>0</v>
      </c>
      <c r="H891" s="4"/>
      <c r="I891" s="4"/>
      <c r="J891" s="4" t="s">
        <v>621</v>
      </c>
      <c r="K891"/>
    </row>
    <row r="892" spans="1:11" ht="48" hidden="1" x14ac:dyDescent="0.2">
      <c r="A892" s="6" t="s">
        <v>1827</v>
      </c>
      <c r="B892" s="6" t="s">
        <v>1828</v>
      </c>
      <c r="C892" s="4" t="b">
        <v>0</v>
      </c>
      <c r="D892" s="4" t="b">
        <v>1</v>
      </c>
      <c r="E892" s="4" t="b">
        <v>0</v>
      </c>
      <c r="F892" s="4" t="s">
        <v>12</v>
      </c>
      <c r="G892" s="4" t="b">
        <f t="shared" si="13"/>
        <v>1</v>
      </c>
      <c r="H892" s="4" t="s">
        <v>3063</v>
      </c>
      <c r="I892" s="4"/>
      <c r="J892" s="4" t="s">
        <v>621</v>
      </c>
    </row>
    <row r="893" spans="1:11" ht="16" hidden="1" x14ac:dyDescent="0.2">
      <c r="A893" s="6" t="s">
        <v>1829</v>
      </c>
      <c r="B893" s="6" t="s">
        <v>1830</v>
      </c>
      <c r="C893" s="4" t="b">
        <v>0</v>
      </c>
      <c r="D893" s="4" t="b">
        <v>0</v>
      </c>
      <c r="E893" s="4" t="b">
        <v>0</v>
      </c>
      <c r="F893" s="4"/>
      <c r="G893" s="4" t="b">
        <f t="shared" si="13"/>
        <v>0</v>
      </c>
      <c r="H893" s="4"/>
      <c r="I893" s="4"/>
      <c r="J893" s="4" t="s">
        <v>621</v>
      </c>
      <c r="K893"/>
    </row>
    <row r="894" spans="1:11" ht="16" hidden="1" x14ac:dyDescent="0.2">
      <c r="A894" s="6" t="s">
        <v>1831</v>
      </c>
      <c r="B894" s="6" t="s">
        <v>1832</v>
      </c>
      <c r="C894" s="4" t="b">
        <v>0</v>
      </c>
      <c r="D894" s="4" t="b">
        <v>0</v>
      </c>
      <c r="E894" s="4" t="b">
        <v>1</v>
      </c>
      <c r="F894" s="4"/>
      <c r="G894" s="4" t="b">
        <f t="shared" si="13"/>
        <v>0</v>
      </c>
      <c r="H894" s="4"/>
      <c r="I894" s="4"/>
      <c r="J894" s="4" t="s">
        <v>621</v>
      </c>
      <c r="K894"/>
    </row>
    <row r="895" spans="1:11" ht="16" hidden="1" x14ac:dyDescent="0.2">
      <c r="A895" s="6" t="s">
        <v>1833</v>
      </c>
      <c r="B895" s="6" t="s">
        <v>1834</v>
      </c>
      <c r="C895" s="4" t="b">
        <v>0</v>
      </c>
      <c r="D895" s="4" t="b">
        <v>0</v>
      </c>
      <c r="E895" s="4" t="b">
        <v>0</v>
      </c>
      <c r="F895" s="4"/>
      <c r="G895" s="4" t="b">
        <f t="shared" si="13"/>
        <v>0</v>
      </c>
      <c r="H895" s="4"/>
      <c r="I895" s="4"/>
      <c r="J895" s="4" t="s">
        <v>621</v>
      </c>
      <c r="K895"/>
    </row>
    <row r="896" spans="1:11" ht="16" hidden="1" x14ac:dyDescent="0.2">
      <c r="A896" s="6" t="s">
        <v>1835</v>
      </c>
      <c r="B896" s="6" t="s">
        <v>1836</v>
      </c>
      <c r="C896" s="4" t="b">
        <v>0</v>
      </c>
      <c r="D896" s="4" t="b">
        <v>0</v>
      </c>
      <c r="E896" s="4" t="b">
        <v>0</v>
      </c>
      <c r="F896" s="4"/>
      <c r="G896" s="4" t="b">
        <f t="shared" si="13"/>
        <v>0</v>
      </c>
      <c r="H896" s="4"/>
      <c r="I896" s="4"/>
      <c r="J896" s="4" t="s">
        <v>621</v>
      </c>
      <c r="K896"/>
    </row>
    <row r="897" spans="1:11" ht="32" x14ac:dyDescent="0.2">
      <c r="A897" s="6" t="s">
        <v>1837</v>
      </c>
      <c r="B897" s="6" t="s">
        <v>1838</v>
      </c>
      <c r="C897" s="4" t="b">
        <v>1</v>
      </c>
      <c r="D897" s="4" t="b">
        <v>0</v>
      </c>
      <c r="E897" s="4" t="b">
        <v>1</v>
      </c>
      <c r="F897" s="4" t="s">
        <v>12</v>
      </c>
      <c r="G897" s="4" t="b">
        <f t="shared" si="13"/>
        <v>1</v>
      </c>
      <c r="H897" s="4" t="s">
        <v>3062</v>
      </c>
      <c r="I897" s="4"/>
      <c r="J897" s="4" t="s">
        <v>621</v>
      </c>
    </row>
    <row r="898" spans="1:11" ht="16" x14ac:dyDescent="0.2">
      <c r="A898" s="6" t="s">
        <v>1839</v>
      </c>
      <c r="B898" s="6" t="s">
        <v>1840</v>
      </c>
      <c r="C898" s="4" t="b">
        <v>1</v>
      </c>
      <c r="D898" s="4" t="b">
        <v>0</v>
      </c>
      <c r="E898" s="4" t="b">
        <v>1</v>
      </c>
      <c r="F898" s="4" t="s">
        <v>12</v>
      </c>
      <c r="G898" s="4" t="b">
        <f t="shared" ref="G898:G961" si="14">IF(F898="✔", TRUE, FALSE)</f>
        <v>1</v>
      </c>
      <c r="H898" s="4" t="s">
        <v>3060</v>
      </c>
      <c r="I898" s="4"/>
      <c r="J898" s="4" t="s">
        <v>621</v>
      </c>
    </row>
    <row r="899" spans="1:11" ht="16" hidden="1" x14ac:dyDescent="0.2">
      <c r="A899" s="6" t="s">
        <v>1841</v>
      </c>
      <c r="B899" s="6" t="s">
        <v>1842</v>
      </c>
      <c r="C899" s="4" t="b">
        <v>0</v>
      </c>
      <c r="D899" s="4" t="b">
        <v>0</v>
      </c>
      <c r="E899" s="4" t="b">
        <v>1</v>
      </c>
      <c r="F899" s="4"/>
      <c r="G899" s="4" t="b">
        <f t="shared" si="14"/>
        <v>0</v>
      </c>
      <c r="H899" s="4"/>
      <c r="I899" s="4"/>
      <c r="J899" s="4" t="s">
        <v>621</v>
      </c>
      <c r="K899"/>
    </row>
    <row r="900" spans="1:11" ht="16" hidden="1" x14ac:dyDescent="0.2">
      <c r="A900" s="6" t="s">
        <v>1843</v>
      </c>
      <c r="B900" s="6" t="s">
        <v>1844</v>
      </c>
      <c r="C900" s="4" t="b">
        <v>0</v>
      </c>
      <c r="D900" s="4" t="b">
        <v>0</v>
      </c>
      <c r="E900" s="4" t="b">
        <v>1</v>
      </c>
      <c r="F900" s="4"/>
      <c r="G900" s="4" t="b">
        <f t="shared" si="14"/>
        <v>0</v>
      </c>
      <c r="H900" s="4"/>
      <c r="I900" s="4"/>
      <c r="J900" s="4" t="s">
        <v>621</v>
      </c>
      <c r="K900"/>
    </row>
    <row r="901" spans="1:11" ht="16" hidden="1" x14ac:dyDescent="0.2">
      <c r="A901" s="6" t="s">
        <v>1845</v>
      </c>
      <c r="B901" s="6" t="s">
        <v>1846</v>
      </c>
      <c r="C901" s="4" t="b">
        <v>0</v>
      </c>
      <c r="D901" s="4" t="b">
        <v>0</v>
      </c>
      <c r="E901" s="4" t="b">
        <v>0</v>
      </c>
      <c r="F901" s="4"/>
      <c r="G901" s="4" t="b">
        <f t="shared" si="14"/>
        <v>0</v>
      </c>
      <c r="H901" s="4"/>
      <c r="I901" s="4"/>
      <c r="J901" s="4" t="s">
        <v>621</v>
      </c>
      <c r="K901"/>
    </row>
    <row r="902" spans="1:11" ht="16" hidden="1" x14ac:dyDescent="0.2">
      <c r="A902" s="6" t="s">
        <v>1847</v>
      </c>
      <c r="B902" s="6" t="s">
        <v>1848</v>
      </c>
      <c r="C902" s="4" t="b">
        <v>0</v>
      </c>
      <c r="D902" s="4" t="b">
        <v>0</v>
      </c>
      <c r="E902" s="4" t="b">
        <v>0</v>
      </c>
      <c r="F902" s="4"/>
      <c r="G902" s="4" t="b">
        <f t="shared" si="14"/>
        <v>0</v>
      </c>
      <c r="H902" s="4"/>
      <c r="I902" s="4"/>
      <c r="J902" s="4" t="s">
        <v>621</v>
      </c>
      <c r="K902"/>
    </row>
    <row r="903" spans="1:11" ht="16" hidden="1" x14ac:dyDescent="0.2">
      <c r="A903" s="6" t="s">
        <v>1849</v>
      </c>
      <c r="B903" s="6" t="s">
        <v>1850</v>
      </c>
      <c r="C903" s="4" t="b">
        <v>0</v>
      </c>
      <c r="D903" s="4" t="b">
        <v>0</v>
      </c>
      <c r="E903" s="4" t="b">
        <v>1</v>
      </c>
      <c r="F903" s="4"/>
      <c r="G903" s="4" t="b">
        <f t="shared" si="14"/>
        <v>0</v>
      </c>
      <c r="H903" s="4"/>
      <c r="I903" s="4"/>
      <c r="J903" s="4" t="s">
        <v>621</v>
      </c>
      <c r="K903"/>
    </row>
    <row r="904" spans="1:11" ht="16" x14ac:dyDescent="0.2">
      <c r="A904" s="6" t="s">
        <v>1851</v>
      </c>
      <c r="B904" s="6" t="s">
        <v>1852</v>
      </c>
      <c r="C904" s="4" t="b">
        <v>1</v>
      </c>
      <c r="D904" s="4" t="b">
        <v>0</v>
      </c>
      <c r="E904" s="4" t="b">
        <v>1</v>
      </c>
      <c r="F904" s="4" t="s">
        <v>12</v>
      </c>
      <c r="G904" s="4" t="b">
        <f t="shared" si="14"/>
        <v>1</v>
      </c>
      <c r="H904" s="4" t="s">
        <v>3061</v>
      </c>
      <c r="I904" s="4"/>
      <c r="J904" s="4" t="s">
        <v>621</v>
      </c>
    </row>
    <row r="905" spans="1:11" ht="16" hidden="1" x14ac:dyDescent="0.2">
      <c r="A905" s="6" t="s">
        <v>1853</v>
      </c>
      <c r="B905" s="6" t="s">
        <v>1854</v>
      </c>
      <c r="C905" s="4" t="b">
        <v>0</v>
      </c>
      <c r="D905" s="4" t="b">
        <v>0</v>
      </c>
      <c r="E905" s="4" t="b">
        <v>0</v>
      </c>
      <c r="F905" s="4"/>
      <c r="G905" s="4" t="b">
        <f t="shared" si="14"/>
        <v>0</v>
      </c>
      <c r="H905" s="4"/>
      <c r="I905" s="4"/>
      <c r="J905" s="4" t="s">
        <v>621</v>
      </c>
      <c r="K905"/>
    </row>
    <row r="906" spans="1:11" ht="80" x14ac:dyDescent="0.2">
      <c r="A906" s="6" t="s">
        <v>1855</v>
      </c>
      <c r="B906" s="6" t="s">
        <v>1856</v>
      </c>
      <c r="C906" s="4" t="b">
        <v>1</v>
      </c>
      <c r="D906" s="4" t="b">
        <v>0</v>
      </c>
      <c r="E906" s="4" t="b">
        <v>1</v>
      </c>
      <c r="F906" s="4" t="s">
        <v>12</v>
      </c>
      <c r="G906" s="4" t="b">
        <f t="shared" si="14"/>
        <v>1</v>
      </c>
      <c r="H906" s="4" t="s">
        <v>3059</v>
      </c>
      <c r="I906" s="4"/>
      <c r="J906" s="4" t="s">
        <v>621</v>
      </c>
    </row>
    <row r="907" spans="1:11" ht="16" x14ac:dyDescent="0.2">
      <c r="A907" s="6" t="s">
        <v>1857</v>
      </c>
      <c r="B907" s="6" t="s">
        <v>1858</v>
      </c>
      <c r="C907" s="4" t="b">
        <v>1</v>
      </c>
      <c r="D907" s="4" t="b">
        <v>0</v>
      </c>
      <c r="E907" s="4" t="b">
        <v>1</v>
      </c>
      <c r="F907" s="4" t="s">
        <v>12</v>
      </c>
      <c r="G907" s="4" t="b">
        <f t="shared" si="14"/>
        <v>1</v>
      </c>
      <c r="H907" s="4"/>
      <c r="I907" s="4"/>
      <c r="J907" s="4" t="s">
        <v>621</v>
      </c>
    </row>
    <row r="908" spans="1:11" ht="16" hidden="1" x14ac:dyDescent="0.2">
      <c r="A908" s="6" t="s">
        <v>1859</v>
      </c>
      <c r="B908" s="6" t="s">
        <v>1860</v>
      </c>
      <c r="C908" s="4" t="b">
        <v>0</v>
      </c>
      <c r="D908" s="4" t="b">
        <v>0</v>
      </c>
      <c r="E908" s="4" t="b">
        <v>0</v>
      </c>
      <c r="F908" s="4"/>
      <c r="G908" s="4" t="b">
        <f t="shared" si="14"/>
        <v>0</v>
      </c>
      <c r="H908" s="4"/>
      <c r="I908" s="4"/>
      <c r="J908" s="4" t="s">
        <v>621</v>
      </c>
      <c r="K908"/>
    </row>
    <row r="909" spans="1:11" ht="16" hidden="1" x14ac:dyDescent="0.2">
      <c r="A909" s="6" t="s">
        <v>1861</v>
      </c>
      <c r="B909" s="6" t="s">
        <v>1862</v>
      </c>
      <c r="C909" s="4" t="b">
        <v>0</v>
      </c>
      <c r="D909" s="4" t="b">
        <v>0</v>
      </c>
      <c r="E909" s="4" t="b">
        <v>1</v>
      </c>
      <c r="F909" s="4"/>
      <c r="G909" s="4" t="b">
        <f t="shared" si="14"/>
        <v>0</v>
      </c>
      <c r="H909" s="4"/>
      <c r="I909" s="4"/>
      <c r="J909" s="4" t="s">
        <v>621</v>
      </c>
      <c r="K909"/>
    </row>
    <row r="910" spans="1:11" ht="16" hidden="1" x14ac:dyDescent="0.2">
      <c r="A910" s="6" t="s">
        <v>1863</v>
      </c>
      <c r="B910" s="6" t="s">
        <v>1864</v>
      </c>
      <c r="C910" s="4" t="b">
        <v>0</v>
      </c>
      <c r="D910" s="4" t="b">
        <v>0</v>
      </c>
      <c r="E910" s="4" t="b">
        <v>1</v>
      </c>
      <c r="F910" s="4"/>
      <c r="G910" s="4" t="b">
        <f t="shared" si="14"/>
        <v>0</v>
      </c>
      <c r="H910" s="4"/>
      <c r="I910" s="4"/>
      <c r="J910" s="4" t="s">
        <v>621</v>
      </c>
      <c r="K910"/>
    </row>
    <row r="911" spans="1:11" ht="16" hidden="1" x14ac:dyDescent="0.2">
      <c r="A911" s="6" t="s">
        <v>1865</v>
      </c>
      <c r="B911" s="6" t="s">
        <v>1866</v>
      </c>
      <c r="C911" s="4" t="b">
        <v>0</v>
      </c>
      <c r="D911" s="4" t="b">
        <v>0</v>
      </c>
      <c r="E911" s="4" t="b">
        <v>0</v>
      </c>
      <c r="F911" s="4"/>
      <c r="G911" s="4" t="b">
        <f t="shared" si="14"/>
        <v>0</v>
      </c>
      <c r="H911" s="4"/>
      <c r="I911" s="4"/>
      <c r="J911" s="4" t="s">
        <v>621</v>
      </c>
      <c r="K911"/>
    </row>
    <row r="912" spans="1:11" ht="32" x14ac:dyDescent="0.2">
      <c r="A912" s="6" t="s">
        <v>1867</v>
      </c>
      <c r="B912" s="6" t="s">
        <v>1868</v>
      </c>
      <c r="C912" s="4" t="b">
        <v>1</v>
      </c>
      <c r="D912" s="4" t="b">
        <v>0</v>
      </c>
      <c r="E912" s="4" t="b">
        <v>1</v>
      </c>
      <c r="F912" s="4" t="s">
        <v>12</v>
      </c>
      <c r="G912" s="4" t="b">
        <f t="shared" si="14"/>
        <v>1</v>
      </c>
      <c r="H912" s="4" t="s">
        <v>3058</v>
      </c>
      <c r="I912" s="4"/>
      <c r="J912" s="4" t="s">
        <v>621</v>
      </c>
    </row>
    <row r="913" spans="1:11" ht="16" hidden="1" x14ac:dyDescent="0.2">
      <c r="A913" s="6" t="s">
        <v>1869</v>
      </c>
      <c r="B913" s="6" t="s">
        <v>1870</v>
      </c>
      <c r="C913" s="4" t="b">
        <v>0</v>
      </c>
      <c r="D913" s="4" t="b">
        <v>0</v>
      </c>
      <c r="E913" s="4" t="b">
        <v>0</v>
      </c>
      <c r="F913" s="4"/>
      <c r="G913" s="4" t="b">
        <f t="shared" si="14"/>
        <v>0</v>
      </c>
      <c r="H913" s="4"/>
      <c r="I913" s="4"/>
      <c r="J913" s="4" t="s">
        <v>621</v>
      </c>
      <c r="K913"/>
    </row>
    <row r="914" spans="1:11" ht="16" hidden="1" x14ac:dyDescent="0.2">
      <c r="A914" s="6" t="s">
        <v>1871</v>
      </c>
      <c r="B914" s="6" t="s">
        <v>1872</v>
      </c>
      <c r="C914" s="4" t="b">
        <v>0</v>
      </c>
      <c r="D914" s="4" t="b">
        <v>0</v>
      </c>
      <c r="E914" s="4" t="b">
        <v>1</v>
      </c>
      <c r="F914" s="4"/>
      <c r="G914" s="4" t="b">
        <f t="shared" si="14"/>
        <v>0</v>
      </c>
      <c r="H914" s="4"/>
      <c r="I914" s="4"/>
      <c r="J914" s="4" t="s">
        <v>621</v>
      </c>
      <c r="K914"/>
    </row>
    <row r="915" spans="1:11" ht="16" hidden="1" x14ac:dyDescent="0.2">
      <c r="A915" s="6" t="s">
        <v>1873</v>
      </c>
      <c r="B915" s="6" t="s">
        <v>1874</v>
      </c>
      <c r="C915" s="4" t="b">
        <v>0</v>
      </c>
      <c r="D915" s="4" t="b">
        <v>0</v>
      </c>
      <c r="E915" s="4" t="b">
        <v>0</v>
      </c>
      <c r="F915" s="4"/>
      <c r="G915" s="4" t="b">
        <f t="shared" si="14"/>
        <v>0</v>
      </c>
      <c r="H915" s="4"/>
      <c r="I915" s="4"/>
      <c r="J915" s="4" t="s">
        <v>621</v>
      </c>
      <c r="K915"/>
    </row>
    <row r="916" spans="1:11" ht="80" x14ac:dyDescent="0.2">
      <c r="A916" s="6" t="s">
        <v>1875</v>
      </c>
      <c r="B916" s="6" t="s">
        <v>1876</v>
      </c>
      <c r="C916" s="4" t="b">
        <v>1</v>
      </c>
      <c r="D916" s="4" t="b">
        <v>0</v>
      </c>
      <c r="E916" s="4" t="b">
        <v>1</v>
      </c>
      <c r="F916" s="4" t="s">
        <v>12</v>
      </c>
      <c r="G916" s="4" t="b">
        <f t="shared" si="14"/>
        <v>1</v>
      </c>
      <c r="H916" s="4" t="s">
        <v>3057</v>
      </c>
      <c r="I916" s="4"/>
      <c r="J916" s="4" t="s">
        <v>621</v>
      </c>
    </row>
    <row r="917" spans="1:11" ht="16" x14ac:dyDescent="0.2">
      <c r="A917" s="6" t="s">
        <v>1877</v>
      </c>
      <c r="B917" s="6" t="s">
        <v>1878</v>
      </c>
      <c r="C917" s="4" t="b">
        <v>1</v>
      </c>
      <c r="D917" s="4" t="b">
        <v>0</v>
      </c>
      <c r="E917" s="4" t="b">
        <v>1</v>
      </c>
      <c r="F917" s="4" t="s">
        <v>12</v>
      </c>
      <c r="G917" s="4" t="b">
        <f t="shared" si="14"/>
        <v>1</v>
      </c>
      <c r="H917" s="4"/>
      <c r="I917" s="4"/>
      <c r="J917" s="4" t="s">
        <v>621</v>
      </c>
    </row>
    <row r="918" spans="1:11" ht="16" hidden="1" x14ac:dyDescent="0.2">
      <c r="A918" s="6" t="s">
        <v>1879</v>
      </c>
      <c r="B918" s="6" t="s">
        <v>1880</v>
      </c>
      <c r="C918" s="4" t="b">
        <v>0</v>
      </c>
      <c r="D918" s="4" t="b">
        <v>0</v>
      </c>
      <c r="E918" s="4" t="b">
        <v>0</v>
      </c>
      <c r="F918" s="4"/>
      <c r="G918" s="4" t="b">
        <f t="shared" si="14"/>
        <v>0</v>
      </c>
      <c r="H918" s="4"/>
      <c r="I918" s="4"/>
      <c r="J918" s="4" t="s">
        <v>621</v>
      </c>
      <c r="K918"/>
    </row>
    <row r="919" spans="1:11" ht="112" x14ac:dyDescent="0.2">
      <c r="A919" s="6" t="s">
        <v>1881</v>
      </c>
      <c r="B919" s="6" t="s">
        <v>1882</v>
      </c>
      <c r="C919" s="4" t="b">
        <v>1</v>
      </c>
      <c r="D919" s="4" t="b">
        <v>1</v>
      </c>
      <c r="E919" s="4" t="b">
        <v>1</v>
      </c>
      <c r="F919" s="4" t="s">
        <v>12</v>
      </c>
      <c r="G919" s="4" t="b">
        <f t="shared" si="14"/>
        <v>1</v>
      </c>
      <c r="H919" s="4" t="s">
        <v>3056</v>
      </c>
      <c r="I919" s="4"/>
      <c r="J919" s="4" t="s">
        <v>621</v>
      </c>
    </row>
    <row r="920" spans="1:11" ht="64" x14ac:dyDescent="0.2">
      <c r="A920" s="6" t="s">
        <v>1883</v>
      </c>
      <c r="B920" s="6" t="s">
        <v>1884</v>
      </c>
      <c r="C920" s="4" t="b">
        <v>1</v>
      </c>
      <c r="D920" s="4" t="b">
        <v>1</v>
      </c>
      <c r="E920" s="4" t="b">
        <v>1</v>
      </c>
      <c r="F920" s="4" t="s">
        <v>12</v>
      </c>
      <c r="G920" s="4" t="b">
        <f t="shared" si="14"/>
        <v>1</v>
      </c>
      <c r="H920" s="4" t="s">
        <v>3055</v>
      </c>
      <c r="I920" s="4"/>
      <c r="J920" s="4" t="s">
        <v>621</v>
      </c>
    </row>
    <row r="921" spans="1:11" ht="16" hidden="1" x14ac:dyDescent="0.2">
      <c r="A921" s="6" t="s">
        <v>1885</v>
      </c>
      <c r="B921" s="6" t="s">
        <v>1886</v>
      </c>
      <c r="C921" s="4" t="b">
        <v>0</v>
      </c>
      <c r="D921" s="4" t="b">
        <v>0</v>
      </c>
      <c r="E921" s="4" t="b">
        <v>0</v>
      </c>
      <c r="F921" s="4"/>
      <c r="G921" s="4" t="b">
        <f t="shared" si="14"/>
        <v>0</v>
      </c>
      <c r="H921" s="4"/>
      <c r="I921" s="4"/>
      <c r="J921" s="4" t="s">
        <v>621</v>
      </c>
      <c r="K921"/>
    </row>
    <row r="922" spans="1:11" ht="64" x14ac:dyDescent="0.2">
      <c r="A922" s="6" t="s">
        <v>1887</v>
      </c>
      <c r="B922" s="6" t="s">
        <v>1888</v>
      </c>
      <c r="C922" s="4" t="b">
        <v>1</v>
      </c>
      <c r="D922" s="4" t="b">
        <v>0</v>
      </c>
      <c r="E922" s="4" t="b">
        <v>1</v>
      </c>
      <c r="F922" s="4" t="s">
        <v>12</v>
      </c>
      <c r="G922" s="4" t="b">
        <f t="shared" si="14"/>
        <v>1</v>
      </c>
      <c r="H922" s="4" t="s">
        <v>3054</v>
      </c>
      <c r="I922" s="4"/>
      <c r="J922" s="4" t="s">
        <v>621</v>
      </c>
    </row>
    <row r="923" spans="1:11" ht="16" x14ac:dyDescent="0.2">
      <c r="A923" s="6" t="s">
        <v>1889</v>
      </c>
      <c r="B923" s="6" t="s">
        <v>1890</v>
      </c>
      <c r="C923" s="4" t="b">
        <v>1</v>
      </c>
      <c r="D923" s="4" t="b">
        <v>0</v>
      </c>
      <c r="E923" s="4" t="b">
        <v>1</v>
      </c>
      <c r="F923" s="4" t="s">
        <v>12</v>
      </c>
      <c r="G923" s="4" t="b">
        <f t="shared" si="14"/>
        <v>1</v>
      </c>
      <c r="H923" s="4" t="s">
        <v>3053</v>
      </c>
      <c r="I923" s="4"/>
      <c r="J923" s="4" t="s">
        <v>621</v>
      </c>
    </row>
    <row r="924" spans="1:11" ht="96" x14ac:dyDescent="0.2">
      <c r="A924" s="6" t="s">
        <v>1891</v>
      </c>
      <c r="B924" s="6" t="s">
        <v>1892</v>
      </c>
      <c r="C924" s="4" t="b">
        <v>1</v>
      </c>
      <c r="D924" s="4" t="b">
        <v>1</v>
      </c>
      <c r="E924" s="4" t="b">
        <v>1</v>
      </c>
      <c r="F924" s="4" t="s">
        <v>12</v>
      </c>
      <c r="G924" s="4" t="b">
        <f t="shared" si="14"/>
        <v>1</v>
      </c>
      <c r="H924" s="4" t="s">
        <v>3052</v>
      </c>
      <c r="I924" s="4"/>
      <c r="J924" s="4" t="s">
        <v>621</v>
      </c>
    </row>
    <row r="925" spans="1:11" ht="16" hidden="1" x14ac:dyDescent="0.2">
      <c r="A925" s="6" t="s">
        <v>1893</v>
      </c>
      <c r="B925" s="6" t="s">
        <v>1894</v>
      </c>
      <c r="C925" s="4" t="b">
        <v>0</v>
      </c>
      <c r="D925" s="4" t="b">
        <v>0</v>
      </c>
      <c r="E925" s="4" t="b">
        <v>0</v>
      </c>
      <c r="F925" s="4"/>
      <c r="G925" s="4" t="b">
        <f t="shared" si="14"/>
        <v>0</v>
      </c>
      <c r="H925" s="4"/>
      <c r="I925" s="4"/>
      <c r="J925" s="4" t="s">
        <v>621</v>
      </c>
      <c r="K925"/>
    </row>
    <row r="926" spans="1:11" ht="16" hidden="1" x14ac:dyDescent="0.2">
      <c r="A926" s="6" t="s">
        <v>1895</v>
      </c>
      <c r="B926" s="6" t="s">
        <v>1896</v>
      </c>
      <c r="C926" s="4" t="b">
        <v>0</v>
      </c>
      <c r="D926" s="4" t="b">
        <v>0</v>
      </c>
      <c r="E926" s="4" t="b">
        <v>0</v>
      </c>
      <c r="F926" s="4"/>
      <c r="G926" s="4" t="b">
        <f t="shared" si="14"/>
        <v>0</v>
      </c>
      <c r="H926" s="4"/>
      <c r="I926" s="4"/>
      <c r="J926" s="4" t="s">
        <v>621</v>
      </c>
      <c r="K926"/>
    </row>
    <row r="927" spans="1:11" ht="16" hidden="1" x14ac:dyDescent="0.2">
      <c r="A927" s="6" t="s">
        <v>1897</v>
      </c>
      <c r="B927" s="6" t="s">
        <v>1898</v>
      </c>
      <c r="C927" s="4" t="b">
        <v>0</v>
      </c>
      <c r="D927" s="4" t="b">
        <v>0</v>
      </c>
      <c r="E927" s="4" t="b">
        <v>0</v>
      </c>
      <c r="F927" s="4"/>
      <c r="G927" s="4" t="b">
        <f t="shared" si="14"/>
        <v>0</v>
      </c>
      <c r="H927" s="4"/>
      <c r="I927" s="4"/>
      <c r="J927" s="4" t="s">
        <v>621</v>
      </c>
      <c r="K927"/>
    </row>
    <row r="928" spans="1:11" ht="48" x14ac:dyDescent="0.2">
      <c r="A928" s="6" t="s">
        <v>1899</v>
      </c>
      <c r="B928" s="6" t="s">
        <v>1900</v>
      </c>
      <c r="C928" s="4" t="b">
        <v>1</v>
      </c>
      <c r="D928" s="4" t="b">
        <v>0</v>
      </c>
      <c r="E928" s="4" t="b">
        <v>1</v>
      </c>
      <c r="F928" s="4" t="s">
        <v>12</v>
      </c>
      <c r="G928" s="4" t="b">
        <f t="shared" si="14"/>
        <v>1</v>
      </c>
      <c r="H928" s="4" t="s">
        <v>3051</v>
      </c>
      <c r="I928" s="4"/>
      <c r="J928" s="4" t="s">
        <v>621</v>
      </c>
    </row>
    <row r="929" spans="1:11" ht="16" hidden="1" x14ac:dyDescent="0.2">
      <c r="A929" s="6" t="s">
        <v>1901</v>
      </c>
      <c r="B929" s="6" t="s">
        <v>1902</v>
      </c>
      <c r="C929" s="4" t="b">
        <v>0</v>
      </c>
      <c r="D929" s="4" t="b">
        <v>0</v>
      </c>
      <c r="E929" s="4" t="b">
        <v>0</v>
      </c>
      <c r="F929" s="4"/>
      <c r="G929" s="4" t="b">
        <f t="shared" si="14"/>
        <v>0</v>
      </c>
      <c r="H929" s="4"/>
      <c r="I929" s="4"/>
      <c r="J929" s="4" t="s">
        <v>621</v>
      </c>
      <c r="K929"/>
    </row>
    <row r="930" spans="1:11" ht="48" x14ac:dyDescent="0.2">
      <c r="A930" s="6" t="s">
        <v>1903</v>
      </c>
      <c r="B930" s="6" t="s">
        <v>1904</v>
      </c>
      <c r="C930" s="4" t="b">
        <v>1</v>
      </c>
      <c r="D930" s="4" t="b">
        <v>1</v>
      </c>
      <c r="E930" s="4" t="b">
        <v>1</v>
      </c>
      <c r="F930" s="4" t="s">
        <v>12</v>
      </c>
      <c r="G930" s="4" t="b">
        <f t="shared" si="14"/>
        <v>1</v>
      </c>
      <c r="H930" s="4" t="s">
        <v>3050</v>
      </c>
      <c r="I930" s="4"/>
      <c r="J930" s="4" t="s">
        <v>621</v>
      </c>
    </row>
    <row r="931" spans="1:11" ht="16" hidden="1" x14ac:dyDescent="0.2">
      <c r="A931" s="6" t="s">
        <v>1905</v>
      </c>
      <c r="B931" s="6" t="s">
        <v>1906</v>
      </c>
      <c r="C931" s="4" t="b">
        <v>0</v>
      </c>
      <c r="D931" s="4" t="b">
        <v>0</v>
      </c>
      <c r="E931" s="4" t="b">
        <v>0</v>
      </c>
      <c r="F931" s="4"/>
      <c r="G931" s="4" t="b">
        <f t="shared" si="14"/>
        <v>0</v>
      </c>
      <c r="H931" s="4"/>
      <c r="I931" s="4"/>
      <c r="J931" s="4" t="s">
        <v>621</v>
      </c>
      <c r="K931"/>
    </row>
    <row r="932" spans="1:11" ht="16" hidden="1" x14ac:dyDescent="0.2">
      <c r="A932" s="6" t="s">
        <v>1907</v>
      </c>
      <c r="B932" s="6" t="s">
        <v>1908</v>
      </c>
      <c r="C932" s="4" t="b">
        <v>0</v>
      </c>
      <c r="D932" s="4" t="b">
        <v>0</v>
      </c>
      <c r="E932" s="4" t="b">
        <v>0</v>
      </c>
      <c r="F932" s="4"/>
      <c r="G932" s="4" t="b">
        <f t="shared" si="14"/>
        <v>0</v>
      </c>
      <c r="H932" s="4"/>
      <c r="I932" s="4"/>
      <c r="J932" s="4" t="s">
        <v>621</v>
      </c>
      <c r="K932"/>
    </row>
    <row r="933" spans="1:11" ht="16" hidden="1" x14ac:dyDescent="0.2">
      <c r="A933" s="6" t="s">
        <v>1909</v>
      </c>
      <c r="B933" s="6" t="s">
        <v>1910</v>
      </c>
      <c r="C933" s="4" t="b">
        <v>0</v>
      </c>
      <c r="D933" s="4" t="b">
        <v>0</v>
      </c>
      <c r="E933" s="4" t="b">
        <v>1</v>
      </c>
      <c r="F933" s="4"/>
      <c r="G933" s="4" t="b">
        <f t="shared" si="14"/>
        <v>0</v>
      </c>
      <c r="H933" s="4"/>
      <c r="I933" s="4"/>
      <c r="J933" s="4" t="s">
        <v>621</v>
      </c>
      <c r="K933"/>
    </row>
    <row r="934" spans="1:11" ht="16" hidden="1" x14ac:dyDescent="0.2">
      <c r="A934" s="6" t="s">
        <v>1911</v>
      </c>
      <c r="B934" s="6" t="s">
        <v>1912</v>
      </c>
      <c r="C934" s="4" t="b">
        <v>0</v>
      </c>
      <c r="D934" s="4" t="b">
        <v>0</v>
      </c>
      <c r="E934" s="4" t="b">
        <v>0</v>
      </c>
      <c r="F934" s="4"/>
      <c r="G934" s="4" t="b">
        <f t="shared" si="14"/>
        <v>0</v>
      </c>
      <c r="H934" s="4"/>
      <c r="I934" s="4"/>
      <c r="J934" s="4" t="s">
        <v>621</v>
      </c>
      <c r="K934"/>
    </row>
    <row r="935" spans="1:11" ht="16" x14ac:dyDescent="0.2">
      <c r="A935" s="6" t="s">
        <v>1913</v>
      </c>
      <c r="B935" s="6" t="s">
        <v>1914</v>
      </c>
      <c r="C935" s="4" t="b">
        <v>1</v>
      </c>
      <c r="D935" s="4" t="b">
        <v>0</v>
      </c>
      <c r="E935" s="4" t="b">
        <v>1</v>
      </c>
      <c r="F935" s="4" t="s">
        <v>12</v>
      </c>
      <c r="G935" s="4" t="b">
        <f t="shared" si="14"/>
        <v>1</v>
      </c>
      <c r="H935" s="4"/>
      <c r="I935" s="4"/>
      <c r="J935" s="4" t="s">
        <v>621</v>
      </c>
    </row>
    <row r="936" spans="1:11" ht="16" hidden="1" x14ac:dyDescent="0.2">
      <c r="A936" s="6" t="s">
        <v>1915</v>
      </c>
      <c r="B936" s="6" t="s">
        <v>1916</v>
      </c>
      <c r="C936" s="4" t="b">
        <v>0</v>
      </c>
      <c r="D936" s="4" t="b">
        <v>0</v>
      </c>
      <c r="E936" s="4" t="b">
        <v>1</v>
      </c>
      <c r="F936" s="4"/>
      <c r="G936" s="4" t="b">
        <f t="shared" si="14"/>
        <v>0</v>
      </c>
      <c r="H936" s="4"/>
      <c r="I936" s="4"/>
      <c r="J936" s="4" t="s">
        <v>621</v>
      </c>
      <c r="K936"/>
    </row>
    <row r="937" spans="1:11" ht="16" hidden="1" x14ac:dyDescent="0.2">
      <c r="A937" s="6" t="s">
        <v>1917</v>
      </c>
      <c r="B937" s="6" t="s">
        <v>1918</v>
      </c>
      <c r="C937" s="4" t="b">
        <v>0</v>
      </c>
      <c r="D937" s="4" t="b">
        <v>0</v>
      </c>
      <c r="E937" s="4" t="b">
        <v>0</v>
      </c>
      <c r="F937" s="4"/>
      <c r="G937" s="4" t="b">
        <f t="shared" si="14"/>
        <v>0</v>
      </c>
      <c r="H937" s="4"/>
      <c r="I937" s="4"/>
      <c r="J937" s="4" t="s">
        <v>621</v>
      </c>
      <c r="K937"/>
    </row>
    <row r="938" spans="1:11" ht="16" x14ac:dyDescent="0.2">
      <c r="A938" s="6" t="s">
        <v>1919</v>
      </c>
      <c r="B938" s="6" t="s">
        <v>1920</v>
      </c>
      <c r="C938" s="4" t="b">
        <v>1</v>
      </c>
      <c r="D938" s="4" t="b">
        <v>0</v>
      </c>
      <c r="E938" s="4" t="b">
        <v>1</v>
      </c>
      <c r="F938" s="4" t="s">
        <v>12</v>
      </c>
      <c r="G938" s="4" t="b">
        <f t="shared" si="14"/>
        <v>1</v>
      </c>
      <c r="H938" s="4" t="s">
        <v>2992</v>
      </c>
      <c r="I938" s="4"/>
      <c r="J938" s="4" t="s">
        <v>621</v>
      </c>
    </row>
    <row r="939" spans="1:11" ht="16" hidden="1" x14ac:dyDescent="0.2">
      <c r="A939" s="6" t="s">
        <v>1921</v>
      </c>
      <c r="B939" s="6" t="s">
        <v>1922</v>
      </c>
      <c r="C939" s="4" t="b">
        <v>0</v>
      </c>
      <c r="D939" s="4" t="b">
        <v>0</v>
      </c>
      <c r="E939" s="4" t="b">
        <v>1</v>
      </c>
      <c r="F939" s="4"/>
      <c r="G939" s="4" t="b">
        <f t="shared" si="14"/>
        <v>0</v>
      </c>
      <c r="H939" s="4"/>
      <c r="I939" s="4"/>
      <c r="J939" s="4" t="s">
        <v>621</v>
      </c>
      <c r="K939"/>
    </row>
    <row r="940" spans="1:11" ht="48" x14ac:dyDescent="0.2">
      <c r="A940" s="6" t="s">
        <v>1923</v>
      </c>
      <c r="B940" s="6" t="s">
        <v>1924</v>
      </c>
      <c r="C940" s="4" t="b">
        <v>1</v>
      </c>
      <c r="D940" s="4" t="b">
        <v>1</v>
      </c>
      <c r="E940" s="4" t="b">
        <v>1</v>
      </c>
      <c r="F940" s="4" t="s">
        <v>12</v>
      </c>
      <c r="G940" s="4" t="b">
        <f t="shared" si="14"/>
        <v>1</v>
      </c>
      <c r="H940" s="4" t="s">
        <v>3049</v>
      </c>
      <c r="I940" s="4"/>
      <c r="J940" s="4" t="s">
        <v>621</v>
      </c>
    </row>
    <row r="941" spans="1:11" ht="16" hidden="1" x14ac:dyDescent="0.2">
      <c r="A941" s="6" t="s">
        <v>1925</v>
      </c>
      <c r="B941" s="6" t="s">
        <v>1926</v>
      </c>
      <c r="C941" s="4" t="b">
        <v>0</v>
      </c>
      <c r="D941" s="4" t="b">
        <v>0</v>
      </c>
      <c r="E941" s="4" t="b">
        <v>0</v>
      </c>
      <c r="F941" s="4"/>
      <c r="G941" s="4" t="b">
        <f t="shared" si="14"/>
        <v>0</v>
      </c>
      <c r="H941" s="4"/>
      <c r="I941" s="4"/>
      <c r="J941" s="4" t="s">
        <v>621</v>
      </c>
      <c r="K941"/>
    </row>
    <row r="942" spans="1:11" ht="80" x14ac:dyDescent="0.2">
      <c r="A942" s="6" t="s">
        <v>1927</v>
      </c>
      <c r="B942" s="6" t="s">
        <v>1928</v>
      </c>
      <c r="C942" s="4" t="b">
        <v>1</v>
      </c>
      <c r="D942" s="4" t="b">
        <v>1</v>
      </c>
      <c r="E942" s="4" t="b">
        <v>1</v>
      </c>
      <c r="F942" s="4" t="s">
        <v>12</v>
      </c>
      <c r="G942" s="4" t="b">
        <f t="shared" si="14"/>
        <v>1</v>
      </c>
      <c r="H942" s="4" t="s">
        <v>3047</v>
      </c>
      <c r="I942" s="4"/>
      <c r="J942" s="4" t="s">
        <v>621</v>
      </c>
    </row>
    <row r="943" spans="1:11" ht="16" hidden="1" x14ac:dyDescent="0.2">
      <c r="A943" s="6" t="s">
        <v>1929</v>
      </c>
      <c r="B943" s="6" t="s">
        <v>1930</v>
      </c>
      <c r="C943" s="4" t="b">
        <v>0</v>
      </c>
      <c r="D943" s="4" t="b">
        <v>0</v>
      </c>
      <c r="E943" s="4" t="b">
        <v>1</v>
      </c>
      <c r="F943" s="4"/>
      <c r="G943" s="4" t="b">
        <f t="shared" si="14"/>
        <v>0</v>
      </c>
      <c r="H943" s="4"/>
      <c r="I943" s="4"/>
      <c r="J943" s="4" t="s">
        <v>621</v>
      </c>
      <c r="K943"/>
    </row>
    <row r="944" spans="1:11" ht="32" hidden="1" x14ac:dyDescent="0.2">
      <c r="A944" s="6" t="s">
        <v>1931</v>
      </c>
      <c r="B944" s="6" t="s">
        <v>1932</v>
      </c>
      <c r="C944" s="4" t="b">
        <v>0</v>
      </c>
      <c r="D944" s="4" t="b">
        <v>0</v>
      </c>
      <c r="E944" s="4" t="b">
        <v>0</v>
      </c>
      <c r="F944" s="4" t="s">
        <v>12</v>
      </c>
      <c r="G944" s="4" t="b">
        <f t="shared" si="14"/>
        <v>1</v>
      </c>
      <c r="H944" s="4" t="s">
        <v>3104</v>
      </c>
      <c r="I944" s="4"/>
      <c r="J944" s="4" t="s">
        <v>621</v>
      </c>
    </row>
    <row r="945" spans="1:11" ht="16" x14ac:dyDescent="0.2">
      <c r="A945" s="6" t="s">
        <v>1933</v>
      </c>
      <c r="B945" s="6" t="s">
        <v>1934</v>
      </c>
      <c r="C945" s="4" t="b">
        <v>1</v>
      </c>
      <c r="D945" s="4" t="b">
        <v>0</v>
      </c>
      <c r="E945" s="4" t="b">
        <v>1</v>
      </c>
      <c r="F945" s="4" t="s">
        <v>12</v>
      </c>
      <c r="G945" s="4" t="b">
        <f t="shared" si="14"/>
        <v>1</v>
      </c>
      <c r="H945" s="4" t="s">
        <v>3046</v>
      </c>
      <c r="I945" s="4"/>
      <c r="J945" s="4" t="s">
        <v>621</v>
      </c>
    </row>
    <row r="946" spans="1:11" ht="16" hidden="1" x14ac:dyDescent="0.2">
      <c r="A946" s="6" t="s">
        <v>1935</v>
      </c>
      <c r="B946" s="6" t="s">
        <v>1936</v>
      </c>
      <c r="C946" s="4" t="b">
        <v>0</v>
      </c>
      <c r="D946" s="4" t="b">
        <v>0</v>
      </c>
      <c r="E946" s="4" t="b">
        <v>0</v>
      </c>
      <c r="F946" s="4"/>
      <c r="G946" s="4" t="b">
        <f t="shared" si="14"/>
        <v>0</v>
      </c>
      <c r="H946" s="4"/>
      <c r="I946" s="4"/>
      <c r="J946" s="4" t="s">
        <v>621</v>
      </c>
      <c r="K946"/>
    </row>
    <row r="947" spans="1:11" ht="96" x14ac:dyDescent="0.2">
      <c r="A947" s="6" t="s">
        <v>1937</v>
      </c>
      <c r="B947" s="6" t="s">
        <v>1938</v>
      </c>
      <c r="C947" s="4" t="b">
        <v>1</v>
      </c>
      <c r="D947" s="4" t="b">
        <v>1</v>
      </c>
      <c r="E947" s="4" t="b">
        <v>1</v>
      </c>
      <c r="F947" s="4" t="s">
        <v>12</v>
      </c>
      <c r="G947" s="4" t="b">
        <f t="shared" si="14"/>
        <v>1</v>
      </c>
      <c r="H947" s="4" t="s">
        <v>3048</v>
      </c>
      <c r="I947" s="4"/>
      <c r="J947" s="4" t="s">
        <v>621</v>
      </c>
    </row>
    <row r="948" spans="1:11" ht="16" hidden="1" x14ac:dyDescent="0.2">
      <c r="A948" s="6" t="s">
        <v>1939</v>
      </c>
      <c r="B948" s="6" t="s">
        <v>1940</v>
      </c>
      <c r="C948" s="4" t="b">
        <v>0</v>
      </c>
      <c r="D948" s="4" t="b">
        <v>0</v>
      </c>
      <c r="E948" s="4" t="b">
        <v>0</v>
      </c>
      <c r="F948" s="4"/>
      <c r="G948" s="4" t="b">
        <f t="shared" si="14"/>
        <v>0</v>
      </c>
      <c r="H948" s="4"/>
      <c r="I948" s="4"/>
      <c r="J948" s="4" t="s">
        <v>621</v>
      </c>
      <c r="K948"/>
    </row>
    <row r="949" spans="1:11" ht="16" hidden="1" x14ac:dyDescent="0.2">
      <c r="A949" s="6" t="s">
        <v>1941</v>
      </c>
      <c r="B949" s="6" t="s">
        <v>1942</v>
      </c>
      <c r="C949" s="4" t="b">
        <v>0</v>
      </c>
      <c r="D949" s="4" t="b">
        <v>0</v>
      </c>
      <c r="E949" s="4" t="b">
        <v>1</v>
      </c>
      <c r="F949" s="4"/>
      <c r="G949" s="4" t="b">
        <f t="shared" si="14"/>
        <v>0</v>
      </c>
      <c r="H949" s="4"/>
      <c r="I949" s="4"/>
      <c r="J949" s="4" t="s">
        <v>621</v>
      </c>
      <c r="K949"/>
    </row>
    <row r="950" spans="1:11" ht="16" hidden="1" x14ac:dyDescent="0.2">
      <c r="A950" s="6" t="s">
        <v>1943</v>
      </c>
      <c r="B950" s="6" t="s">
        <v>1944</v>
      </c>
      <c r="C950" s="4" t="b">
        <v>0</v>
      </c>
      <c r="D950" s="4" t="b">
        <v>0</v>
      </c>
      <c r="E950" s="4" t="b">
        <v>0</v>
      </c>
      <c r="F950" s="4"/>
      <c r="G950" s="4" t="b">
        <f t="shared" si="14"/>
        <v>0</v>
      </c>
      <c r="H950" s="4"/>
      <c r="I950" s="4"/>
      <c r="J950" s="4" t="s">
        <v>621</v>
      </c>
      <c r="K950"/>
    </row>
    <row r="951" spans="1:11" ht="16" x14ac:dyDescent="0.2">
      <c r="A951" s="6" t="s">
        <v>1945</v>
      </c>
      <c r="B951" s="6" t="s">
        <v>1946</v>
      </c>
      <c r="C951" s="4" t="b">
        <v>1</v>
      </c>
      <c r="D951" s="4" t="b">
        <v>0</v>
      </c>
      <c r="E951" s="4" t="b">
        <v>1</v>
      </c>
      <c r="F951" s="4" t="s">
        <v>12</v>
      </c>
      <c r="G951" s="4" t="b">
        <f t="shared" si="14"/>
        <v>1</v>
      </c>
      <c r="H951" s="4" t="s">
        <v>3045</v>
      </c>
      <c r="I951" s="4"/>
      <c r="J951" s="4" t="s">
        <v>621</v>
      </c>
    </row>
    <row r="952" spans="1:11" ht="16" hidden="1" x14ac:dyDescent="0.2">
      <c r="A952" s="6" t="s">
        <v>1947</v>
      </c>
      <c r="B952" s="6" t="s">
        <v>1948</v>
      </c>
      <c r="C952" s="4" t="b">
        <v>0</v>
      </c>
      <c r="D952" s="4" t="b">
        <v>0</v>
      </c>
      <c r="E952" s="4" t="b">
        <v>0</v>
      </c>
      <c r="F952" s="4"/>
      <c r="G952" s="4" t="b">
        <f t="shared" si="14"/>
        <v>0</v>
      </c>
      <c r="H952" s="4"/>
      <c r="I952" s="4"/>
      <c r="J952" s="4" t="s">
        <v>621</v>
      </c>
      <c r="K952"/>
    </row>
    <row r="953" spans="1:11" ht="16" hidden="1" x14ac:dyDescent="0.2">
      <c r="A953" s="6" t="s">
        <v>1949</v>
      </c>
      <c r="B953" s="6" t="s">
        <v>1950</v>
      </c>
      <c r="C953" s="4" t="b">
        <v>0</v>
      </c>
      <c r="D953" s="4" t="b">
        <v>0</v>
      </c>
      <c r="E953" s="4" t="b">
        <v>0</v>
      </c>
      <c r="F953" s="4"/>
      <c r="G953" s="4" t="b">
        <f t="shared" si="14"/>
        <v>0</v>
      </c>
      <c r="H953" s="4"/>
      <c r="I953" s="4"/>
      <c r="J953" s="4" t="s">
        <v>621</v>
      </c>
      <c r="K953"/>
    </row>
    <row r="954" spans="1:11" ht="16" hidden="1" x14ac:dyDescent="0.2">
      <c r="A954" s="6" t="s">
        <v>1951</v>
      </c>
      <c r="B954" s="6" t="s">
        <v>1952</v>
      </c>
      <c r="C954" s="4" t="b">
        <v>0</v>
      </c>
      <c r="D954" s="4" t="b">
        <v>0</v>
      </c>
      <c r="E954" s="4" t="b">
        <v>0</v>
      </c>
      <c r="F954" s="4"/>
      <c r="G954" s="4" t="b">
        <f t="shared" si="14"/>
        <v>0</v>
      </c>
      <c r="H954" s="4"/>
      <c r="I954" s="4"/>
      <c r="J954" s="4" t="s">
        <v>621</v>
      </c>
      <c r="K954"/>
    </row>
    <row r="955" spans="1:11" ht="16" hidden="1" x14ac:dyDescent="0.2">
      <c r="A955" s="6" t="s">
        <v>1953</v>
      </c>
      <c r="B955" s="6" t="s">
        <v>1954</v>
      </c>
      <c r="C955" s="4" t="b">
        <v>0</v>
      </c>
      <c r="D955" s="4" t="b">
        <v>0</v>
      </c>
      <c r="E955" s="4" t="b">
        <v>0</v>
      </c>
      <c r="F955" s="4"/>
      <c r="G955" s="4" t="b">
        <f t="shared" si="14"/>
        <v>0</v>
      </c>
      <c r="H955" s="4"/>
      <c r="I955" s="4"/>
      <c r="J955" s="4" t="s">
        <v>14</v>
      </c>
      <c r="K955"/>
    </row>
    <row r="956" spans="1:11" ht="64" x14ac:dyDescent="0.2">
      <c r="A956" s="6" t="s">
        <v>1955</v>
      </c>
      <c r="B956" s="6" t="s">
        <v>1956</v>
      </c>
      <c r="C956" s="4" t="b">
        <v>1</v>
      </c>
      <c r="D956" s="4" t="b">
        <v>0</v>
      </c>
      <c r="E956" s="4" t="b">
        <v>1</v>
      </c>
      <c r="F956" s="4" t="s">
        <v>12</v>
      </c>
      <c r="G956" s="4" t="b">
        <f t="shared" si="14"/>
        <v>1</v>
      </c>
      <c r="H956" s="4" t="s">
        <v>3044</v>
      </c>
      <c r="I956" s="4"/>
      <c r="J956" s="4" t="s">
        <v>14</v>
      </c>
    </row>
    <row r="957" spans="1:11" ht="48" x14ac:dyDescent="0.2">
      <c r="A957" s="6" t="s">
        <v>1957</v>
      </c>
      <c r="B957" s="6" t="s">
        <v>1958</v>
      </c>
      <c r="C957" s="4" t="b">
        <v>1</v>
      </c>
      <c r="D957" s="4" t="b">
        <v>0</v>
      </c>
      <c r="E957" s="4" t="b">
        <v>1</v>
      </c>
      <c r="F957" s="4" t="s">
        <v>12</v>
      </c>
      <c r="G957" s="4" t="b">
        <f t="shared" si="14"/>
        <v>1</v>
      </c>
      <c r="H957" s="4" t="s">
        <v>3043</v>
      </c>
      <c r="I957" s="4"/>
      <c r="J957" s="4" t="s">
        <v>14</v>
      </c>
    </row>
    <row r="958" spans="1:11" ht="16" hidden="1" x14ac:dyDescent="0.2">
      <c r="A958" s="6" t="s">
        <v>1959</v>
      </c>
      <c r="B958" s="6" t="s">
        <v>1960</v>
      </c>
      <c r="C958" s="4" t="b">
        <v>0</v>
      </c>
      <c r="D958" s="4" t="b">
        <v>0</v>
      </c>
      <c r="E958" s="4" t="b">
        <v>1</v>
      </c>
      <c r="F958" s="4"/>
      <c r="G958" s="4" t="b">
        <f t="shared" si="14"/>
        <v>0</v>
      </c>
      <c r="H958" s="4"/>
      <c r="I958" s="4"/>
      <c r="J958" s="4" t="s">
        <v>14</v>
      </c>
      <c r="K958"/>
    </row>
    <row r="959" spans="1:11" ht="16" hidden="1" x14ac:dyDescent="0.2">
      <c r="A959" s="6" t="s">
        <v>1961</v>
      </c>
      <c r="B959" s="6" t="s">
        <v>1962</v>
      </c>
      <c r="C959" s="4" t="b">
        <v>0</v>
      </c>
      <c r="D959" s="4" t="b">
        <v>0</v>
      </c>
      <c r="E959" s="4" t="b">
        <v>1</v>
      </c>
      <c r="F959" s="4" t="s">
        <v>12</v>
      </c>
      <c r="G959" s="4" t="b">
        <f t="shared" si="14"/>
        <v>1</v>
      </c>
      <c r="H959" s="4" t="s">
        <v>2918</v>
      </c>
      <c r="I959" s="4"/>
      <c r="J959" s="4" t="s">
        <v>14</v>
      </c>
    </row>
    <row r="960" spans="1:11" ht="16" hidden="1" x14ac:dyDescent="0.2">
      <c r="A960" s="6" t="s">
        <v>1963</v>
      </c>
      <c r="B960" s="6" t="s">
        <v>1964</v>
      </c>
      <c r="C960" s="4" t="b">
        <v>0</v>
      </c>
      <c r="D960" s="4" t="b">
        <v>0</v>
      </c>
      <c r="E960" s="4" t="b">
        <v>1</v>
      </c>
      <c r="F960" s="4"/>
      <c r="G960" s="4" t="b">
        <f t="shared" si="14"/>
        <v>0</v>
      </c>
      <c r="H960" s="4"/>
      <c r="I960" s="4"/>
      <c r="J960" s="4" t="s">
        <v>14</v>
      </c>
      <c r="K960"/>
    </row>
    <row r="961" spans="1:11" ht="144" x14ac:dyDescent="0.2">
      <c r="A961" s="6" t="s">
        <v>1965</v>
      </c>
      <c r="B961" s="6" t="s">
        <v>1966</v>
      </c>
      <c r="C961" s="4" t="b">
        <v>1</v>
      </c>
      <c r="D961" s="4" t="b">
        <v>1</v>
      </c>
      <c r="E961" s="4" t="b">
        <v>1</v>
      </c>
      <c r="F961" s="4" t="s">
        <v>12</v>
      </c>
      <c r="G961" s="4" t="b">
        <f t="shared" si="14"/>
        <v>1</v>
      </c>
      <c r="H961" s="4" t="s">
        <v>3042</v>
      </c>
      <c r="I961" s="4"/>
      <c r="J961" s="4" t="s">
        <v>14</v>
      </c>
    </row>
    <row r="962" spans="1:11" ht="64" x14ac:dyDescent="0.2">
      <c r="A962" s="6" t="s">
        <v>1967</v>
      </c>
      <c r="B962" s="6" t="s">
        <v>1968</v>
      </c>
      <c r="C962" s="4" t="b">
        <v>1</v>
      </c>
      <c r="D962" s="4" t="b">
        <v>1</v>
      </c>
      <c r="E962" s="4" t="b">
        <v>1</v>
      </c>
      <c r="F962" s="4" t="s">
        <v>12</v>
      </c>
      <c r="G962" s="4" t="b">
        <f t="shared" ref="G962:G1025" si="15">IF(F962="✔", TRUE, FALSE)</f>
        <v>1</v>
      </c>
      <c r="H962" s="4" t="s">
        <v>3041</v>
      </c>
      <c r="I962" s="4"/>
      <c r="J962" s="4" t="s">
        <v>26</v>
      </c>
    </row>
    <row r="963" spans="1:11" ht="64" hidden="1" x14ac:dyDescent="0.2">
      <c r="A963" s="6" t="s">
        <v>1969</v>
      </c>
      <c r="B963" s="6" t="s">
        <v>1970</v>
      </c>
      <c r="C963" s="4" t="b">
        <v>0</v>
      </c>
      <c r="D963" s="4" t="b">
        <v>0</v>
      </c>
      <c r="E963" s="4" t="b">
        <v>0</v>
      </c>
      <c r="F963" s="4" t="s">
        <v>12</v>
      </c>
      <c r="G963" s="4" t="b">
        <f t="shared" si="15"/>
        <v>1</v>
      </c>
      <c r="H963" s="4" t="s">
        <v>3039</v>
      </c>
      <c r="I963" s="4"/>
      <c r="J963" s="4" t="s">
        <v>26</v>
      </c>
    </row>
    <row r="964" spans="1:11" ht="80" x14ac:dyDescent="0.2">
      <c r="A964" s="6" t="s">
        <v>1971</v>
      </c>
      <c r="B964" s="6" t="s">
        <v>1972</v>
      </c>
      <c r="C964" s="4" t="b">
        <v>1</v>
      </c>
      <c r="D964" s="4" t="b">
        <v>1</v>
      </c>
      <c r="E964" s="4" t="b">
        <v>1</v>
      </c>
      <c r="F964" s="4" t="s">
        <v>12</v>
      </c>
      <c r="G964" s="4" t="b">
        <f t="shared" si="15"/>
        <v>1</v>
      </c>
      <c r="H964" s="4" t="s">
        <v>3038</v>
      </c>
      <c r="I964" s="4"/>
      <c r="J964" s="4" t="s">
        <v>26</v>
      </c>
    </row>
    <row r="965" spans="1:11" ht="16" hidden="1" x14ac:dyDescent="0.2">
      <c r="A965" s="6" t="s">
        <v>1973</v>
      </c>
      <c r="B965" s="6" t="s">
        <v>1974</v>
      </c>
      <c r="C965" s="4" t="b">
        <v>0</v>
      </c>
      <c r="D965" s="4" t="b">
        <v>0</v>
      </c>
      <c r="E965" s="4" t="b">
        <v>0</v>
      </c>
      <c r="F965" s="4"/>
      <c r="G965" s="4" t="b">
        <f t="shared" si="15"/>
        <v>0</v>
      </c>
      <c r="H965" s="4"/>
      <c r="I965" s="4"/>
      <c r="J965" s="4" t="s">
        <v>26</v>
      </c>
      <c r="K965"/>
    </row>
    <row r="966" spans="1:11" ht="16" hidden="1" x14ac:dyDescent="0.2">
      <c r="A966" s="6" t="s">
        <v>1975</v>
      </c>
      <c r="B966" s="6" t="s">
        <v>1976</v>
      </c>
      <c r="C966" s="4" t="b">
        <v>0</v>
      </c>
      <c r="D966" s="4" t="b">
        <v>0</v>
      </c>
      <c r="E966" s="4" t="b">
        <v>0</v>
      </c>
      <c r="F966" s="4"/>
      <c r="G966" s="4" t="b">
        <f t="shared" si="15"/>
        <v>0</v>
      </c>
      <c r="H966" s="4"/>
      <c r="I966" s="4"/>
      <c r="J966" s="4" t="s">
        <v>26</v>
      </c>
      <c r="K966"/>
    </row>
    <row r="967" spans="1:11" ht="96" x14ac:dyDescent="0.2">
      <c r="A967" s="6" t="s">
        <v>1977</v>
      </c>
      <c r="B967" s="6" t="s">
        <v>1978</v>
      </c>
      <c r="C967" s="4" t="b">
        <v>1</v>
      </c>
      <c r="D967" s="4" t="b">
        <v>0</v>
      </c>
      <c r="E967" s="4" t="b">
        <v>1</v>
      </c>
      <c r="F967" s="4" t="s">
        <v>12</v>
      </c>
      <c r="G967" s="4" t="b">
        <f t="shared" si="15"/>
        <v>1</v>
      </c>
      <c r="H967" s="4" t="s">
        <v>3040</v>
      </c>
      <c r="I967" s="4"/>
      <c r="J967" s="4" t="s">
        <v>26</v>
      </c>
      <c r="K967" s="1" t="s">
        <v>2998</v>
      </c>
    </row>
    <row r="968" spans="1:11" ht="48" x14ac:dyDescent="0.2">
      <c r="A968" s="6" t="s">
        <v>1979</v>
      </c>
      <c r="B968" s="6" t="s">
        <v>1980</v>
      </c>
      <c r="C968" s="4" t="b">
        <v>1</v>
      </c>
      <c r="D968" s="4" t="b">
        <v>0</v>
      </c>
      <c r="E968" s="4" t="b">
        <v>1</v>
      </c>
      <c r="F968" s="4" t="s">
        <v>12</v>
      </c>
      <c r="G968" s="4" t="b">
        <f t="shared" si="15"/>
        <v>1</v>
      </c>
      <c r="H968" s="4" t="s">
        <v>3037</v>
      </c>
      <c r="I968" s="4"/>
      <c r="J968" s="4" t="s">
        <v>26</v>
      </c>
    </row>
    <row r="969" spans="1:11" ht="16" hidden="1" x14ac:dyDescent="0.2">
      <c r="A969" s="6" t="s">
        <v>1981</v>
      </c>
      <c r="B969" s="6" t="s">
        <v>1982</v>
      </c>
      <c r="C969" s="4" t="b">
        <v>0</v>
      </c>
      <c r="D969" s="4" t="b">
        <v>0</v>
      </c>
      <c r="E969" s="4" t="b">
        <v>1</v>
      </c>
      <c r="F969" s="4"/>
      <c r="G969" s="4" t="b">
        <f t="shared" si="15"/>
        <v>0</v>
      </c>
      <c r="H969" s="4"/>
      <c r="I969" s="4"/>
      <c r="J969" s="4" t="s">
        <v>26</v>
      </c>
      <c r="K969"/>
    </row>
    <row r="970" spans="1:11" ht="64" x14ac:dyDescent="0.2">
      <c r="A970" s="6" t="s">
        <v>1983</v>
      </c>
      <c r="B970" s="6" t="s">
        <v>1984</v>
      </c>
      <c r="C970" s="4" t="b">
        <v>1</v>
      </c>
      <c r="D970" s="4" t="b">
        <v>0</v>
      </c>
      <c r="E970" s="4" t="b">
        <v>1</v>
      </c>
      <c r="F970" s="4" t="s">
        <v>12</v>
      </c>
      <c r="G970" s="4" t="b">
        <f t="shared" si="15"/>
        <v>1</v>
      </c>
      <c r="H970" s="4" t="s">
        <v>3036</v>
      </c>
      <c r="I970" s="4"/>
      <c r="J970" s="4" t="s">
        <v>26</v>
      </c>
    </row>
    <row r="971" spans="1:11" ht="16" hidden="1" x14ac:dyDescent="0.2">
      <c r="A971" s="6" t="s">
        <v>1985</v>
      </c>
      <c r="B971" s="6" t="s">
        <v>1986</v>
      </c>
      <c r="C971" s="4" t="b">
        <v>0</v>
      </c>
      <c r="D971" s="4" t="b">
        <v>0</v>
      </c>
      <c r="E971" s="4" t="b">
        <v>0</v>
      </c>
      <c r="F971" s="4"/>
      <c r="G971" s="4" t="b">
        <f t="shared" si="15"/>
        <v>0</v>
      </c>
      <c r="H971" s="4"/>
      <c r="I971" s="4"/>
      <c r="J971" s="4" t="s">
        <v>26</v>
      </c>
      <c r="K971"/>
    </row>
    <row r="972" spans="1:11" ht="16" hidden="1" x14ac:dyDescent="0.2">
      <c r="A972" s="6" t="s">
        <v>1987</v>
      </c>
      <c r="B972" s="6" t="s">
        <v>1988</v>
      </c>
      <c r="C972" s="4" t="b">
        <v>0</v>
      </c>
      <c r="D972" s="4" t="b">
        <v>0</v>
      </c>
      <c r="E972" s="4" t="b">
        <v>0</v>
      </c>
      <c r="F972" s="4" t="s">
        <v>12</v>
      </c>
      <c r="G972" s="4" t="b">
        <f t="shared" si="15"/>
        <v>1</v>
      </c>
      <c r="H972" s="4"/>
      <c r="I972" s="4"/>
      <c r="J972" s="4" t="s">
        <v>26</v>
      </c>
    </row>
    <row r="973" spans="1:11" ht="16" hidden="1" x14ac:dyDescent="0.2">
      <c r="A973" s="6" t="s">
        <v>1989</v>
      </c>
      <c r="B973" s="6" t="s">
        <v>1990</v>
      </c>
      <c r="C973" s="4" t="b">
        <v>0</v>
      </c>
      <c r="D973" s="4" t="b">
        <v>0</v>
      </c>
      <c r="E973" s="4" t="b">
        <v>0</v>
      </c>
      <c r="F973" s="4"/>
      <c r="G973" s="4" t="b">
        <f t="shared" si="15"/>
        <v>0</v>
      </c>
      <c r="H973" s="4"/>
      <c r="I973" s="4"/>
      <c r="J973" s="4" t="s">
        <v>26</v>
      </c>
      <c r="K973"/>
    </row>
    <row r="974" spans="1:11" ht="16" x14ac:dyDescent="0.2">
      <c r="A974" s="6" t="s">
        <v>1991</v>
      </c>
      <c r="B974" s="6" t="s">
        <v>1992</v>
      </c>
      <c r="C974" s="4" t="b">
        <v>1</v>
      </c>
      <c r="D974" s="4" t="b">
        <v>0</v>
      </c>
      <c r="E974" s="4" t="b">
        <v>1</v>
      </c>
      <c r="F974" s="4" t="s">
        <v>12</v>
      </c>
      <c r="G974" s="4" t="b">
        <f t="shared" si="15"/>
        <v>1</v>
      </c>
      <c r="H974" s="4" t="s">
        <v>3035</v>
      </c>
      <c r="I974" s="4"/>
      <c r="J974" s="4" t="s">
        <v>26</v>
      </c>
    </row>
    <row r="975" spans="1:11" ht="16" hidden="1" x14ac:dyDescent="0.2">
      <c r="A975" s="6" t="s">
        <v>1993</v>
      </c>
      <c r="B975" s="6" t="s">
        <v>1994</v>
      </c>
      <c r="C975" s="4" t="b">
        <v>0</v>
      </c>
      <c r="D975" s="4" t="b">
        <v>0</v>
      </c>
      <c r="E975" s="4" t="b">
        <v>0</v>
      </c>
      <c r="F975" s="4"/>
      <c r="G975" s="4" t="b">
        <f t="shared" si="15"/>
        <v>0</v>
      </c>
      <c r="H975" s="4"/>
      <c r="I975" s="4"/>
      <c r="J975" s="4" t="s">
        <v>26</v>
      </c>
      <c r="K975"/>
    </row>
    <row r="976" spans="1:11" ht="16" hidden="1" x14ac:dyDescent="0.2">
      <c r="A976" s="6" t="s">
        <v>1995</v>
      </c>
      <c r="B976" s="6" t="s">
        <v>1996</v>
      </c>
      <c r="C976" s="4" t="b">
        <v>0</v>
      </c>
      <c r="D976" s="4" t="b">
        <v>0</v>
      </c>
      <c r="E976" s="4" t="b">
        <v>0</v>
      </c>
      <c r="F976" s="4"/>
      <c r="G976" s="4" t="b">
        <f t="shared" si="15"/>
        <v>0</v>
      </c>
      <c r="H976" s="4"/>
      <c r="I976" s="4"/>
      <c r="J976" s="4" t="s">
        <v>26</v>
      </c>
      <c r="K976"/>
    </row>
    <row r="977" spans="1:11" ht="16" hidden="1" x14ac:dyDescent="0.2">
      <c r="A977" s="6" t="s">
        <v>1997</v>
      </c>
      <c r="B977" s="6" t="s">
        <v>1998</v>
      </c>
      <c r="C977" s="4" t="b">
        <v>0</v>
      </c>
      <c r="D977" s="4" t="b">
        <v>0</v>
      </c>
      <c r="E977" s="4" t="b">
        <v>0</v>
      </c>
      <c r="F977" s="4"/>
      <c r="G977" s="4" t="b">
        <f t="shared" si="15"/>
        <v>0</v>
      </c>
      <c r="H977" s="4"/>
      <c r="I977" s="4"/>
      <c r="J977" s="4" t="s">
        <v>26</v>
      </c>
      <c r="K977"/>
    </row>
    <row r="978" spans="1:11" ht="16" hidden="1" x14ac:dyDescent="0.2">
      <c r="A978" s="6" t="s">
        <v>1999</v>
      </c>
      <c r="B978" s="6" t="s">
        <v>2000</v>
      </c>
      <c r="C978" s="4" t="b">
        <v>0</v>
      </c>
      <c r="D978" s="4" t="b">
        <v>0</v>
      </c>
      <c r="E978" s="4" t="b">
        <v>0</v>
      </c>
      <c r="F978" s="4"/>
      <c r="G978" s="4" t="b">
        <f t="shared" si="15"/>
        <v>0</v>
      </c>
      <c r="H978" s="4"/>
      <c r="I978" s="4"/>
      <c r="J978" s="4" t="s">
        <v>26</v>
      </c>
      <c r="K978"/>
    </row>
    <row r="979" spans="1:11" ht="16" hidden="1" x14ac:dyDescent="0.2">
      <c r="A979" s="6" t="s">
        <v>2001</v>
      </c>
      <c r="B979" s="6" t="s">
        <v>2002</v>
      </c>
      <c r="C979" s="4" t="b">
        <v>0</v>
      </c>
      <c r="D979" s="4" t="b">
        <v>0</v>
      </c>
      <c r="E979" s="4" t="b">
        <v>0</v>
      </c>
      <c r="F979" s="4" t="s">
        <v>12</v>
      </c>
      <c r="G979" s="4" t="b">
        <f t="shared" si="15"/>
        <v>1</v>
      </c>
      <c r="H979" s="4"/>
      <c r="I979" s="4"/>
      <c r="J979" s="4" t="s">
        <v>26</v>
      </c>
    </row>
    <row r="980" spans="1:11" ht="16" hidden="1" x14ac:dyDescent="0.2">
      <c r="A980" s="6" t="s">
        <v>2003</v>
      </c>
      <c r="B980" s="6" t="s">
        <v>2004</v>
      </c>
      <c r="C980" s="4" t="b">
        <v>0</v>
      </c>
      <c r="D980" s="4" t="b">
        <v>0</v>
      </c>
      <c r="E980" s="4" t="b">
        <v>0</v>
      </c>
      <c r="F980" s="4" t="s">
        <v>12</v>
      </c>
      <c r="G980" s="4" t="b">
        <f t="shared" si="15"/>
        <v>1</v>
      </c>
      <c r="H980" s="4"/>
      <c r="I980" s="4"/>
      <c r="J980" s="4" t="s">
        <v>2005</v>
      </c>
    </row>
    <row r="981" spans="1:11" ht="16" hidden="1" x14ac:dyDescent="0.2">
      <c r="A981" s="6" t="s">
        <v>2006</v>
      </c>
      <c r="B981" s="6" t="s">
        <v>2007</v>
      </c>
      <c r="C981" s="4" t="b">
        <v>0</v>
      </c>
      <c r="D981" s="4" t="b">
        <v>0</v>
      </c>
      <c r="E981" s="4" t="b">
        <v>0</v>
      </c>
      <c r="F981" s="4"/>
      <c r="G981" s="4" t="b">
        <f t="shared" si="15"/>
        <v>0</v>
      </c>
      <c r="H981" s="4"/>
      <c r="I981" s="4"/>
      <c r="J981" s="4" t="s">
        <v>2005</v>
      </c>
      <c r="K981"/>
    </row>
    <row r="982" spans="1:11" ht="16" hidden="1" x14ac:dyDescent="0.2">
      <c r="A982" s="6" t="s">
        <v>2008</v>
      </c>
      <c r="B982" s="6" t="s">
        <v>2009</v>
      </c>
      <c r="C982" s="4" t="b">
        <v>0</v>
      </c>
      <c r="D982" s="4" t="b">
        <v>0</v>
      </c>
      <c r="E982" s="4" t="b">
        <v>0</v>
      </c>
      <c r="F982" s="4"/>
      <c r="G982" s="4" t="b">
        <f t="shared" si="15"/>
        <v>0</v>
      </c>
      <c r="H982" s="4"/>
      <c r="I982" s="4"/>
      <c r="J982" s="4" t="s">
        <v>2005</v>
      </c>
      <c r="K982"/>
    </row>
    <row r="983" spans="1:11" ht="16" hidden="1" x14ac:dyDescent="0.2">
      <c r="A983" s="6" t="s">
        <v>2010</v>
      </c>
      <c r="B983" s="6" t="s">
        <v>2011</v>
      </c>
      <c r="C983" s="4" t="b">
        <v>0</v>
      </c>
      <c r="D983" s="4" t="b">
        <v>0</v>
      </c>
      <c r="E983" s="4" t="b">
        <v>0</v>
      </c>
      <c r="F983" s="4"/>
      <c r="G983" s="4" t="b">
        <f t="shared" si="15"/>
        <v>0</v>
      </c>
      <c r="H983" s="4"/>
      <c r="I983" s="4"/>
      <c r="J983" s="4" t="s">
        <v>2005</v>
      </c>
      <c r="K983"/>
    </row>
    <row r="984" spans="1:11" ht="16" hidden="1" x14ac:dyDescent="0.2">
      <c r="A984" s="6" t="s">
        <v>2012</v>
      </c>
      <c r="B984" s="6" t="s">
        <v>2013</v>
      </c>
      <c r="C984" s="4" t="b">
        <v>0</v>
      </c>
      <c r="D984" s="4" t="b">
        <v>0</v>
      </c>
      <c r="E984" s="4" t="b">
        <v>0</v>
      </c>
      <c r="F984" s="4"/>
      <c r="G984" s="4" t="b">
        <f t="shared" si="15"/>
        <v>0</v>
      </c>
      <c r="H984" s="4"/>
      <c r="I984" s="4"/>
      <c r="J984" s="4" t="s">
        <v>2005</v>
      </c>
      <c r="K984"/>
    </row>
    <row r="985" spans="1:11" ht="16" hidden="1" x14ac:dyDescent="0.2">
      <c r="A985" s="6" t="s">
        <v>2014</v>
      </c>
      <c r="B985" s="6" t="s">
        <v>2015</v>
      </c>
      <c r="C985" s="4" t="b">
        <v>0</v>
      </c>
      <c r="D985" s="4" t="b">
        <v>0</v>
      </c>
      <c r="E985" s="4" t="b">
        <v>1</v>
      </c>
      <c r="F985" s="4"/>
      <c r="G985" s="4" t="b">
        <f t="shared" si="15"/>
        <v>0</v>
      </c>
      <c r="H985" s="4"/>
      <c r="I985" s="4"/>
      <c r="J985" s="4" t="s">
        <v>2005</v>
      </c>
      <c r="K985"/>
    </row>
    <row r="986" spans="1:11" ht="16" hidden="1" x14ac:dyDescent="0.2">
      <c r="A986" s="6" t="s">
        <v>2016</v>
      </c>
      <c r="B986" s="6" t="s">
        <v>2017</v>
      </c>
      <c r="C986" s="4" t="b">
        <v>0</v>
      </c>
      <c r="D986" s="4" t="b">
        <v>0</v>
      </c>
      <c r="E986" s="4" t="b">
        <v>1</v>
      </c>
      <c r="F986" s="4"/>
      <c r="G986" s="4" t="b">
        <f t="shared" si="15"/>
        <v>0</v>
      </c>
      <c r="H986" s="4"/>
      <c r="I986" s="4"/>
      <c r="J986" s="4" t="s">
        <v>2005</v>
      </c>
      <c r="K986"/>
    </row>
    <row r="987" spans="1:11" ht="16" hidden="1" x14ac:dyDescent="0.2">
      <c r="A987" s="6" t="s">
        <v>2018</v>
      </c>
      <c r="B987" s="6" t="s">
        <v>2019</v>
      </c>
      <c r="C987" s="4" t="b">
        <v>0</v>
      </c>
      <c r="D987" s="4" t="b">
        <v>0</v>
      </c>
      <c r="E987" s="4" t="b">
        <v>1</v>
      </c>
      <c r="F987" s="4" t="s">
        <v>12</v>
      </c>
      <c r="G987" s="4" t="b">
        <f t="shared" si="15"/>
        <v>1</v>
      </c>
      <c r="H987" s="4"/>
      <c r="I987" s="4"/>
      <c r="J987" s="4" t="s">
        <v>2005</v>
      </c>
      <c r="K987"/>
    </row>
    <row r="988" spans="1:11" ht="16" hidden="1" x14ac:dyDescent="0.2">
      <c r="A988" s="6" t="s">
        <v>2020</v>
      </c>
      <c r="B988" s="6" t="s">
        <v>2021</v>
      </c>
      <c r="C988" s="4" t="b">
        <v>0</v>
      </c>
      <c r="D988" s="4" t="b">
        <v>0</v>
      </c>
      <c r="E988" s="4" t="b">
        <v>0</v>
      </c>
      <c r="F988" s="4"/>
      <c r="G988" s="4" t="b">
        <f t="shared" si="15"/>
        <v>0</v>
      </c>
      <c r="H988" s="4"/>
      <c r="I988" s="4"/>
      <c r="J988" s="4" t="s">
        <v>2005</v>
      </c>
      <c r="K988"/>
    </row>
    <row r="989" spans="1:11" ht="80" x14ac:dyDescent="0.2">
      <c r="A989" s="6" t="s">
        <v>2022</v>
      </c>
      <c r="B989" s="6" t="s">
        <v>2023</v>
      </c>
      <c r="C989" s="4" t="b">
        <v>1</v>
      </c>
      <c r="D989" s="4" t="b">
        <v>0</v>
      </c>
      <c r="E989" s="4" t="b">
        <v>1</v>
      </c>
      <c r="F989" s="4" t="s">
        <v>12</v>
      </c>
      <c r="G989" s="4" t="b">
        <f t="shared" si="15"/>
        <v>1</v>
      </c>
      <c r="H989" s="4" t="s">
        <v>3034</v>
      </c>
      <c r="I989" s="4"/>
      <c r="J989" s="4" t="s">
        <v>2005</v>
      </c>
    </row>
    <row r="990" spans="1:11" ht="112" x14ac:dyDescent="0.2">
      <c r="A990" s="6" t="s">
        <v>2024</v>
      </c>
      <c r="B990" s="6" t="s">
        <v>2025</v>
      </c>
      <c r="C990" s="4" t="b">
        <v>1</v>
      </c>
      <c r="D990" s="4" t="b">
        <v>0</v>
      </c>
      <c r="E990" s="4" t="b">
        <v>1</v>
      </c>
      <c r="F990" s="4" t="s">
        <v>12</v>
      </c>
      <c r="G990" s="4" t="b">
        <f t="shared" si="15"/>
        <v>1</v>
      </c>
      <c r="H990" s="4" t="s">
        <v>3033</v>
      </c>
      <c r="I990" s="4"/>
      <c r="J990" s="4" t="s">
        <v>2005</v>
      </c>
    </row>
    <row r="991" spans="1:11" ht="32" hidden="1" x14ac:dyDescent="0.2">
      <c r="A991" s="6" t="s">
        <v>2026</v>
      </c>
      <c r="B991" s="6" t="s">
        <v>2027</v>
      </c>
      <c r="C991" s="4" t="b">
        <v>0</v>
      </c>
      <c r="D991" s="4" t="b">
        <v>0</v>
      </c>
      <c r="E991" s="4" t="b">
        <v>1</v>
      </c>
      <c r="F991" s="4" t="s">
        <v>12</v>
      </c>
      <c r="G991" s="4" t="b">
        <f t="shared" si="15"/>
        <v>1</v>
      </c>
      <c r="H991" s="4" t="s">
        <v>3032</v>
      </c>
      <c r="I991" s="4"/>
      <c r="J991" s="4" t="s">
        <v>2005</v>
      </c>
    </row>
    <row r="992" spans="1:11" ht="16" hidden="1" x14ac:dyDescent="0.2">
      <c r="A992" s="6" t="s">
        <v>2028</v>
      </c>
      <c r="B992" s="6" t="s">
        <v>2029</v>
      </c>
      <c r="C992" s="4" t="b">
        <v>0</v>
      </c>
      <c r="D992" s="4" t="b">
        <v>0</v>
      </c>
      <c r="E992" s="4" t="b">
        <v>0</v>
      </c>
      <c r="F992" s="4"/>
      <c r="G992" s="4" t="b">
        <f t="shared" si="15"/>
        <v>0</v>
      </c>
      <c r="H992" s="4"/>
      <c r="I992" s="4"/>
      <c r="J992" s="4" t="s">
        <v>2005</v>
      </c>
      <c r="K992"/>
    </row>
    <row r="993" spans="1:10" customFormat="1" ht="16" hidden="1" x14ac:dyDescent="0.2">
      <c r="A993" s="6" t="s">
        <v>2030</v>
      </c>
      <c r="B993" s="6" t="s">
        <v>2031</v>
      </c>
      <c r="C993" s="4" t="b">
        <v>0</v>
      </c>
      <c r="D993" s="4" t="b">
        <v>0</v>
      </c>
      <c r="E993" s="4" t="b">
        <v>0</v>
      </c>
      <c r="F993" s="4"/>
      <c r="G993" s="4" t="b">
        <f t="shared" si="15"/>
        <v>0</v>
      </c>
      <c r="H993" s="4"/>
      <c r="I993" s="4"/>
      <c r="J993" s="4" t="s">
        <v>2005</v>
      </c>
    </row>
    <row r="994" spans="1:10" customFormat="1" ht="16" hidden="1" x14ac:dyDescent="0.2">
      <c r="A994" s="6" t="s">
        <v>2032</v>
      </c>
      <c r="B994" s="6" t="s">
        <v>2033</v>
      </c>
      <c r="C994" s="4" t="b">
        <v>0</v>
      </c>
      <c r="D994" s="4" t="b">
        <v>0</v>
      </c>
      <c r="E994" s="4" t="b">
        <v>0</v>
      </c>
      <c r="F994" s="4"/>
      <c r="G994" s="4" t="b">
        <f t="shared" si="15"/>
        <v>0</v>
      </c>
      <c r="H994" s="4"/>
      <c r="I994" s="4"/>
      <c r="J994" s="4" t="s">
        <v>2005</v>
      </c>
    </row>
    <row r="995" spans="1:10" customFormat="1" ht="16" hidden="1" x14ac:dyDescent="0.2">
      <c r="A995" s="6" t="s">
        <v>2034</v>
      </c>
      <c r="B995" s="6" t="s">
        <v>2035</v>
      </c>
      <c r="C995" s="4" t="b">
        <v>0</v>
      </c>
      <c r="D995" s="4" t="b">
        <v>0</v>
      </c>
      <c r="E995" s="4" t="b">
        <v>1</v>
      </c>
      <c r="F995" s="4"/>
      <c r="G995" s="4" t="b">
        <f t="shared" si="15"/>
        <v>0</v>
      </c>
      <c r="H995" s="4"/>
      <c r="I995" s="4"/>
      <c r="J995" s="4" t="s">
        <v>2005</v>
      </c>
    </row>
    <row r="996" spans="1:10" customFormat="1" ht="16" hidden="1" x14ac:dyDescent="0.2">
      <c r="A996" s="6" t="s">
        <v>2036</v>
      </c>
      <c r="B996" s="6" t="s">
        <v>2037</v>
      </c>
      <c r="C996" s="4" t="b">
        <v>0</v>
      </c>
      <c r="D996" s="4" t="b">
        <v>0</v>
      </c>
      <c r="E996" s="4" t="b">
        <v>1</v>
      </c>
      <c r="F996" s="4"/>
      <c r="G996" s="4" t="b">
        <f t="shared" si="15"/>
        <v>0</v>
      </c>
      <c r="H996" s="4"/>
      <c r="I996" s="4"/>
      <c r="J996" s="4" t="s">
        <v>2005</v>
      </c>
    </row>
    <row r="997" spans="1:10" customFormat="1" ht="16" hidden="1" x14ac:dyDescent="0.2">
      <c r="A997" s="6" t="s">
        <v>2038</v>
      </c>
      <c r="B997" s="6" t="s">
        <v>2039</v>
      </c>
      <c r="C997" s="4" t="b">
        <v>0</v>
      </c>
      <c r="D997" s="4" t="b">
        <v>0</v>
      </c>
      <c r="E997" s="4" t="b">
        <v>0</v>
      </c>
      <c r="F997" s="4"/>
      <c r="G997" s="4" t="b">
        <f t="shared" si="15"/>
        <v>0</v>
      </c>
      <c r="H997" s="4"/>
      <c r="I997" s="4"/>
      <c r="J997" s="4" t="s">
        <v>2005</v>
      </c>
    </row>
    <row r="998" spans="1:10" customFormat="1" ht="80" x14ac:dyDescent="0.2">
      <c r="A998" s="6" t="s">
        <v>2040</v>
      </c>
      <c r="B998" s="6" t="s">
        <v>2041</v>
      </c>
      <c r="C998" s="4" t="b">
        <v>1</v>
      </c>
      <c r="D998" s="4" t="b">
        <v>0</v>
      </c>
      <c r="E998" s="4" t="b">
        <v>1</v>
      </c>
      <c r="F998" s="4" t="s">
        <v>12</v>
      </c>
      <c r="G998" s="4" t="b">
        <f t="shared" si="15"/>
        <v>1</v>
      </c>
      <c r="H998" s="4" t="s">
        <v>3270</v>
      </c>
      <c r="I998" s="4"/>
      <c r="J998" s="4" t="s">
        <v>98</v>
      </c>
    </row>
    <row r="999" spans="1:10" customFormat="1" ht="16" hidden="1" x14ac:dyDescent="0.2">
      <c r="A999" s="6" t="s">
        <v>2042</v>
      </c>
      <c r="B999" s="6" t="s">
        <v>2043</v>
      </c>
      <c r="C999" s="4" t="b">
        <v>0</v>
      </c>
      <c r="D999" s="4" t="b">
        <v>0</v>
      </c>
      <c r="E999" s="4" t="b">
        <v>0</v>
      </c>
      <c r="F999" s="4"/>
      <c r="G999" s="4" t="b">
        <f t="shared" si="15"/>
        <v>0</v>
      </c>
      <c r="H999" s="4"/>
      <c r="I999" s="4"/>
      <c r="J999" s="4" t="s">
        <v>98</v>
      </c>
    </row>
    <row r="1000" spans="1:10" customFormat="1" ht="80" x14ac:dyDescent="0.2">
      <c r="A1000" s="6" t="s">
        <v>2044</v>
      </c>
      <c r="B1000" s="6" t="s">
        <v>2045</v>
      </c>
      <c r="C1000" s="4" t="b">
        <v>1</v>
      </c>
      <c r="D1000" s="4" t="b">
        <v>0</v>
      </c>
      <c r="E1000" s="4" t="b">
        <v>1</v>
      </c>
      <c r="F1000" s="4" t="s">
        <v>12</v>
      </c>
      <c r="G1000" s="4" t="b">
        <f t="shared" si="15"/>
        <v>1</v>
      </c>
      <c r="H1000" s="4" t="s">
        <v>3269</v>
      </c>
      <c r="I1000" s="4"/>
      <c r="J1000" s="4" t="s">
        <v>98</v>
      </c>
    </row>
    <row r="1001" spans="1:10" customFormat="1" ht="16" hidden="1" x14ac:dyDescent="0.2">
      <c r="A1001" s="6" t="s">
        <v>2046</v>
      </c>
      <c r="B1001" s="6" t="s">
        <v>2047</v>
      </c>
      <c r="C1001" s="4" t="b">
        <v>0</v>
      </c>
      <c r="D1001" s="4" t="b">
        <v>0</v>
      </c>
      <c r="E1001" s="4" t="b">
        <v>0</v>
      </c>
      <c r="F1001" s="4"/>
      <c r="G1001" s="4" t="b">
        <f t="shared" si="15"/>
        <v>0</v>
      </c>
      <c r="H1001" s="4"/>
      <c r="I1001" s="4"/>
      <c r="J1001" s="4" t="s">
        <v>98</v>
      </c>
    </row>
    <row r="1002" spans="1:10" customFormat="1" ht="16" hidden="1" x14ac:dyDescent="0.2">
      <c r="A1002" s="6" t="s">
        <v>2048</v>
      </c>
      <c r="B1002" s="6" t="s">
        <v>2049</v>
      </c>
      <c r="C1002" s="4" t="b">
        <v>0</v>
      </c>
      <c r="D1002" s="4" t="b">
        <v>0</v>
      </c>
      <c r="E1002" s="4" t="b">
        <v>0</v>
      </c>
      <c r="F1002" s="4"/>
      <c r="G1002" s="4" t="b">
        <f t="shared" si="15"/>
        <v>0</v>
      </c>
      <c r="H1002" s="4"/>
      <c r="I1002" s="4"/>
      <c r="J1002" s="4" t="s">
        <v>98</v>
      </c>
    </row>
    <row r="1003" spans="1:10" customFormat="1" ht="16" hidden="1" x14ac:dyDescent="0.2">
      <c r="A1003" s="6" t="s">
        <v>2050</v>
      </c>
      <c r="B1003" s="6" t="s">
        <v>2051</v>
      </c>
      <c r="C1003" s="4" t="b">
        <v>0</v>
      </c>
      <c r="D1003" s="4" t="b">
        <v>0</v>
      </c>
      <c r="E1003" s="4" t="b">
        <v>1</v>
      </c>
      <c r="F1003" s="4"/>
      <c r="G1003" s="4" t="b">
        <f t="shared" si="15"/>
        <v>0</v>
      </c>
      <c r="H1003" s="4"/>
      <c r="I1003" s="4"/>
      <c r="J1003" s="4" t="s">
        <v>98</v>
      </c>
    </row>
    <row r="1004" spans="1:10" customFormat="1" ht="16" hidden="1" x14ac:dyDescent="0.2">
      <c r="A1004" s="6" t="s">
        <v>2052</v>
      </c>
      <c r="B1004" s="6" t="s">
        <v>2053</v>
      </c>
      <c r="C1004" s="4" t="b">
        <v>0</v>
      </c>
      <c r="D1004" s="4" t="b">
        <v>0</v>
      </c>
      <c r="E1004" s="4" t="b">
        <v>0</v>
      </c>
      <c r="F1004" s="4"/>
      <c r="G1004" s="4" t="b">
        <f t="shared" si="15"/>
        <v>0</v>
      </c>
      <c r="H1004" s="4"/>
      <c r="I1004" s="4"/>
      <c r="J1004" s="4" t="s">
        <v>98</v>
      </c>
    </row>
    <row r="1005" spans="1:10" customFormat="1" ht="16" hidden="1" x14ac:dyDescent="0.2">
      <c r="A1005" s="6" t="s">
        <v>2054</v>
      </c>
      <c r="B1005" s="6" t="s">
        <v>2055</v>
      </c>
      <c r="C1005" s="4" t="b">
        <v>0</v>
      </c>
      <c r="D1005" s="4" t="b">
        <v>0</v>
      </c>
      <c r="E1005" s="4" t="b">
        <v>0</v>
      </c>
      <c r="F1005" s="4"/>
      <c r="G1005" s="4" t="b">
        <f t="shared" si="15"/>
        <v>0</v>
      </c>
      <c r="H1005" s="4"/>
      <c r="I1005" s="4"/>
      <c r="J1005" s="4" t="s">
        <v>98</v>
      </c>
    </row>
    <row r="1006" spans="1:10" customFormat="1" ht="16" x14ac:dyDescent="0.2">
      <c r="A1006" s="6" t="s">
        <v>2056</v>
      </c>
      <c r="B1006" s="6" t="s">
        <v>2057</v>
      </c>
      <c r="C1006" s="4" t="b">
        <v>1</v>
      </c>
      <c r="D1006" s="4" t="b">
        <v>0</v>
      </c>
      <c r="E1006" s="4" t="b">
        <v>1</v>
      </c>
      <c r="F1006" s="4" t="s">
        <v>12</v>
      </c>
      <c r="G1006" s="4" t="b">
        <f t="shared" si="15"/>
        <v>1</v>
      </c>
      <c r="H1006" s="4" t="s">
        <v>3268</v>
      </c>
      <c r="I1006" s="4"/>
      <c r="J1006" s="4" t="s">
        <v>98</v>
      </c>
    </row>
    <row r="1007" spans="1:10" customFormat="1" ht="16" hidden="1" x14ac:dyDescent="0.2">
      <c r="A1007" s="6" t="s">
        <v>2058</v>
      </c>
      <c r="B1007" s="6" t="s">
        <v>2059</v>
      </c>
      <c r="C1007" s="4" t="b">
        <v>0</v>
      </c>
      <c r="D1007" s="4" t="b">
        <v>0</v>
      </c>
      <c r="E1007" s="4" t="b">
        <v>0</v>
      </c>
      <c r="F1007" s="4"/>
      <c r="G1007" s="4" t="b">
        <f t="shared" si="15"/>
        <v>0</v>
      </c>
      <c r="H1007" s="4"/>
      <c r="I1007" s="4"/>
      <c r="J1007" s="4" t="s">
        <v>98</v>
      </c>
    </row>
    <row r="1008" spans="1:10" customFormat="1" ht="80" x14ac:dyDescent="0.2">
      <c r="A1008" s="6" t="s">
        <v>2060</v>
      </c>
      <c r="B1008" s="6" t="s">
        <v>2061</v>
      </c>
      <c r="C1008" s="4" t="b">
        <v>1</v>
      </c>
      <c r="D1008" s="4" t="b">
        <v>0</v>
      </c>
      <c r="E1008" s="4" t="b">
        <v>1</v>
      </c>
      <c r="F1008" s="4" t="s">
        <v>12</v>
      </c>
      <c r="G1008" s="4" t="b">
        <f t="shared" si="15"/>
        <v>1</v>
      </c>
      <c r="H1008" s="4" t="s">
        <v>3266</v>
      </c>
      <c r="I1008" s="4"/>
      <c r="J1008" s="4" t="s">
        <v>98</v>
      </c>
    </row>
    <row r="1009" spans="1:10" customFormat="1" ht="16" hidden="1" x14ac:dyDescent="0.2">
      <c r="A1009" s="6" t="s">
        <v>2062</v>
      </c>
      <c r="B1009" s="6" t="s">
        <v>2063</v>
      </c>
      <c r="C1009" s="4" t="b">
        <v>0</v>
      </c>
      <c r="D1009" s="4" t="b">
        <v>0</v>
      </c>
      <c r="E1009" s="4" t="b">
        <v>0</v>
      </c>
      <c r="F1009" s="4"/>
      <c r="G1009" s="4" t="b">
        <f t="shared" si="15"/>
        <v>0</v>
      </c>
      <c r="H1009" s="4"/>
      <c r="I1009" s="4"/>
      <c r="J1009" s="4" t="s">
        <v>98</v>
      </c>
    </row>
    <row r="1010" spans="1:10" customFormat="1" ht="16" x14ac:dyDescent="0.2">
      <c r="A1010" s="6" t="s">
        <v>2064</v>
      </c>
      <c r="B1010" s="6" t="s">
        <v>2065</v>
      </c>
      <c r="C1010" s="4" t="b">
        <v>1</v>
      </c>
      <c r="D1010" s="4" t="b">
        <v>0</v>
      </c>
      <c r="E1010" s="4" t="b">
        <v>1</v>
      </c>
      <c r="F1010" s="4" t="s">
        <v>12</v>
      </c>
      <c r="G1010" s="4" t="b">
        <f t="shared" si="15"/>
        <v>1</v>
      </c>
      <c r="H1010" s="4" t="s">
        <v>3265</v>
      </c>
      <c r="I1010" s="4"/>
      <c r="J1010" s="4" t="s">
        <v>98</v>
      </c>
    </row>
    <row r="1011" spans="1:10" customFormat="1" ht="16" x14ac:dyDescent="0.2">
      <c r="A1011" s="6" t="s">
        <v>2066</v>
      </c>
      <c r="B1011" s="6" t="s">
        <v>2067</v>
      </c>
      <c r="C1011" s="4" t="b">
        <v>1</v>
      </c>
      <c r="D1011" s="4" t="b">
        <v>0</v>
      </c>
      <c r="E1011" s="4" t="b">
        <v>1</v>
      </c>
      <c r="F1011" s="4" t="s">
        <v>12</v>
      </c>
      <c r="G1011" s="4" t="b">
        <f t="shared" si="15"/>
        <v>1</v>
      </c>
      <c r="H1011" s="4" t="s">
        <v>3264</v>
      </c>
      <c r="I1011" s="4"/>
      <c r="J1011" s="4" t="s">
        <v>98</v>
      </c>
    </row>
    <row r="1012" spans="1:10" customFormat="1" ht="80" x14ac:dyDescent="0.2">
      <c r="A1012" s="6" t="s">
        <v>2068</v>
      </c>
      <c r="B1012" s="6" t="s">
        <v>2069</v>
      </c>
      <c r="C1012" s="4" t="b">
        <v>1</v>
      </c>
      <c r="D1012" s="4" t="b">
        <v>0</v>
      </c>
      <c r="E1012" s="4" t="b">
        <v>1</v>
      </c>
      <c r="F1012" s="4" t="s">
        <v>12</v>
      </c>
      <c r="G1012" s="4" t="b">
        <f t="shared" si="15"/>
        <v>1</v>
      </c>
      <c r="H1012" s="4" t="s">
        <v>3263</v>
      </c>
      <c r="I1012" s="4"/>
      <c r="J1012" s="4" t="s">
        <v>98</v>
      </c>
    </row>
    <row r="1013" spans="1:10" customFormat="1" ht="16" hidden="1" x14ac:dyDescent="0.2">
      <c r="A1013" s="6" t="s">
        <v>2070</v>
      </c>
      <c r="B1013" s="6" t="s">
        <v>2071</v>
      </c>
      <c r="C1013" s="4" t="b">
        <v>0</v>
      </c>
      <c r="D1013" s="4" t="b">
        <v>0</v>
      </c>
      <c r="E1013" s="4" t="b">
        <v>1</v>
      </c>
      <c r="F1013" s="4"/>
      <c r="G1013" s="4" t="b">
        <f t="shared" si="15"/>
        <v>0</v>
      </c>
      <c r="H1013" s="4"/>
      <c r="I1013" s="4"/>
      <c r="J1013" s="4" t="s">
        <v>98</v>
      </c>
    </row>
    <row r="1014" spans="1:10" customFormat="1" ht="32" x14ac:dyDescent="0.2">
      <c r="A1014" s="6" t="s">
        <v>2072</v>
      </c>
      <c r="B1014" s="6" t="s">
        <v>2073</v>
      </c>
      <c r="C1014" s="4" t="b">
        <v>1</v>
      </c>
      <c r="D1014" s="4" t="b">
        <v>0</v>
      </c>
      <c r="E1014" s="4" t="b">
        <v>1</v>
      </c>
      <c r="F1014" s="4" t="s">
        <v>12</v>
      </c>
      <c r="G1014" s="4" t="b">
        <f t="shared" si="15"/>
        <v>1</v>
      </c>
      <c r="H1014" s="4" t="s">
        <v>3262</v>
      </c>
      <c r="I1014" s="4"/>
      <c r="J1014" s="4" t="s">
        <v>98</v>
      </c>
    </row>
    <row r="1015" spans="1:10" customFormat="1" ht="16" hidden="1" x14ac:dyDescent="0.2">
      <c r="A1015" s="6" t="s">
        <v>2074</v>
      </c>
      <c r="B1015" s="6" t="s">
        <v>2075</v>
      </c>
      <c r="C1015" s="4" t="b">
        <v>0</v>
      </c>
      <c r="D1015" s="4" t="b">
        <v>0</v>
      </c>
      <c r="E1015" s="4" t="b">
        <v>0</v>
      </c>
      <c r="F1015" s="4"/>
      <c r="G1015" s="4" t="b">
        <f t="shared" si="15"/>
        <v>0</v>
      </c>
      <c r="H1015" s="4"/>
      <c r="I1015" s="4"/>
      <c r="J1015" s="4" t="s">
        <v>98</v>
      </c>
    </row>
    <row r="1016" spans="1:10" customFormat="1" ht="16" hidden="1" x14ac:dyDescent="0.2">
      <c r="A1016" s="6" t="s">
        <v>2076</v>
      </c>
      <c r="B1016" s="6" t="s">
        <v>2077</v>
      </c>
      <c r="C1016" s="4" t="b">
        <v>0</v>
      </c>
      <c r="D1016" s="4" t="b">
        <v>0</v>
      </c>
      <c r="E1016" s="4" t="b">
        <v>1</v>
      </c>
      <c r="F1016" s="4"/>
      <c r="G1016" s="4" t="b">
        <f t="shared" si="15"/>
        <v>0</v>
      </c>
      <c r="H1016" s="4"/>
      <c r="I1016" s="4"/>
      <c r="J1016" s="4" t="s">
        <v>98</v>
      </c>
    </row>
    <row r="1017" spans="1:10" customFormat="1" ht="16" hidden="1" x14ac:dyDescent="0.2">
      <c r="A1017" s="6" t="s">
        <v>2078</v>
      </c>
      <c r="B1017" s="6" t="s">
        <v>2079</v>
      </c>
      <c r="C1017" s="4" t="b">
        <v>0</v>
      </c>
      <c r="D1017" s="4" t="b">
        <v>0</v>
      </c>
      <c r="E1017" s="4" t="b">
        <v>0</v>
      </c>
      <c r="F1017" s="4"/>
      <c r="G1017" s="4" t="b">
        <f t="shared" si="15"/>
        <v>0</v>
      </c>
      <c r="H1017" s="4"/>
      <c r="I1017" s="4"/>
      <c r="J1017" s="4" t="s">
        <v>98</v>
      </c>
    </row>
    <row r="1018" spans="1:10" customFormat="1" ht="16" hidden="1" x14ac:dyDescent="0.2">
      <c r="A1018" s="6" t="s">
        <v>2080</v>
      </c>
      <c r="B1018" s="6" t="s">
        <v>2081</v>
      </c>
      <c r="C1018" s="4" t="b">
        <v>0</v>
      </c>
      <c r="D1018" s="4" t="b">
        <v>0</v>
      </c>
      <c r="E1018" s="4" t="b">
        <v>0</v>
      </c>
      <c r="F1018" s="4"/>
      <c r="G1018" s="4" t="b">
        <f t="shared" si="15"/>
        <v>0</v>
      </c>
      <c r="H1018" s="4"/>
      <c r="I1018" s="4"/>
      <c r="J1018" s="4" t="s">
        <v>98</v>
      </c>
    </row>
    <row r="1019" spans="1:10" customFormat="1" ht="96" x14ac:dyDescent="0.2">
      <c r="A1019" s="6" t="s">
        <v>2082</v>
      </c>
      <c r="B1019" s="6" t="s">
        <v>2083</v>
      </c>
      <c r="C1019" s="4" t="b">
        <v>1</v>
      </c>
      <c r="D1019" s="4" t="b">
        <v>0</v>
      </c>
      <c r="E1019" s="4" t="b">
        <v>1</v>
      </c>
      <c r="F1019" s="4" t="s">
        <v>12</v>
      </c>
      <c r="G1019" s="4" t="b">
        <f t="shared" si="15"/>
        <v>1</v>
      </c>
      <c r="H1019" s="4" t="s">
        <v>3261</v>
      </c>
      <c r="I1019" s="4"/>
      <c r="J1019" s="4" t="s">
        <v>98</v>
      </c>
    </row>
    <row r="1020" spans="1:10" customFormat="1" ht="16" hidden="1" x14ac:dyDescent="0.2">
      <c r="A1020" s="6" t="s">
        <v>2084</v>
      </c>
      <c r="B1020" s="6" t="s">
        <v>2085</v>
      </c>
      <c r="C1020" s="4" t="b">
        <v>0</v>
      </c>
      <c r="D1020" s="4" t="b">
        <v>0</v>
      </c>
      <c r="E1020" s="4" t="b">
        <v>0</v>
      </c>
      <c r="F1020" s="4"/>
      <c r="G1020" s="4" t="b">
        <f t="shared" si="15"/>
        <v>0</v>
      </c>
      <c r="H1020" s="4"/>
      <c r="I1020" s="4"/>
      <c r="J1020" s="4" t="s">
        <v>98</v>
      </c>
    </row>
    <row r="1021" spans="1:10" customFormat="1" ht="16" hidden="1" x14ac:dyDescent="0.2">
      <c r="A1021" s="6" t="s">
        <v>2086</v>
      </c>
      <c r="B1021" s="6" t="s">
        <v>2087</v>
      </c>
      <c r="C1021" s="4" t="b">
        <v>0</v>
      </c>
      <c r="D1021" s="4" t="b">
        <v>0</v>
      </c>
      <c r="E1021" s="4" t="b">
        <v>0</v>
      </c>
      <c r="F1021" s="4"/>
      <c r="G1021" s="4" t="b">
        <f t="shared" si="15"/>
        <v>0</v>
      </c>
      <c r="H1021" s="4"/>
      <c r="I1021" s="4"/>
      <c r="J1021" s="4" t="s">
        <v>98</v>
      </c>
    </row>
    <row r="1022" spans="1:10" customFormat="1" ht="16" hidden="1" x14ac:dyDescent="0.2">
      <c r="A1022" s="6" t="s">
        <v>2088</v>
      </c>
      <c r="B1022" s="6" t="s">
        <v>2089</v>
      </c>
      <c r="C1022" s="4" t="b">
        <v>0</v>
      </c>
      <c r="D1022" s="4" t="b">
        <v>0</v>
      </c>
      <c r="E1022" s="4" t="b">
        <v>1</v>
      </c>
      <c r="F1022" s="4"/>
      <c r="G1022" s="4" t="b">
        <f t="shared" si="15"/>
        <v>0</v>
      </c>
      <c r="H1022" s="4"/>
      <c r="I1022" s="4"/>
      <c r="J1022" s="4" t="s">
        <v>98</v>
      </c>
    </row>
    <row r="1023" spans="1:10" customFormat="1" ht="16" hidden="1" x14ac:dyDescent="0.2">
      <c r="A1023" s="6" t="s">
        <v>2090</v>
      </c>
      <c r="B1023" s="6" t="s">
        <v>2091</v>
      </c>
      <c r="C1023" s="4" t="b">
        <v>0</v>
      </c>
      <c r="D1023" s="4" t="b">
        <v>0</v>
      </c>
      <c r="E1023" s="4" t="b">
        <v>0</v>
      </c>
      <c r="F1023" s="4"/>
      <c r="G1023" s="4" t="b">
        <f t="shared" si="15"/>
        <v>0</v>
      </c>
      <c r="H1023" s="4"/>
      <c r="I1023" s="4"/>
      <c r="J1023" s="4" t="s">
        <v>98</v>
      </c>
    </row>
    <row r="1024" spans="1:10" customFormat="1" ht="96" x14ac:dyDescent="0.2">
      <c r="A1024" s="6" t="s">
        <v>2092</v>
      </c>
      <c r="B1024" s="6" t="s">
        <v>2093</v>
      </c>
      <c r="C1024" s="4" t="b">
        <v>1</v>
      </c>
      <c r="D1024" s="4" t="b">
        <v>0</v>
      </c>
      <c r="E1024" s="4" t="b">
        <v>1</v>
      </c>
      <c r="F1024" s="4" t="s">
        <v>12</v>
      </c>
      <c r="G1024" s="4" t="b">
        <f t="shared" si="15"/>
        <v>1</v>
      </c>
      <c r="H1024" s="4" t="s">
        <v>3260</v>
      </c>
      <c r="I1024" s="4"/>
      <c r="J1024" s="4" t="s">
        <v>98</v>
      </c>
    </row>
    <row r="1025" spans="1:10" customFormat="1" ht="96" x14ac:dyDescent="0.2">
      <c r="A1025" s="6" t="s">
        <v>2094</v>
      </c>
      <c r="B1025" s="6" t="s">
        <v>2095</v>
      </c>
      <c r="C1025" s="4" t="b">
        <v>1</v>
      </c>
      <c r="D1025" s="4" t="b">
        <v>0</v>
      </c>
      <c r="E1025" s="4" t="b">
        <v>1</v>
      </c>
      <c r="F1025" s="4" t="s">
        <v>12</v>
      </c>
      <c r="G1025" s="4" t="b">
        <f t="shared" si="15"/>
        <v>1</v>
      </c>
      <c r="H1025" s="4" t="s">
        <v>3259</v>
      </c>
      <c r="I1025" s="4"/>
      <c r="J1025" s="4" t="s">
        <v>98</v>
      </c>
    </row>
    <row r="1026" spans="1:10" customFormat="1" ht="32" x14ac:dyDescent="0.2">
      <c r="A1026" s="6" t="s">
        <v>2096</v>
      </c>
      <c r="B1026" s="6" t="s">
        <v>2097</v>
      </c>
      <c r="C1026" s="4" t="b">
        <v>1</v>
      </c>
      <c r="D1026" s="4" t="b">
        <v>0</v>
      </c>
      <c r="E1026" s="4" t="b">
        <v>1</v>
      </c>
      <c r="F1026" s="4" t="s">
        <v>12</v>
      </c>
      <c r="G1026" s="4" t="b">
        <f t="shared" ref="G1026:G1089" si="16">IF(F1026="✔", TRUE, FALSE)</f>
        <v>1</v>
      </c>
      <c r="H1026" s="4" t="s">
        <v>3258</v>
      </c>
      <c r="I1026" s="4"/>
      <c r="J1026" s="4" t="s">
        <v>98</v>
      </c>
    </row>
    <row r="1027" spans="1:10" customFormat="1" ht="16" hidden="1" x14ac:dyDescent="0.2">
      <c r="A1027" s="6" t="s">
        <v>2098</v>
      </c>
      <c r="B1027" s="6" t="s">
        <v>2099</v>
      </c>
      <c r="C1027" s="4" t="b">
        <v>0</v>
      </c>
      <c r="D1027" s="4" t="b">
        <v>0</v>
      </c>
      <c r="E1027" s="4" t="b">
        <v>0</v>
      </c>
      <c r="F1027" s="4"/>
      <c r="G1027" s="4" t="b">
        <f t="shared" si="16"/>
        <v>0</v>
      </c>
      <c r="H1027" s="4"/>
      <c r="I1027" s="4"/>
      <c r="J1027" s="4" t="s">
        <v>98</v>
      </c>
    </row>
    <row r="1028" spans="1:10" customFormat="1" ht="16" hidden="1" x14ac:dyDescent="0.2">
      <c r="A1028" s="6" t="s">
        <v>2100</v>
      </c>
      <c r="B1028" s="6" t="s">
        <v>2101</v>
      </c>
      <c r="C1028" s="4" t="b">
        <v>0</v>
      </c>
      <c r="D1028" s="4" t="b">
        <v>0</v>
      </c>
      <c r="E1028" s="4" t="b">
        <v>0</v>
      </c>
      <c r="F1028" s="4"/>
      <c r="G1028" s="4" t="b">
        <f t="shared" si="16"/>
        <v>0</v>
      </c>
      <c r="H1028" s="4"/>
      <c r="I1028" s="4"/>
      <c r="J1028" s="4" t="s">
        <v>98</v>
      </c>
    </row>
    <row r="1029" spans="1:10" customFormat="1" ht="16" hidden="1" x14ac:dyDescent="0.2">
      <c r="A1029" s="6" t="s">
        <v>2102</v>
      </c>
      <c r="B1029" s="6" t="s">
        <v>2103</v>
      </c>
      <c r="C1029" s="4" t="b">
        <v>0</v>
      </c>
      <c r="D1029" s="4" t="b">
        <v>0</v>
      </c>
      <c r="E1029" s="4" t="b">
        <v>1</v>
      </c>
      <c r="F1029" s="4"/>
      <c r="G1029" s="4" t="b">
        <f t="shared" si="16"/>
        <v>0</v>
      </c>
      <c r="H1029" s="4"/>
      <c r="I1029" s="4"/>
      <c r="J1029" s="4" t="s">
        <v>98</v>
      </c>
    </row>
    <row r="1030" spans="1:10" customFormat="1" ht="16" hidden="1" x14ac:dyDescent="0.2">
      <c r="A1030" s="6" t="s">
        <v>2104</v>
      </c>
      <c r="B1030" s="6" t="s">
        <v>2105</v>
      </c>
      <c r="C1030" s="4" t="b">
        <v>0</v>
      </c>
      <c r="D1030" s="4" t="b">
        <v>0</v>
      </c>
      <c r="E1030" s="4" t="b">
        <v>1</v>
      </c>
      <c r="F1030" s="4"/>
      <c r="G1030" s="4" t="b">
        <f t="shared" si="16"/>
        <v>0</v>
      </c>
      <c r="H1030" s="4"/>
      <c r="I1030" s="4"/>
      <c r="J1030" s="4" t="s">
        <v>98</v>
      </c>
    </row>
    <row r="1031" spans="1:10" customFormat="1" ht="16" hidden="1" x14ac:dyDescent="0.2">
      <c r="A1031" s="6" t="s">
        <v>2106</v>
      </c>
      <c r="B1031" s="6" t="s">
        <v>2107</v>
      </c>
      <c r="C1031" s="4" t="b">
        <v>0</v>
      </c>
      <c r="D1031" s="4" t="b">
        <v>0</v>
      </c>
      <c r="E1031" s="4" t="b">
        <v>1</v>
      </c>
      <c r="F1031" s="4"/>
      <c r="G1031" s="4" t="b">
        <f t="shared" si="16"/>
        <v>0</v>
      </c>
      <c r="H1031" s="4"/>
      <c r="I1031" s="4"/>
      <c r="J1031" s="4" t="s">
        <v>98</v>
      </c>
    </row>
    <row r="1032" spans="1:10" customFormat="1" ht="16" hidden="1" x14ac:dyDescent="0.2">
      <c r="A1032" s="6" t="s">
        <v>2108</v>
      </c>
      <c r="B1032" s="6" t="s">
        <v>2109</v>
      </c>
      <c r="C1032" s="4" t="b">
        <v>0</v>
      </c>
      <c r="D1032" s="4" t="b">
        <v>0</v>
      </c>
      <c r="E1032" s="4" t="b">
        <v>1</v>
      </c>
      <c r="F1032" s="4"/>
      <c r="G1032" s="4" t="b">
        <f t="shared" si="16"/>
        <v>0</v>
      </c>
      <c r="H1032" s="4"/>
      <c r="I1032" s="4"/>
      <c r="J1032" s="4" t="s">
        <v>98</v>
      </c>
    </row>
    <row r="1033" spans="1:10" customFormat="1" ht="16" hidden="1" x14ac:dyDescent="0.2">
      <c r="A1033" s="6" t="s">
        <v>2110</v>
      </c>
      <c r="B1033" s="6" t="s">
        <v>2111</v>
      </c>
      <c r="C1033" s="4" t="b">
        <v>0</v>
      </c>
      <c r="D1033" s="4" t="b">
        <v>0</v>
      </c>
      <c r="E1033" s="4" t="b">
        <v>0</v>
      </c>
      <c r="F1033" s="4"/>
      <c r="G1033" s="4" t="b">
        <f t="shared" si="16"/>
        <v>0</v>
      </c>
      <c r="H1033" s="4"/>
      <c r="I1033" s="4"/>
      <c r="J1033" s="4" t="s">
        <v>98</v>
      </c>
    </row>
    <row r="1034" spans="1:10" customFormat="1" ht="16" hidden="1" x14ac:dyDescent="0.2">
      <c r="A1034" s="6" t="s">
        <v>2112</v>
      </c>
      <c r="B1034" s="6" t="s">
        <v>2113</v>
      </c>
      <c r="C1034" s="4" t="b">
        <v>0</v>
      </c>
      <c r="D1034" s="4" t="b">
        <v>0</v>
      </c>
      <c r="E1034" s="4" t="b">
        <v>0</v>
      </c>
      <c r="F1034" s="4"/>
      <c r="G1034" s="4" t="b">
        <f t="shared" si="16"/>
        <v>0</v>
      </c>
      <c r="H1034" s="4"/>
      <c r="I1034" s="4"/>
      <c r="J1034" s="4" t="s">
        <v>98</v>
      </c>
    </row>
    <row r="1035" spans="1:10" customFormat="1" ht="80" x14ac:dyDescent="0.2">
      <c r="A1035" s="6" t="s">
        <v>2114</v>
      </c>
      <c r="B1035" s="6" t="s">
        <v>2115</v>
      </c>
      <c r="C1035" s="4" t="b">
        <v>1</v>
      </c>
      <c r="D1035" s="4" t="b">
        <v>0</v>
      </c>
      <c r="E1035" s="4" t="b">
        <v>1</v>
      </c>
      <c r="F1035" s="4" t="s">
        <v>12</v>
      </c>
      <c r="G1035" s="4" t="b">
        <f t="shared" si="16"/>
        <v>1</v>
      </c>
      <c r="H1035" s="4" t="s">
        <v>3257</v>
      </c>
      <c r="I1035" s="4"/>
      <c r="J1035" s="4" t="s">
        <v>98</v>
      </c>
    </row>
    <row r="1036" spans="1:10" customFormat="1" ht="64" x14ac:dyDescent="0.2">
      <c r="A1036" s="6" t="s">
        <v>2116</v>
      </c>
      <c r="B1036" s="6" t="s">
        <v>2117</v>
      </c>
      <c r="C1036" s="4" t="b">
        <v>1</v>
      </c>
      <c r="D1036" s="4" t="b">
        <v>0</v>
      </c>
      <c r="E1036" s="4" t="b">
        <v>1</v>
      </c>
      <c r="F1036" s="4" t="s">
        <v>12</v>
      </c>
      <c r="G1036" s="4" t="b">
        <f t="shared" si="16"/>
        <v>1</v>
      </c>
      <c r="H1036" s="4" t="s">
        <v>3256</v>
      </c>
      <c r="I1036" s="4"/>
      <c r="J1036" s="4" t="s">
        <v>98</v>
      </c>
    </row>
    <row r="1037" spans="1:10" customFormat="1" ht="32" x14ac:dyDescent="0.2">
      <c r="A1037" s="6" t="s">
        <v>2118</v>
      </c>
      <c r="B1037" s="6" t="s">
        <v>2119</v>
      </c>
      <c r="C1037" s="4" t="b">
        <v>1</v>
      </c>
      <c r="D1037" s="4" t="b">
        <v>1</v>
      </c>
      <c r="E1037" s="4" t="b">
        <v>1</v>
      </c>
      <c r="F1037" s="4" t="s">
        <v>12</v>
      </c>
      <c r="G1037" s="4" t="b">
        <f t="shared" si="16"/>
        <v>1</v>
      </c>
      <c r="H1037" s="4" t="s">
        <v>3255</v>
      </c>
      <c r="I1037" s="4"/>
      <c r="J1037" s="4" t="s">
        <v>98</v>
      </c>
    </row>
    <row r="1038" spans="1:10" customFormat="1" ht="16" hidden="1" x14ac:dyDescent="0.2">
      <c r="A1038" s="6" t="s">
        <v>2120</v>
      </c>
      <c r="B1038" s="6" t="s">
        <v>2121</v>
      </c>
      <c r="C1038" s="4" t="b">
        <v>0</v>
      </c>
      <c r="D1038" s="4" t="b">
        <v>0</v>
      </c>
      <c r="E1038" s="4" t="b">
        <v>1</v>
      </c>
      <c r="F1038" s="4"/>
      <c r="G1038" s="4" t="b">
        <f t="shared" si="16"/>
        <v>0</v>
      </c>
      <c r="H1038" s="4"/>
      <c r="I1038" s="4"/>
      <c r="J1038" s="4" t="s">
        <v>98</v>
      </c>
    </row>
    <row r="1039" spans="1:10" customFormat="1" ht="48" x14ac:dyDescent="0.2">
      <c r="A1039" s="6" t="s">
        <v>2122</v>
      </c>
      <c r="B1039" s="6" t="s">
        <v>2123</v>
      </c>
      <c r="C1039" s="4" t="b">
        <v>1</v>
      </c>
      <c r="D1039" s="4" t="b">
        <v>0</v>
      </c>
      <c r="E1039" s="4" t="b">
        <v>1</v>
      </c>
      <c r="F1039" s="4" t="s">
        <v>12</v>
      </c>
      <c r="G1039" s="4" t="b">
        <f t="shared" si="16"/>
        <v>1</v>
      </c>
      <c r="H1039" s="4" t="s">
        <v>3254</v>
      </c>
      <c r="I1039" s="4"/>
      <c r="J1039" s="4" t="s">
        <v>98</v>
      </c>
    </row>
    <row r="1040" spans="1:10" customFormat="1" ht="16" hidden="1" x14ac:dyDescent="0.2">
      <c r="A1040" s="6" t="s">
        <v>2124</v>
      </c>
      <c r="B1040" s="6" t="s">
        <v>2125</v>
      </c>
      <c r="C1040" s="4" t="b">
        <v>0</v>
      </c>
      <c r="D1040" s="4" t="b">
        <v>0</v>
      </c>
      <c r="E1040" s="4" t="b">
        <v>1</v>
      </c>
      <c r="F1040" s="4"/>
      <c r="G1040" s="4" t="b">
        <f t="shared" si="16"/>
        <v>0</v>
      </c>
      <c r="H1040" s="4"/>
      <c r="I1040" s="4"/>
      <c r="J1040" s="4" t="s">
        <v>98</v>
      </c>
    </row>
    <row r="1041" spans="1:11" ht="16" x14ac:dyDescent="0.2">
      <c r="A1041" s="6" t="s">
        <v>2126</v>
      </c>
      <c r="B1041" s="6" t="s">
        <v>2127</v>
      </c>
      <c r="C1041" s="4" t="b">
        <v>1</v>
      </c>
      <c r="D1041" s="4" t="b">
        <v>0</v>
      </c>
      <c r="E1041" s="4" t="b">
        <v>1</v>
      </c>
      <c r="F1041" s="4" t="s">
        <v>12</v>
      </c>
      <c r="G1041" s="4" t="b">
        <f t="shared" si="16"/>
        <v>1</v>
      </c>
      <c r="H1041" s="4" t="s">
        <v>3253</v>
      </c>
      <c r="I1041" s="4"/>
      <c r="J1041" s="4" t="s">
        <v>98</v>
      </c>
      <c r="K1041"/>
    </row>
    <row r="1042" spans="1:11" ht="16" hidden="1" x14ac:dyDescent="0.2">
      <c r="A1042" s="6" t="s">
        <v>2128</v>
      </c>
      <c r="B1042" s="6" t="s">
        <v>2129</v>
      </c>
      <c r="C1042" s="4" t="b">
        <v>0</v>
      </c>
      <c r="D1042" s="4" t="b">
        <v>0</v>
      </c>
      <c r="E1042" s="4" t="b">
        <v>1</v>
      </c>
      <c r="F1042" s="4"/>
      <c r="G1042" s="4" t="b">
        <f t="shared" si="16"/>
        <v>0</v>
      </c>
      <c r="H1042" s="4"/>
      <c r="I1042" s="4"/>
      <c r="J1042" s="4" t="s">
        <v>98</v>
      </c>
      <c r="K1042"/>
    </row>
    <row r="1043" spans="1:11" ht="16" x14ac:dyDescent="0.2">
      <c r="A1043" s="6" t="s">
        <v>2130</v>
      </c>
      <c r="B1043" s="6" t="s">
        <v>2131</v>
      </c>
      <c r="C1043" s="4" t="b">
        <v>1</v>
      </c>
      <c r="D1043" s="4" t="b">
        <v>0</v>
      </c>
      <c r="E1043" s="4" t="b">
        <v>1</v>
      </c>
      <c r="F1043" s="4" t="s">
        <v>12</v>
      </c>
      <c r="G1043" s="4" t="b">
        <f t="shared" si="16"/>
        <v>1</v>
      </c>
      <c r="H1043" s="4" t="s">
        <v>3252</v>
      </c>
      <c r="I1043" s="4"/>
      <c r="J1043" s="4" t="s">
        <v>98</v>
      </c>
      <c r="K1043"/>
    </row>
    <row r="1044" spans="1:11" ht="16" hidden="1" x14ac:dyDescent="0.2">
      <c r="A1044" s="6" t="s">
        <v>2132</v>
      </c>
      <c r="B1044" s="6" t="s">
        <v>2133</v>
      </c>
      <c r="C1044" s="4" t="b">
        <v>0</v>
      </c>
      <c r="D1044" s="4" t="b">
        <v>0</v>
      </c>
      <c r="E1044" s="4" t="b">
        <v>1</v>
      </c>
      <c r="F1044" s="4"/>
      <c r="G1044" s="4" t="b">
        <f t="shared" si="16"/>
        <v>0</v>
      </c>
      <c r="H1044" s="4"/>
      <c r="I1044" s="4"/>
      <c r="J1044" s="4" t="s">
        <v>98</v>
      </c>
      <c r="K1044"/>
    </row>
    <row r="1045" spans="1:11" ht="160" x14ac:dyDescent="0.2">
      <c r="A1045" s="6" t="s">
        <v>2134</v>
      </c>
      <c r="B1045" s="6" t="s">
        <v>2135</v>
      </c>
      <c r="C1045" s="4" t="b">
        <v>1</v>
      </c>
      <c r="D1045" s="4" t="b">
        <v>1</v>
      </c>
      <c r="E1045" s="4" t="b">
        <v>1</v>
      </c>
      <c r="F1045" s="4" t="s">
        <v>12</v>
      </c>
      <c r="G1045" s="4" t="b">
        <f t="shared" si="16"/>
        <v>1</v>
      </c>
      <c r="H1045" s="4" t="s">
        <v>3251</v>
      </c>
      <c r="I1045" s="4"/>
      <c r="J1045" s="4" t="s">
        <v>98</v>
      </c>
      <c r="K1045"/>
    </row>
    <row r="1046" spans="1:11" ht="16" hidden="1" x14ac:dyDescent="0.2">
      <c r="A1046" s="6" t="s">
        <v>2136</v>
      </c>
      <c r="B1046" s="6" t="s">
        <v>2137</v>
      </c>
      <c r="C1046" s="4" t="b">
        <v>0</v>
      </c>
      <c r="D1046" s="4" t="b">
        <v>0</v>
      </c>
      <c r="E1046" s="4" t="b">
        <v>0</v>
      </c>
      <c r="F1046" s="4"/>
      <c r="G1046" s="4" t="b">
        <f t="shared" si="16"/>
        <v>0</v>
      </c>
      <c r="H1046" s="4"/>
      <c r="I1046" s="4"/>
      <c r="J1046" s="4" t="s">
        <v>98</v>
      </c>
      <c r="K1046"/>
    </row>
    <row r="1047" spans="1:11" ht="80" x14ac:dyDescent="0.2">
      <c r="A1047" s="6" t="s">
        <v>2138</v>
      </c>
      <c r="B1047" s="6" t="s">
        <v>2139</v>
      </c>
      <c r="C1047" s="4" t="b">
        <v>1</v>
      </c>
      <c r="D1047" s="4" t="b">
        <v>0</v>
      </c>
      <c r="E1047" s="4" t="b">
        <v>1</v>
      </c>
      <c r="F1047" s="4" t="s">
        <v>12</v>
      </c>
      <c r="G1047" s="4" t="b">
        <f t="shared" si="16"/>
        <v>1</v>
      </c>
      <c r="H1047" s="4" t="s">
        <v>3250</v>
      </c>
      <c r="I1047" s="4"/>
      <c r="J1047" s="4" t="s">
        <v>98</v>
      </c>
      <c r="K1047"/>
    </row>
    <row r="1048" spans="1:11" ht="16" hidden="1" x14ac:dyDescent="0.2">
      <c r="A1048" s="6" t="s">
        <v>2140</v>
      </c>
      <c r="B1048" s="6" t="s">
        <v>2141</v>
      </c>
      <c r="C1048" s="4" t="b">
        <v>0</v>
      </c>
      <c r="D1048" s="4" t="b">
        <v>0</v>
      </c>
      <c r="E1048" s="4" t="b">
        <v>0</v>
      </c>
      <c r="F1048" s="4"/>
      <c r="G1048" s="4" t="b">
        <f t="shared" si="16"/>
        <v>0</v>
      </c>
      <c r="H1048" s="4"/>
      <c r="I1048" s="4"/>
      <c r="J1048" s="4" t="s">
        <v>98</v>
      </c>
      <c r="K1048"/>
    </row>
    <row r="1049" spans="1:11" ht="64" x14ac:dyDescent="0.2">
      <c r="A1049" s="6" t="s">
        <v>2142</v>
      </c>
      <c r="B1049" s="6" t="s">
        <v>2143</v>
      </c>
      <c r="C1049" s="4" t="b">
        <v>1</v>
      </c>
      <c r="D1049" s="4" t="b">
        <v>1</v>
      </c>
      <c r="E1049" s="4" t="b">
        <v>1</v>
      </c>
      <c r="F1049" s="4" t="s">
        <v>12</v>
      </c>
      <c r="G1049" s="4" t="b">
        <f t="shared" si="16"/>
        <v>1</v>
      </c>
      <c r="H1049" s="4" t="s">
        <v>3031</v>
      </c>
      <c r="I1049" s="4"/>
      <c r="J1049" s="4" t="s">
        <v>94</v>
      </c>
    </row>
    <row r="1050" spans="1:11" ht="16" hidden="1" x14ac:dyDescent="0.2">
      <c r="A1050" s="6" t="s">
        <v>2144</v>
      </c>
      <c r="B1050" s="6" t="s">
        <v>2145</v>
      </c>
      <c r="C1050" s="4" t="b">
        <v>0</v>
      </c>
      <c r="D1050" s="4" t="b">
        <v>0</v>
      </c>
      <c r="E1050" s="4" t="b">
        <v>1</v>
      </c>
      <c r="F1050" s="4"/>
      <c r="G1050" s="4" t="b">
        <f t="shared" si="16"/>
        <v>0</v>
      </c>
      <c r="H1050" s="4"/>
      <c r="I1050" s="4"/>
      <c r="J1050" s="4" t="s">
        <v>94</v>
      </c>
      <c r="K1050"/>
    </row>
    <row r="1051" spans="1:11" ht="16" x14ac:dyDescent="0.2">
      <c r="A1051" s="6" t="s">
        <v>2146</v>
      </c>
      <c r="B1051" s="6" t="s">
        <v>2147</v>
      </c>
      <c r="C1051" s="4" t="b">
        <v>1</v>
      </c>
      <c r="D1051" s="4" t="b">
        <v>0</v>
      </c>
      <c r="E1051" s="4" t="b">
        <v>1</v>
      </c>
      <c r="F1051" s="4" t="s">
        <v>12</v>
      </c>
      <c r="G1051" s="4" t="b">
        <f t="shared" si="16"/>
        <v>1</v>
      </c>
      <c r="H1051" s="4"/>
      <c r="I1051" s="4"/>
      <c r="J1051" s="4" t="s">
        <v>94</v>
      </c>
    </row>
    <row r="1052" spans="1:11" ht="16" x14ac:dyDescent="0.2">
      <c r="A1052" s="6" t="s">
        <v>2148</v>
      </c>
      <c r="B1052" s="6" t="s">
        <v>2149</v>
      </c>
      <c r="C1052" s="4" t="b">
        <v>1</v>
      </c>
      <c r="D1052" s="4" t="b">
        <v>1</v>
      </c>
      <c r="E1052" s="4" t="b">
        <v>1</v>
      </c>
      <c r="F1052" s="4" t="s">
        <v>12</v>
      </c>
      <c r="G1052" s="4" t="b">
        <f t="shared" si="16"/>
        <v>1</v>
      </c>
      <c r="H1052" s="4" t="s">
        <v>3030</v>
      </c>
      <c r="I1052" s="4"/>
      <c r="J1052" s="4" t="s">
        <v>94</v>
      </c>
    </row>
    <row r="1053" spans="1:11" ht="16" hidden="1" x14ac:dyDescent="0.2">
      <c r="A1053" s="6" t="s">
        <v>2150</v>
      </c>
      <c r="B1053" s="6" t="s">
        <v>2151</v>
      </c>
      <c r="C1053" s="4" t="b">
        <v>0</v>
      </c>
      <c r="D1053" s="4" t="b">
        <v>0</v>
      </c>
      <c r="E1053" s="4" t="b">
        <v>0</v>
      </c>
      <c r="F1053" s="4"/>
      <c r="G1053" s="4" t="b">
        <f t="shared" si="16"/>
        <v>0</v>
      </c>
      <c r="H1053" s="4"/>
      <c r="I1053" s="4"/>
      <c r="J1053" s="4" t="s">
        <v>94</v>
      </c>
      <c r="K1053"/>
    </row>
    <row r="1054" spans="1:11" ht="80" x14ac:dyDescent="0.2">
      <c r="A1054" s="6" t="s">
        <v>2152</v>
      </c>
      <c r="B1054" s="6" t="s">
        <v>2153</v>
      </c>
      <c r="C1054" s="4" t="b">
        <v>1</v>
      </c>
      <c r="D1054" s="4" t="b">
        <v>0</v>
      </c>
      <c r="E1054" s="4" t="b">
        <v>1</v>
      </c>
      <c r="F1054" s="4" t="s">
        <v>12</v>
      </c>
      <c r="G1054" s="4" t="b">
        <f t="shared" si="16"/>
        <v>1</v>
      </c>
      <c r="H1054" s="4" t="s">
        <v>3029</v>
      </c>
      <c r="I1054" s="4"/>
      <c r="J1054" s="4" t="s">
        <v>94</v>
      </c>
    </row>
    <row r="1055" spans="1:11" ht="16" hidden="1" x14ac:dyDescent="0.2">
      <c r="A1055" s="6" t="s">
        <v>2154</v>
      </c>
      <c r="B1055" s="6" t="s">
        <v>2155</v>
      </c>
      <c r="C1055" s="4" t="b">
        <v>0</v>
      </c>
      <c r="D1055" s="4" t="b">
        <v>0</v>
      </c>
      <c r="E1055" s="4" t="b">
        <v>0</v>
      </c>
      <c r="F1055" s="4"/>
      <c r="G1055" s="4" t="b">
        <f t="shared" si="16"/>
        <v>0</v>
      </c>
      <c r="H1055" s="4"/>
      <c r="I1055" s="4"/>
      <c r="J1055" s="4" t="s">
        <v>94</v>
      </c>
      <c r="K1055"/>
    </row>
    <row r="1056" spans="1:11" ht="16" hidden="1" x14ac:dyDescent="0.2">
      <c r="A1056" s="6" t="s">
        <v>2156</v>
      </c>
      <c r="B1056" s="6" t="s">
        <v>2157</v>
      </c>
      <c r="C1056" s="4" t="b">
        <v>0</v>
      </c>
      <c r="D1056" s="4" t="b">
        <v>0</v>
      </c>
      <c r="E1056" s="4" t="b">
        <v>0</v>
      </c>
      <c r="F1056" s="4"/>
      <c r="G1056" s="4" t="b">
        <f t="shared" si="16"/>
        <v>0</v>
      </c>
      <c r="H1056" s="4"/>
      <c r="I1056" s="4"/>
      <c r="J1056" s="4" t="s">
        <v>94</v>
      </c>
      <c r="K1056"/>
    </row>
    <row r="1057" spans="1:11" ht="80" x14ac:dyDescent="0.2">
      <c r="A1057" s="6" t="s">
        <v>2158</v>
      </c>
      <c r="B1057" s="6" t="s">
        <v>2159</v>
      </c>
      <c r="C1057" s="4" t="b">
        <v>1</v>
      </c>
      <c r="D1057" s="4" t="b">
        <v>0</v>
      </c>
      <c r="E1057" s="4" t="b">
        <v>1</v>
      </c>
      <c r="F1057" s="4" t="s">
        <v>12</v>
      </c>
      <c r="G1057" s="4" t="b">
        <f t="shared" si="16"/>
        <v>1</v>
      </c>
      <c r="H1057" s="4" t="s">
        <v>3028</v>
      </c>
      <c r="I1057" s="4"/>
      <c r="J1057" s="4" t="s">
        <v>94</v>
      </c>
      <c r="K1057" s="1" t="s">
        <v>2998</v>
      </c>
    </row>
    <row r="1058" spans="1:11" ht="48" x14ac:dyDescent="0.2">
      <c r="A1058" s="6" t="s">
        <v>2160</v>
      </c>
      <c r="B1058" s="6" t="s">
        <v>2161</v>
      </c>
      <c r="C1058" s="4" t="b">
        <v>1</v>
      </c>
      <c r="D1058" s="4" t="b">
        <v>0</v>
      </c>
      <c r="E1058" s="4" t="b">
        <v>1</v>
      </c>
      <c r="F1058" s="4" t="s">
        <v>12</v>
      </c>
      <c r="G1058" s="4" t="b">
        <f t="shared" si="16"/>
        <v>1</v>
      </c>
      <c r="H1058" s="4" t="s">
        <v>3027</v>
      </c>
      <c r="I1058" s="4"/>
      <c r="J1058" s="4" t="s">
        <v>94</v>
      </c>
    </row>
    <row r="1059" spans="1:11" ht="16" hidden="1" x14ac:dyDescent="0.2">
      <c r="A1059" s="6" t="s">
        <v>2162</v>
      </c>
      <c r="B1059" s="6" t="s">
        <v>2163</v>
      </c>
      <c r="C1059" s="4" t="b">
        <v>0</v>
      </c>
      <c r="D1059" s="4" t="b">
        <v>0</v>
      </c>
      <c r="E1059" s="4" t="b">
        <v>0</v>
      </c>
      <c r="F1059" s="4"/>
      <c r="G1059" s="4" t="b">
        <f t="shared" si="16"/>
        <v>0</v>
      </c>
      <c r="H1059" s="4"/>
      <c r="I1059" s="4"/>
      <c r="J1059" s="4" t="s">
        <v>94</v>
      </c>
      <c r="K1059"/>
    </row>
    <row r="1060" spans="1:11" ht="16" hidden="1" x14ac:dyDescent="0.2">
      <c r="A1060" s="6" t="s">
        <v>2164</v>
      </c>
      <c r="B1060" s="6" t="s">
        <v>2165</v>
      </c>
      <c r="C1060" s="4" t="b">
        <v>0</v>
      </c>
      <c r="D1060" s="4" t="b">
        <v>0</v>
      </c>
      <c r="E1060" s="4" t="b">
        <v>1</v>
      </c>
      <c r="F1060" s="4"/>
      <c r="G1060" s="4" t="b">
        <f t="shared" si="16"/>
        <v>0</v>
      </c>
      <c r="H1060" s="4"/>
      <c r="I1060" s="4"/>
      <c r="J1060" s="4" t="s">
        <v>94</v>
      </c>
      <c r="K1060"/>
    </row>
    <row r="1061" spans="1:11" ht="16" hidden="1" x14ac:dyDescent="0.2">
      <c r="A1061" s="6" t="s">
        <v>2166</v>
      </c>
      <c r="B1061" s="6" t="s">
        <v>2167</v>
      </c>
      <c r="C1061" s="4" t="b">
        <v>0</v>
      </c>
      <c r="D1061" s="4" t="b">
        <v>0</v>
      </c>
      <c r="E1061" s="4" t="b">
        <v>0</v>
      </c>
      <c r="F1061" s="4" t="s">
        <v>12</v>
      </c>
      <c r="G1061" s="4" t="b">
        <f t="shared" si="16"/>
        <v>1</v>
      </c>
      <c r="H1061" s="4"/>
      <c r="I1061" s="4"/>
      <c r="J1061" s="4" t="s">
        <v>94</v>
      </c>
    </row>
    <row r="1062" spans="1:11" ht="16" hidden="1" x14ac:dyDescent="0.2">
      <c r="A1062" s="6" t="s">
        <v>2168</v>
      </c>
      <c r="B1062" s="6" t="s">
        <v>2169</v>
      </c>
      <c r="C1062" s="4" t="b">
        <v>0</v>
      </c>
      <c r="D1062" s="4" t="b">
        <v>0</v>
      </c>
      <c r="E1062" s="4" t="b">
        <v>1</v>
      </c>
      <c r="F1062" s="4"/>
      <c r="G1062" s="4" t="b">
        <f t="shared" si="16"/>
        <v>0</v>
      </c>
      <c r="H1062" s="4"/>
      <c r="I1062" s="4"/>
      <c r="J1062" s="4" t="s">
        <v>94</v>
      </c>
      <c r="K1062"/>
    </row>
    <row r="1063" spans="1:11" ht="16" hidden="1" x14ac:dyDescent="0.2">
      <c r="A1063" s="6" t="s">
        <v>2170</v>
      </c>
      <c r="B1063" s="6" t="s">
        <v>2171</v>
      </c>
      <c r="C1063" s="4" t="b">
        <v>0</v>
      </c>
      <c r="D1063" s="4" t="b">
        <v>0</v>
      </c>
      <c r="E1063" s="4" t="b">
        <v>1</v>
      </c>
      <c r="F1063" s="4"/>
      <c r="G1063" s="4" t="b">
        <f t="shared" si="16"/>
        <v>0</v>
      </c>
      <c r="H1063" s="4"/>
      <c r="I1063" s="4"/>
      <c r="J1063" s="4" t="s">
        <v>94</v>
      </c>
      <c r="K1063"/>
    </row>
    <row r="1064" spans="1:11" ht="16" hidden="1" x14ac:dyDescent="0.2">
      <c r="A1064" s="6" t="s">
        <v>2172</v>
      </c>
      <c r="B1064" s="6" t="s">
        <v>2173</v>
      </c>
      <c r="C1064" s="4" t="b">
        <v>0</v>
      </c>
      <c r="D1064" s="4" t="b">
        <v>0</v>
      </c>
      <c r="E1064" s="4" t="b">
        <v>1</v>
      </c>
      <c r="F1064" s="4"/>
      <c r="G1064" s="4" t="b">
        <f t="shared" si="16"/>
        <v>0</v>
      </c>
      <c r="H1064" s="4"/>
      <c r="I1064" s="4"/>
      <c r="J1064" s="4" t="s">
        <v>94</v>
      </c>
      <c r="K1064"/>
    </row>
    <row r="1065" spans="1:11" ht="16" hidden="1" x14ac:dyDescent="0.2">
      <c r="A1065" s="6" t="s">
        <v>2174</v>
      </c>
      <c r="B1065" s="6" t="s">
        <v>2175</v>
      </c>
      <c r="C1065" s="4" t="b">
        <v>0</v>
      </c>
      <c r="D1065" s="4" t="b">
        <v>0</v>
      </c>
      <c r="E1065" s="4" t="b">
        <v>0</v>
      </c>
      <c r="F1065" s="4"/>
      <c r="G1065" s="4" t="b">
        <f t="shared" si="16"/>
        <v>0</v>
      </c>
      <c r="H1065" s="4"/>
      <c r="I1065" s="4"/>
      <c r="J1065" s="4" t="s">
        <v>94</v>
      </c>
      <c r="K1065"/>
    </row>
    <row r="1066" spans="1:11" ht="16" hidden="1" x14ac:dyDescent="0.2">
      <c r="A1066" s="6" t="s">
        <v>2176</v>
      </c>
      <c r="B1066" s="6" t="s">
        <v>2177</v>
      </c>
      <c r="C1066" s="4" t="b">
        <v>0</v>
      </c>
      <c r="D1066" s="4" t="b">
        <v>0</v>
      </c>
      <c r="E1066" s="4" t="b">
        <v>0</v>
      </c>
      <c r="F1066" s="4"/>
      <c r="G1066" s="4" t="b">
        <f t="shared" si="16"/>
        <v>0</v>
      </c>
      <c r="H1066" s="4"/>
      <c r="I1066" s="4"/>
      <c r="J1066" s="4" t="s">
        <v>94</v>
      </c>
      <c r="K1066"/>
    </row>
    <row r="1067" spans="1:11" ht="16" hidden="1" x14ac:dyDescent="0.2">
      <c r="A1067" s="6" t="s">
        <v>2178</v>
      </c>
      <c r="B1067" s="6" t="s">
        <v>2179</v>
      </c>
      <c r="C1067" s="4" t="b">
        <v>0</v>
      </c>
      <c r="D1067" s="4" t="b">
        <v>0</v>
      </c>
      <c r="E1067" s="4" t="b">
        <v>0</v>
      </c>
      <c r="F1067" s="4"/>
      <c r="G1067" s="4" t="b">
        <f t="shared" si="16"/>
        <v>0</v>
      </c>
      <c r="H1067" s="4"/>
      <c r="I1067" s="4"/>
      <c r="J1067" s="4" t="s">
        <v>94</v>
      </c>
      <c r="K1067"/>
    </row>
    <row r="1068" spans="1:11" ht="16" hidden="1" x14ac:dyDescent="0.2">
      <c r="A1068" s="6" t="s">
        <v>2180</v>
      </c>
      <c r="B1068" s="6" t="s">
        <v>2181</v>
      </c>
      <c r="C1068" s="4" t="b">
        <v>0</v>
      </c>
      <c r="D1068" s="4" t="b">
        <v>0</v>
      </c>
      <c r="E1068" s="4" t="b">
        <v>1</v>
      </c>
      <c r="F1068" s="4"/>
      <c r="G1068" s="4" t="b">
        <f t="shared" si="16"/>
        <v>0</v>
      </c>
      <c r="H1068" s="4"/>
      <c r="I1068" s="4"/>
      <c r="J1068" s="4" t="s">
        <v>94</v>
      </c>
      <c r="K1068"/>
    </row>
    <row r="1069" spans="1:11" ht="96" x14ac:dyDescent="0.2">
      <c r="A1069" s="6" t="s">
        <v>2182</v>
      </c>
      <c r="B1069" s="6" t="s">
        <v>2183</v>
      </c>
      <c r="C1069" s="4" t="b">
        <v>1</v>
      </c>
      <c r="D1069" s="4" t="b">
        <v>0</v>
      </c>
      <c r="E1069" s="4" t="b">
        <v>1</v>
      </c>
      <c r="F1069" s="4" t="s">
        <v>12</v>
      </c>
      <c r="G1069" s="4" t="b">
        <f t="shared" si="16"/>
        <v>1</v>
      </c>
      <c r="H1069" s="4" t="s">
        <v>3026</v>
      </c>
      <c r="I1069" s="4"/>
      <c r="J1069" s="4" t="s">
        <v>94</v>
      </c>
    </row>
    <row r="1070" spans="1:11" ht="48" x14ac:dyDescent="0.2">
      <c r="A1070" s="6" t="s">
        <v>2184</v>
      </c>
      <c r="B1070" s="6" t="s">
        <v>2185</v>
      </c>
      <c r="C1070" s="4" t="b">
        <v>1</v>
      </c>
      <c r="D1070" s="4" t="b">
        <v>0</v>
      </c>
      <c r="E1070" s="4" t="b">
        <v>1</v>
      </c>
      <c r="F1070" s="4" t="s">
        <v>12</v>
      </c>
      <c r="G1070" s="4" t="b">
        <f t="shared" si="16"/>
        <v>1</v>
      </c>
      <c r="H1070" s="4" t="s">
        <v>3025</v>
      </c>
      <c r="I1070" s="4"/>
      <c r="J1070" s="4" t="s">
        <v>94</v>
      </c>
    </row>
    <row r="1071" spans="1:11" ht="80" x14ac:dyDescent="0.2">
      <c r="A1071" s="6" t="s">
        <v>2186</v>
      </c>
      <c r="B1071" s="6" t="s">
        <v>2187</v>
      </c>
      <c r="C1071" s="4" t="b">
        <v>1</v>
      </c>
      <c r="D1071" s="4" t="b">
        <v>1</v>
      </c>
      <c r="E1071" s="4" t="b">
        <v>1</v>
      </c>
      <c r="F1071" s="4" t="s">
        <v>12</v>
      </c>
      <c r="G1071" s="4" t="b">
        <f t="shared" si="16"/>
        <v>1</v>
      </c>
      <c r="H1071" s="4" t="s">
        <v>3024</v>
      </c>
      <c r="I1071" s="4"/>
      <c r="J1071" s="4" t="s">
        <v>94</v>
      </c>
    </row>
    <row r="1072" spans="1:11" ht="16" hidden="1" x14ac:dyDescent="0.2">
      <c r="A1072" s="6" t="s">
        <v>2188</v>
      </c>
      <c r="B1072" s="6" t="s">
        <v>2189</v>
      </c>
      <c r="C1072" s="4" t="b">
        <v>0</v>
      </c>
      <c r="D1072" s="4" t="b">
        <v>0</v>
      </c>
      <c r="E1072" s="4" t="b">
        <v>0</v>
      </c>
      <c r="F1072" s="4"/>
      <c r="G1072" s="4" t="b">
        <f t="shared" si="16"/>
        <v>0</v>
      </c>
      <c r="H1072" s="4"/>
      <c r="I1072" s="4"/>
      <c r="J1072" s="4" t="s">
        <v>94</v>
      </c>
      <c r="K1072"/>
    </row>
    <row r="1073" spans="1:11" ht="48" x14ac:dyDescent="0.2">
      <c r="A1073" s="6" t="s">
        <v>2190</v>
      </c>
      <c r="B1073" s="6" t="s">
        <v>2191</v>
      </c>
      <c r="C1073" s="4" t="b">
        <v>1</v>
      </c>
      <c r="D1073" s="4" t="b">
        <v>1</v>
      </c>
      <c r="E1073" s="4" t="b">
        <v>1</v>
      </c>
      <c r="F1073" s="4" t="s">
        <v>12</v>
      </c>
      <c r="G1073" s="4" t="b">
        <f t="shared" si="16"/>
        <v>1</v>
      </c>
      <c r="H1073" s="4" t="s">
        <v>3023</v>
      </c>
      <c r="I1073" s="4"/>
      <c r="J1073" s="4" t="s">
        <v>94</v>
      </c>
    </row>
    <row r="1074" spans="1:11" ht="16" hidden="1" x14ac:dyDescent="0.2">
      <c r="A1074" s="6" t="s">
        <v>2192</v>
      </c>
      <c r="B1074" s="6" t="s">
        <v>2193</v>
      </c>
      <c r="C1074" s="4" t="b">
        <v>0</v>
      </c>
      <c r="D1074" s="4" t="b">
        <v>0</v>
      </c>
      <c r="E1074" s="4" t="b">
        <v>0</v>
      </c>
      <c r="F1074" s="4"/>
      <c r="G1074" s="4" t="b">
        <f t="shared" si="16"/>
        <v>0</v>
      </c>
      <c r="H1074" s="4"/>
      <c r="I1074" s="4"/>
      <c r="J1074" s="4" t="s">
        <v>94</v>
      </c>
      <c r="K1074"/>
    </row>
    <row r="1075" spans="1:11" ht="16" hidden="1" x14ac:dyDescent="0.2">
      <c r="A1075" s="6" t="s">
        <v>2194</v>
      </c>
      <c r="B1075" s="6" t="s">
        <v>2195</v>
      </c>
      <c r="C1075" s="4" t="b">
        <v>0</v>
      </c>
      <c r="D1075" s="4" t="b">
        <v>0</v>
      </c>
      <c r="E1075" s="4" t="b">
        <v>1</v>
      </c>
      <c r="F1075" s="4"/>
      <c r="G1075" s="4" t="b">
        <f t="shared" si="16"/>
        <v>0</v>
      </c>
      <c r="H1075" s="4"/>
      <c r="I1075" s="4"/>
      <c r="J1075" s="4" t="s">
        <v>94</v>
      </c>
      <c r="K1075"/>
    </row>
    <row r="1076" spans="1:11" ht="32" x14ac:dyDescent="0.2">
      <c r="A1076" s="6" t="s">
        <v>2196</v>
      </c>
      <c r="B1076" s="6" t="s">
        <v>2197</v>
      </c>
      <c r="C1076" s="4" t="b">
        <v>1</v>
      </c>
      <c r="D1076" s="4" t="b">
        <v>1</v>
      </c>
      <c r="E1076" s="4" t="b">
        <v>1</v>
      </c>
      <c r="F1076" s="4" t="s">
        <v>12</v>
      </c>
      <c r="G1076" s="4" t="b">
        <f t="shared" si="16"/>
        <v>1</v>
      </c>
      <c r="H1076" s="4" t="s">
        <v>3022</v>
      </c>
      <c r="I1076" s="4"/>
      <c r="J1076" s="4" t="s">
        <v>94</v>
      </c>
    </row>
    <row r="1077" spans="1:11" ht="16" hidden="1" x14ac:dyDescent="0.2">
      <c r="A1077" s="6" t="s">
        <v>2198</v>
      </c>
      <c r="B1077" s="6" t="s">
        <v>2199</v>
      </c>
      <c r="C1077" s="4" t="b">
        <v>0</v>
      </c>
      <c r="D1077" s="4" t="b">
        <v>0</v>
      </c>
      <c r="E1077" s="4" t="b">
        <v>0</v>
      </c>
      <c r="F1077" s="4"/>
      <c r="G1077" s="4" t="b">
        <f t="shared" si="16"/>
        <v>0</v>
      </c>
      <c r="H1077" s="4"/>
      <c r="I1077" s="4"/>
      <c r="J1077" s="4" t="s">
        <v>94</v>
      </c>
      <c r="K1077"/>
    </row>
    <row r="1078" spans="1:11" ht="16" hidden="1" x14ac:dyDescent="0.2">
      <c r="A1078" s="6" t="s">
        <v>2200</v>
      </c>
      <c r="B1078" s="6" t="s">
        <v>2201</v>
      </c>
      <c r="C1078" s="4" t="b">
        <v>0</v>
      </c>
      <c r="D1078" s="4" t="b">
        <v>0</v>
      </c>
      <c r="E1078" s="4" t="b">
        <v>1</v>
      </c>
      <c r="F1078" s="4"/>
      <c r="G1078" s="4" t="b">
        <f t="shared" si="16"/>
        <v>0</v>
      </c>
      <c r="H1078" s="4"/>
      <c r="I1078" s="4"/>
      <c r="J1078" s="4" t="s">
        <v>94</v>
      </c>
      <c r="K1078"/>
    </row>
    <row r="1079" spans="1:11" ht="16" hidden="1" x14ac:dyDescent="0.2">
      <c r="A1079" s="6" t="s">
        <v>2202</v>
      </c>
      <c r="B1079" s="6" t="s">
        <v>2203</v>
      </c>
      <c r="C1079" s="4" t="b">
        <v>0</v>
      </c>
      <c r="D1079" s="4" t="b">
        <v>0</v>
      </c>
      <c r="E1079" s="4" t="b">
        <v>1</v>
      </c>
      <c r="F1079" s="4"/>
      <c r="G1079" s="4" t="b">
        <f t="shared" si="16"/>
        <v>0</v>
      </c>
      <c r="H1079" s="4"/>
      <c r="I1079" s="4"/>
      <c r="J1079" s="4" t="s">
        <v>94</v>
      </c>
      <c r="K1079"/>
    </row>
    <row r="1080" spans="1:11" ht="16" hidden="1" x14ac:dyDescent="0.2">
      <c r="A1080" s="6" t="s">
        <v>2204</v>
      </c>
      <c r="B1080" s="6" t="s">
        <v>2205</v>
      </c>
      <c r="C1080" s="4" t="b">
        <v>0</v>
      </c>
      <c r="D1080" s="4" t="b">
        <v>0</v>
      </c>
      <c r="E1080" s="4" t="b">
        <v>1</v>
      </c>
      <c r="F1080" s="4"/>
      <c r="G1080" s="4" t="b">
        <f t="shared" si="16"/>
        <v>0</v>
      </c>
      <c r="H1080" s="4"/>
      <c r="I1080" s="4"/>
      <c r="J1080" s="4" t="s">
        <v>94</v>
      </c>
      <c r="K1080"/>
    </row>
    <row r="1081" spans="1:11" ht="16" hidden="1" x14ac:dyDescent="0.2">
      <c r="A1081" s="6" t="s">
        <v>2206</v>
      </c>
      <c r="B1081" s="6" t="s">
        <v>2207</v>
      </c>
      <c r="C1081" s="4" t="b">
        <v>0</v>
      </c>
      <c r="D1081" s="4" t="b">
        <v>0</v>
      </c>
      <c r="E1081" s="4" t="b">
        <v>0</v>
      </c>
      <c r="F1081" s="4"/>
      <c r="G1081" s="4" t="b">
        <f t="shared" si="16"/>
        <v>0</v>
      </c>
      <c r="H1081" s="4"/>
      <c r="I1081" s="4"/>
      <c r="J1081" s="4" t="s">
        <v>94</v>
      </c>
      <c r="K1081"/>
    </row>
    <row r="1082" spans="1:11" ht="80" x14ac:dyDescent="0.2">
      <c r="A1082" s="6" t="s">
        <v>2208</v>
      </c>
      <c r="B1082" s="6" t="s">
        <v>2209</v>
      </c>
      <c r="C1082" s="4" t="b">
        <v>1</v>
      </c>
      <c r="D1082" s="4" t="b">
        <v>1</v>
      </c>
      <c r="E1082" s="4" t="b">
        <v>1</v>
      </c>
      <c r="F1082" s="4" t="s">
        <v>12</v>
      </c>
      <c r="G1082" s="4" t="b">
        <f t="shared" si="16"/>
        <v>1</v>
      </c>
      <c r="H1082" s="4" t="s">
        <v>3021</v>
      </c>
      <c r="I1082" s="4"/>
      <c r="J1082" s="4" t="s">
        <v>94</v>
      </c>
    </row>
    <row r="1083" spans="1:11" ht="32" hidden="1" x14ac:dyDescent="0.2">
      <c r="A1083" s="6" t="s">
        <v>2210</v>
      </c>
      <c r="B1083" s="6" t="s">
        <v>2211</v>
      </c>
      <c r="C1083" s="4" t="b">
        <v>0</v>
      </c>
      <c r="D1083" s="4" t="b">
        <v>1</v>
      </c>
      <c r="E1083" s="4" t="b">
        <v>1</v>
      </c>
      <c r="F1083" s="4" t="s">
        <v>12</v>
      </c>
      <c r="G1083" s="4" t="b">
        <f t="shared" si="16"/>
        <v>1</v>
      </c>
      <c r="H1083" s="4" t="s">
        <v>3017</v>
      </c>
      <c r="I1083" s="4"/>
      <c r="J1083" s="4" t="s">
        <v>94</v>
      </c>
    </row>
    <row r="1084" spans="1:11" ht="32" x14ac:dyDescent="0.2">
      <c r="A1084" s="6" t="s">
        <v>2212</v>
      </c>
      <c r="B1084" s="6" t="s">
        <v>2213</v>
      </c>
      <c r="C1084" s="4" t="b">
        <v>1</v>
      </c>
      <c r="D1084" s="4" t="b">
        <v>0</v>
      </c>
      <c r="E1084" s="4" t="b">
        <v>1</v>
      </c>
      <c r="F1084" s="4" t="s">
        <v>12</v>
      </c>
      <c r="G1084" s="4" t="b">
        <f t="shared" si="16"/>
        <v>1</v>
      </c>
      <c r="H1084" s="4" t="s">
        <v>3016</v>
      </c>
      <c r="I1084" s="4"/>
      <c r="J1084" s="4" t="s">
        <v>94</v>
      </c>
    </row>
    <row r="1085" spans="1:11" ht="16" hidden="1" x14ac:dyDescent="0.2">
      <c r="A1085" s="6" t="s">
        <v>2214</v>
      </c>
      <c r="B1085" s="6" t="s">
        <v>2215</v>
      </c>
      <c r="C1085" s="4" t="b">
        <v>0</v>
      </c>
      <c r="D1085" s="4" t="b">
        <v>0</v>
      </c>
      <c r="E1085" s="4" t="b">
        <v>0</v>
      </c>
      <c r="F1085" s="4"/>
      <c r="G1085" s="4" t="b">
        <f t="shared" si="16"/>
        <v>0</v>
      </c>
      <c r="H1085" s="4"/>
      <c r="I1085" s="4"/>
      <c r="J1085" s="4" t="s">
        <v>94</v>
      </c>
      <c r="K1085"/>
    </row>
    <row r="1086" spans="1:11" ht="16" hidden="1" x14ac:dyDescent="0.2">
      <c r="A1086" s="6" t="s">
        <v>2216</v>
      </c>
      <c r="B1086" s="6" t="s">
        <v>2217</v>
      </c>
      <c r="C1086" s="4" t="b">
        <v>0</v>
      </c>
      <c r="D1086" s="4" t="b">
        <v>0</v>
      </c>
      <c r="E1086" s="4" t="b">
        <v>0</v>
      </c>
      <c r="F1086" s="4"/>
      <c r="G1086" s="4" t="b">
        <f t="shared" si="16"/>
        <v>0</v>
      </c>
      <c r="H1086" s="4"/>
      <c r="I1086" s="4"/>
      <c r="J1086" s="4" t="s">
        <v>94</v>
      </c>
      <c r="K1086"/>
    </row>
    <row r="1087" spans="1:11" ht="16" hidden="1" x14ac:dyDescent="0.2">
      <c r="A1087" s="6" t="s">
        <v>2218</v>
      </c>
      <c r="B1087" s="6" t="s">
        <v>2219</v>
      </c>
      <c r="C1087" s="4" t="b">
        <v>0</v>
      </c>
      <c r="D1087" s="4" t="b">
        <v>0</v>
      </c>
      <c r="E1087" s="4" t="b">
        <v>1</v>
      </c>
      <c r="F1087" s="4"/>
      <c r="G1087" s="4" t="b">
        <f t="shared" si="16"/>
        <v>0</v>
      </c>
      <c r="H1087" s="4"/>
      <c r="I1087" s="4"/>
      <c r="J1087" s="4" t="s">
        <v>20</v>
      </c>
      <c r="K1087"/>
    </row>
    <row r="1088" spans="1:11" ht="16" hidden="1" x14ac:dyDescent="0.2">
      <c r="A1088" s="6" t="s">
        <v>2220</v>
      </c>
      <c r="B1088" s="6" t="s">
        <v>2221</v>
      </c>
      <c r="C1088" s="4" t="b">
        <v>0</v>
      </c>
      <c r="D1088" s="4" t="b">
        <v>0</v>
      </c>
      <c r="E1088" s="4" t="b">
        <v>1</v>
      </c>
      <c r="F1088" s="4"/>
      <c r="G1088" s="4" t="b">
        <f t="shared" si="16"/>
        <v>0</v>
      </c>
      <c r="H1088" s="4"/>
      <c r="I1088" s="4"/>
      <c r="J1088" s="4" t="s">
        <v>20</v>
      </c>
      <c r="K1088"/>
    </row>
    <row r="1089" spans="1:11" ht="16" x14ac:dyDescent="0.2">
      <c r="A1089" s="6" t="s">
        <v>2222</v>
      </c>
      <c r="B1089" s="6" t="s">
        <v>2223</v>
      </c>
      <c r="C1089" s="4" t="b">
        <v>1</v>
      </c>
      <c r="D1089" s="4" t="b">
        <v>0</v>
      </c>
      <c r="E1089" s="4" t="b">
        <v>1</v>
      </c>
      <c r="F1089" s="4" t="s">
        <v>12</v>
      </c>
      <c r="G1089" s="4" t="b">
        <f t="shared" si="16"/>
        <v>1</v>
      </c>
      <c r="H1089" s="4" t="s">
        <v>3015</v>
      </c>
      <c r="I1089" s="4"/>
      <c r="J1089" s="4" t="s">
        <v>20</v>
      </c>
    </row>
    <row r="1090" spans="1:11" ht="32" x14ac:dyDescent="0.2">
      <c r="A1090" s="6" t="s">
        <v>2224</v>
      </c>
      <c r="B1090" s="6" t="s">
        <v>2225</v>
      </c>
      <c r="C1090" s="4" t="b">
        <v>1</v>
      </c>
      <c r="D1090" s="4" t="b">
        <v>0</v>
      </c>
      <c r="E1090" s="4" t="b">
        <v>1</v>
      </c>
      <c r="F1090" s="4" t="s">
        <v>12</v>
      </c>
      <c r="G1090" s="4" t="b">
        <f t="shared" ref="G1090:G1153" si="17">IF(F1090="✔", TRUE, FALSE)</f>
        <v>1</v>
      </c>
      <c r="H1090" s="4" t="s">
        <v>3014</v>
      </c>
      <c r="I1090" s="4"/>
      <c r="J1090" s="4" t="s">
        <v>20</v>
      </c>
    </row>
    <row r="1091" spans="1:11" ht="16" hidden="1" x14ac:dyDescent="0.2">
      <c r="A1091" s="6" t="s">
        <v>2226</v>
      </c>
      <c r="B1091" s="6" t="s">
        <v>2227</v>
      </c>
      <c r="C1091" s="4" t="b">
        <v>0</v>
      </c>
      <c r="D1091" s="4" t="b">
        <v>0</v>
      </c>
      <c r="E1091" s="4" t="b">
        <v>0</v>
      </c>
      <c r="F1091" s="4"/>
      <c r="G1091" s="4" t="b">
        <f t="shared" si="17"/>
        <v>0</v>
      </c>
      <c r="H1091" s="4"/>
      <c r="I1091" s="4"/>
      <c r="J1091" s="4" t="s">
        <v>20</v>
      </c>
      <c r="K1091"/>
    </row>
    <row r="1092" spans="1:11" ht="16" hidden="1" x14ac:dyDescent="0.2">
      <c r="A1092" s="6" t="s">
        <v>2228</v>
      </c>
      <c r="B1092" s="6" t="s">
        <v>2229</v>
      </c>
      <c r="C1092" s="4" t="b">
        <v>0</v>
      </c>
      <c r="D1092" s="4" t="b">
        <v>0</v>
      </c>
      <c r="E1092" s="4" t="b">
        <v>0</v>
      </c>
      <c r="F1092" s="4"/>
      <c r="G1092" s="4" t="b">
        <f t="shared" si="17"/>
        <v>0</v>
      </c>
      <c r="H1092" s="4"/>
      <c r="I1092" s="4"/>
      <c r="J1092" s="4" t="s">
        <v>20</v>
      </c>
      <c r="K1092"/>
    </row>
    <row r="1093" spans="1:11" ht="16" hidden="1" x14ac:dyDescent="0.2">
      <c r="A1093" s="6" t="s">
        <v>2230</v>
      </c>
      <c r="B1093" s="6" t="s">
        <v>2231</v>
      </c>
      <c r="C1093" s="4" t="b">
        <v>0</v>
      </c>
      <c r="D1093" s="4" t="b">
        <v>0</v>
      </c>
      <c r="E1093" s="4" t="b">
        <v>0</v>
      </c>
      <c r="F1093" s="4"/>
      <c r="G1093" s="4" t="b">
        <f t="shared" si="17"/>
        <v>0</v>
      </c>
      <c r="H1093" s="4"/>
      <c r="I1093" s="4"/>
      <c r="J1093" s="4" t="s">
        <v>20</v>
      </c>
      <c r="K1093"/>
    </row>
    <row r="1094" spans="1:11" ht="16" hidden="1" x14ac:dyDescent="0.2">
      <c r="A1094" s="6" t="s">
        <v>2232</v>
      </c>
      <c r="B1094" s="6" t="s">
        <v>2233</v>
      </c>
      <c r="C1094" s="4" t="b">
        <v>0</v>
      </c>
      <c r="D1094" s="4" t="b">
        <v>0</v>
      </c>
      <c r="E1094" s="4" t="b">
        <v>1</v>
      </c>
      <c r="F1094" s="4"/>
      <c r="G1094" s="4" t="b">
        <f t="shared" si="17"/>
        <v>0</v>
      </c>
      <c r="H1094" s="4"/>
      <c r="I1094" s="4"/>
      <c r="J1094" s="4" t="s">
        <v>20</v>
      </c>
      <c r="K1094"/>
    </row>
    <row r="1095" spans="1:11" ht="16" hidden="1" x14ac:dyDescent="0.2">
      <c r="A1095" s="6" t="s">
        <v>2234</v>
      </c>
      <c r="B1095" s="6" t="s">
        <v>2235</v>
      </c>
      <c r="C1095" s="4" t="b">
        <v>0</v>
      </c>
      <c r="D1095" s="4" t="b">
        <v>0</v>
      </c>
      <c r="E1095" s="4" t="b">
        <v>0</v>
      </c>
      <c r="F1095" s="4"/>
      <c r="G1095" s="4" t="b">
        <f t="shared" si="17"/>
        <v>0</v>
      </c>
      <c r="H1095" s="4"/>
      <c r="I1095" s="4"/>
      <c r="J1095" s="4" t="s">
        <v>20</v>
      </c>
      <c r="K1095"/>
    </row>
    <row r="1096" spans="1:11" ht="16" hidden="1" x14ac:dyDescent="0.2">
      <c r="A1096" s="6" t="s">
        <v>2236</v>
      </c>
      <c r="B1096" s="6" t="s">
        <v>2237</v>
      </c>
      <c r="C1096" s="4" t="b">
        <v>0</v>
      </c>
      <c r="D1096" s="4" t="b">
        <v>0</v>
      </c>
      <c r="E1096" s="4" t="b">
        <v>0</v>
      </c>
      <c r="F1096" s="4"/>
      <c r="G1096" s="4" t="b">
        <f t="shared" si="17"/>
        <v>0</v>
      </c>
      <c r="H1096" s="4"/>
      <c r="I1096" s="4"/>
      <c r="J1096" s="4" t="s">
        <v>20</v>
      </c>
      <c r="K1096"/>
    </row>
    <row r="1097" spans="1:11" ht="32" x14ac:dyDescent="0.2">
      <c r="A1097" s="6" t="s">
        <v>2238</v>
      </c>
      <c r="B1097" s="6" t="s">
        <v>2239</v>
      </c>
      <c r="C1097" s="4" t="b">
        <v>1</v>
      </c>
      <c r="D1097" s="4" t="b">
        <v>0</v>
      </c>
      <c r="E1097" s="4" t="b">
        <v>1</v>
      </c>
      <c r="F1097" s="4" t="s">
        <v>12</v>
      </c>
      <c r="G1097" s="4" t="b">
        <f t="shared" si="17"/>
        <v>1</v>
      </c>
      <c r="H1097" s="4" t="s">
        <v>3013</v>
      </c>
      <c r="I1097" s="4"/>
      <c r="J1097" s="4" t="s">
        <v>20</v>
      </c>
    </row>
    <row r="1098" spans="1:11" ht="16" hidden="1" x14ac:dyDescent="0.2">
      <c r="A1098" s="6" t="s">
        <v>2240</v>
      </c>
      <c r="B1098" s="6" t="s">
        <v>2241</v>
      </c>
      <c r="C1098" s="4" t="b">
        <v>0</v>
      </c>
      <c r="D1098" s="4" t="b">
        <v>0</v>
      </c>
      <c r="E1098" s="4" t="b">
        <v>0</v>
      </c>
      <c r="F1098" s="4"/>
      <c r="G1098" s="4" t="b">
        <f t="shared" si="17"/>
        <v>0</v>
      </c>
      <c r="H1098" s="4"/>
      <c r="I1098" s="4"/>
      <c r="J1098" s="4" t="s">
        <v>20</v>
      </c>
      <c r="K1098"/>
    </row>
    <row r="1099" spans="1:11" ht="64" x14ac:dyDescent="0.2">
      <c r="A1099" s="6" t="s">
        <v>2242</v>
      </c>
      <c r="B1099" s="6" t="s">
        <v>2243</v>
      </c>
      <c r="C1099" s="4" t="b">
        <v>1</v>
      </c>
      <c r="D1099" s="4" t="b">
        <v>0</v>
      </c>
      <c r="E1099" s="4" t="b">
        <v>1</v>
      </c>
      <c r="F1099" s="4" t="s">
        <v>12</v>
      </c>
      <c r="G1099" s="4" t="b">
        <f t="shared" si="17"/>
        <v>1</v>
      </c>
      <c r="H1099" s="4" t="s">
        <v>3012</v>
      </c>
      <c r="I1099" s="4"/>
      <c r="J1099" s="4" t="s">
        <v>20</v>
      </c>
    </row>
    <row r="1100" spans="1:11" ht="16" hidden="1" x14ac:dyDescent="0.2">
      <c r="A1100" s="6" t="s">
        <v>2244</v>
      </c>
      <c r="B1100" s="6" t="s">
        <v>2245</v>
      </c>
      <c r="C1100" s="4" t="b">
        <v>0</v>
      </c>
      <c r="D1100" s="4" t="b">
        <v>0</v>
      </c>
      <c r="E1100" s="4" t="b">
        <v>1</v>
      </c>
      <c r="F1100" s="4"/>
      <c r="G1100" s="4" t="b">
        <f t="shared" si="17"/>
        <v>0</v>
      </c>
      <c r="H1100" s="4"/>
      <c r="I1100" s="4"/>
      <c r="J1100" s="4" t="s">
        <v>20</v>
      </c>
      <c r="K1100"/>
    </row>
    <row r="1101" spans="1:11" ht="16" hidden="1" x14ac:dyDescent="0.2">
      <c r="A1101" s="6" t="s">
        <v>2246</v>
      </c>
      <c r="B1101" s="6" t="s">
        <v>2247</v>
      </c>
      <c r="C1101" s="4" t="b">
        <v>0</v>
      </c>
      <c r="D1101" s="4" t="b">
        <v>0</v>
      </c>
      <c r="E1101" s="4" t="b">
        <v>1</v>
      </c>
      <c r="F1101" s="4"/>
      <c r="G1101" s="4" t="b">
        <f t="shared" si="17"/>
        <v>0</v>
      </c>
      <c r="H1101" s="4"/>
      <c r="I1101" s="4"/>
      <c r="J1101" s="4" t="s">
        <v>20</v>
      </c>
      <c r="K1101"/>
    </row>
    <row r="1102" spans="1:11" ht="16" hidden="1" x14ac:dyDescent="0.2">
      <c r="A1102" s="6" t="s">
        <v>2248</v>
      </c>
      <c r="B1102" s="6" t="s">
        <v>2249</v>
      </c>
      <c r="C1102" s="4" t="b">
        <v>0</v>
      </c>
      <c r="D1102" s="4" t="b">
        <v>0</v>
      </c>
      <c r="E1102" s="4" t="b">
        <v>1</v>
      </c>
      <c r="F1102" s="4"/>
      <c r="G1102" s="4" t="b">
        <f t="shared" si="17"/>
        <v>0</v>
      </c>
      <c r="H1102" s="4"/>
      <c r="I1102" s="4"/>
      <c r="J1102" s="4" t="s">
        <v>20</v>
      </c>
      <c r="K1102"/>
    </row>
    <row r="1103" spans="1:11" ht="16" hidden="1" x14ac:dyDescent="0.2">
      <c r="A1103" s="6" t="s">
        <v>2250</v>
      </c>
      <c r="B1103" s="6" t="s">
        <v>2251</v>
      </c>
      <c r="C1103" s="4" t="b">
        <v>0</v>
      </c>
      <c r="D1103" s="4" t="b">
        <v>0</v>
      </c>
      <c r="E1103" s="4" t="b">
        <v>0</v>
      </c>
      <c r="F1103" s="4"/>
      <c r="G1103" s="4" t="b">
        <f t="shared" si="17"/>
        <v>0</v>
      </c>
      <c r="H1103" s="4"/>
      <c r="I1103" s="4"/>
      <c r="J1103" s="4" t="s">
        <v>20</v>
      </c>
      <c r="K1103"/>
    </row>
    <row r="1104" spans="1:11" ht="16" hidden="1" x14ac:dyDescent="0.2">
      <c r="A1104" s="6" t="s">
        <v>2252</v>
      </c>
      <c r="B1104" s="6" t="s">
        <v>2253</v>
      </c>
      <c r="C1104" s="4" t="b">
        <v>0</v>
      </c>
      <c r="D1104" s="4" t="b">
        <v>0</v>
      </c>
      <c r="E1104" s="4" t="b">
        <v>0</v>
      </c>
      <c r="F1104" s="4"/>
      <c r="G1104" s="4" t="b">
        <f t="shared" si="17"/>
        <v>0</v>
      </c>
      <c r="H1104" s="4"/>
      <c r="I1104" s="4"/>
      <c r="J1104" s="4" t="s">
        <v>20</v>
      </c>
      <c r="K1104"/>
    </row>
    <row r="1105" spans="1:11" ht="16" hidden="1" x14ac:dyDescent="0.2">
      <c r="A1105" s="6" t="s">
        <v>2254</v>
      </c>
      <c r="B1105" s="6" t="s">
        <v>2255</v>
      </c>
      <c r="C1105" s="4" t="b">
        <v>0</v>
      </c>
      <c r="D1105" s="4" t="b">
        <v>0</v>
      </c>
      <c r="E1105" s="4" t="b">
        <v>1</v>
      </c>
      <c r="F1105" s="4"/>
      <c r="G1105" s="4" t="b">
        <f t="shared" si="17"/>
        <v>0</v>
      </c>
      <c r="H1105" s="4"/>
      <c r="I1105" s="4"/>
      <c r="J1105" s="4" t="s">
        <v>20</v>
      </c>
      <c r="K1105"/>
    </row>
    <row r="1106" spans="1:11" ht="32" x14ac:dyDescent="0.2">
      <c r="A1106" s="6" t="s">
        <v>2256</v>
      </c>
      <c r="B1106" s="6" t="s">
        <v>2257</v>
      </c>
      <c r="C1106" s="4" t="b">
        <v>1</v>
      </c>
      <c r="D1106" s="4" t="b">
        <v>0</v>
      </c>
      <c r="E1106" s="4" t="b">
        <v>1</v>
      </c>
      <c r="F1106" s="4" t="s">
        <v>12</v>
      </c>
      <c r="G1106" s="4" t="b">
        <f t="shared" si="17"/>
        <v>1</v>
      </c>
      <c r="H1106" s="4" t="s">
        <v>3011</v>
      </c>
      <c r="I1106" s="4"/>
      <c r="J1106" s="4" t="s">
        <v>20</v>
      </c>
    </row>
    <row r="1107" spans="1:11" ht="16" hidden="1" x14ac:dyDescent="0.2">
      <c r="A1107" s="6" t="s">
        <v>2258</v>
      </c>
      <c r="B1107" s="6" t="s">
        <v>2259</v>
      </c>
      <c r="C1107" s="4" t="b">
        <v>0</v>
      </c>
      <c r="D1107" s="4" t="b">
        <v>0</v>
      </c>
      <c r="E1107" s="4" t="b">
        <v>1</v>
      </c>
      <c r="F1107" s="4"/>
      <c r="G1107" s="4" t="b">
        <f t="shared" si="17"/>
        <v>0</v>
      </c>
      <c r="H1107" s="4"/>
      <c r="I1107" s="4"/>
      <c r="J1107" s="4" t="s">
        <v>20</v>
      </c>
      <c r="K1107"/>
    </row>
    <row r="1108" spans="1:11" ht="64" x14ac:dyDescent="0.2">
      <c r="A1108" s="6" t="s">
        <v>2260</v>
      </c>
      <c r="B1108" s="6" t="s">
        <v>2261</v>
      </c>
      <c r="C1108" s="4" t="b">
        <v>1</v>
      </c>
      <c r="D1108" s="4" t="b">
        <v>0</v>
      </c>
      <c r="E1108" s="4" t="b">
        <v>1</v>
      </c>
      <c r="F1108" s="4" t="s">
        <v>12</v>
      </c>
      <c r="G1108" s="4" t="b">
        <f t="shared" si="17"/>
        <v>1</v>
      </c>
      <c r="H1108" s="4" t="s">
        <v>3010</v>
      </c>
      <c r="I1108" s="4"/>
      <c r="J1108" s="4" t="s">
        <v>1336</v>
      </c>
    </row>
    <row r="1109" spans="1:11" ht="32" hidden="1" x14ac:dyDescent="0.2">
      <c r="A1109" s="6" t="s">
        <v>2262</v>
      </c>
      <c r="B1109" s="6" t="s">
        <v>2263</v>
      </c>
      <c r="C1109" s="4" t="b">
        <v>0</v>
      </c>
      <c r="D1109" s="4" t="b">
        <v>0</v>
      </c>
      <c r="E1109" s="4" t="b">
        <v>1</v>
      </c>
      <c r="F1109" s="4"/>
      <c r="G1109" s="4" t="b">
        <f t="shared" si="17"/>
        <v>0</v>
      </c>
      <c r="H1109" s="4"/>
      <c r="I1109" s="4"/>
      <c r="J1109" s="4" t="s">
        <v>1336</v>
      </c>
      <c r="K1109"/>
    </row>
    <row r="1110" spans="1:11" ht="32" hidden="1" x14ac:dyDescent="0.2">
      <c r="A1110" s="6" t="s">
        <v>2264</v>
      </c>
      <c r="B1110" s="6" t="s">
        <v>2265</v>
      </c>
      <c r="C1110" s="4" t="b">
        <v>0</v>
      </c>
      <c r="D1110" s="4" t="b">
        <v>0</v>
      </c>
      <c r="E1110" s="4" t="b">
        <v>1</v>
      </c>
      <c r="F1110" s="4"/>
      <c r="G1110" s="4" t="b">
        <f t="shared" si="17"/>
        <v>0</v>
      </c>
      <c r="H1110" s="4"/>
      <c r="I1110" s="4"/>
      <c r="J1110" s="4" t="s">
        <v>1336</v>
      </c>
      <c r="K1110"/>
    </row>
    <row r="1111" spans="1:11" ht="32" hidden="1" x14ac:dyDescent="0.2">
      <c r="A1111" s="6" t="s">
        <v>2266</v>
      </c>
      <c r="B1111" s="6" t="s">
        <v>2267</v>
      </c>
      <c r="C1111" s="4" t="b">
        <v>0</v>
      </c>
      <c r="D1111" s="4" t="b">
        <v>0</v>
      </c>
      <c r="E1111" s="4" t="b">
        <v>0</v>
      </c>
      <c r="F1111" s="4"/>
      <c r="G1111" s="4" t="b">
        <f t="shared" si="17"/>
        <v>0</v>
      </c>
      <c r="H1111" s="4"/>
      <c r="I1111" s="4"/>
      <c r="J1111" s="4" t="s">
        <v>1336</v>
      </c>
      <c r="K1111"/>
    </row>
    <row r="1112" spans="1:11" ht="80" x14ac:dyDescent="0.2">
      <c r="A1112" s="6" t="s">
        <v>2268</v>
      </c>
      <c r="B1112" s="6" t="s">
        <v>2269</v>
      </c>
      <c r="C1112" s="4" t="b">
        <v>1</v>
      </c>
      <c r="D1112" s="4" t="b">
        <v>1</v>
      </c>
      <c r="E1112" s="4" t="b">
        <v>1</v>
      </c>
      <c r="F1112" s="4" t="s">
        <v>12</v>
      </c>
      <c r="G1112" s="4" t="b">
        <f t="shared" si="17"/>
        <v>1</v>
      </c>
      <c r="H1112" s="4" t="s">
        <v>3009</v>
      </c>
      <c r="I1112" s="4"/>
      <c r="J1112" s="4" t="s">
        <v>621</v>
      </c>
    </row>
    <row r="1113" spans="1:11" ht="48" x14ac:dyDescent="0.2">
      <c r="A1113" s="6" t="s">
        <v>2270</v>
      </c>
      <c r="B1113" s="6" t="s">
        <v>2271</v>
      </c>
      <c r="C1113" s="4" t="b">
        <v>1</v>
      </c>
      <c r="D1113" s="4" t="b">
        <v>1</v>
      </c>
      <c r="E1113" s="4" t="b">
        <v>1</v>
      </c>
      <c r="F1113" s="4" t="s">
        <v>12</v>
      </c>
      <c r="G1113" s="4" t="b">
        <f t="shared" si="17"/>
        <v>1</v>
      </c>
      <c r="H1113" s="4" t="s">
        <v>3008</v>
      </c>
      <c r="I1113" s="4"/>
      <c r="J1113" s="4" t="s">
        <v>621</v>
      </c>
    </row>
    <row r="1114" spans="1:11" ht="16" hidden="1" x14ac:dyDescent="0.2">
      <c r="A1114" s="6" t="s">
        <v>2272</v>
      </c>
      <c r="B1114" s="6" t="s">
        <v>2273</v>
      </c>
      <c r="C1114" s="4" t="b">
        <v>0</v>
      </c>
      <c r="D1114" s="4" t="b">
        <v>0</v>
      </c>
      <c r="E1114" s="4" t="b">
        <v>0</v>
      </c>
      <c r="F1114" s="4"/>
      <c r="G1114" s="4" t="b">
        <f t="shared" si="17"/>
        <v>0</v>
      </c>
      <c r="H1114" s="4"/>
      <c r="I1114" s="4"/>
      <c r="J1114" s="4" t="s">
        <v>621</v>
      </c>
      <c r="K1114"/>
    </row>
    <row r="1115" spans="1:11" ht="16" hidden="1" x14ac:dyDescent="0.2">
      <c r="A1115" s="6" t="s">
        <v>2274</v>
      </c>
      <c r="B1115" s="6" t="s">
        <v>2275</v>
      </c>
      <c r="C1115" s="4" t="b">
        <v>0</v>
      </c>
      <c r="D1115" s="4" t="b">
        <v>0</v>
      </c>
      <c r="E1115" s="4" t="b">
        <v>0</v>
      </c>
      <c r="F1115" s="4"/>
      <c r="G1115" s="4" t="b">
        <f t="shared" si="17"/>
        <v>0</v>
      </c>
      <c r="H1115" s="4"/>
      <c r="I1115" s="4"/>
      <c r="J1115" s="4" t="s">
        <v>621</v>
      </c>
      <c r="K1115"/>
    </row>
    <row r="1116" spans="1:11" ht="32" x14ac:dyDescent="0.2">
      <c r="A1116" s="6" t="s">
        <v>2276</v>
      </c>
      <c r="B1116" s="6" t="s">
        <v>2277</v>
      </c>
      <c r="C1116" s="4" t="b">
        <v>1</v>
      </c>
      <c r="D1116" s="4" t="b">
        <v>0</v>
      </c>
      <c r="E1116" s="4" t="b">
        <v>1</v>
      </c>
      <c r="F1116" s="4" t="s">
        <v>12</v>
      </c>
      <c r="G1116" s="4" t="b">
        <f t="shared" si="17"/>
        <v>1</v>
      </c>
      <c r="H1116" s="4" t="s">
        <v>3007</v>
      </c>
      <c r="I1116" s="4"/>
      <c r="J1116" s="4" t="s">
        <v>621</v>
      </c>
    </row>
    <row r="1117" spans="1:11" ht="16" hidden="1" x14ac:dyDescent="0.2">
      <c r="A1117" s="6" t="s">
        <v>2278</v>
      </c>
      <c r="B1117" s="6" t="s">
        <v>2279</v>
      </c>
      <c r="C1117" s="4" t="b">
        <v>0</v>
      </c>
      <c r="D1117" s="4" t="b">
        <v>0</v>
      </c>
      <c r="E1117" s="4" t="b">
        <v>1</v>
      </c>
      <c r="F1117" s="4"/>
      <c r="G1117" s="4" t="b">
        <f t="shared" si="17"/>
        <v>0</v>
      </c>
      <c r="H1117" s="4"/>
      <c r="I1117" s="4"/>
      <c r="J1117" s="4" t="s">
        <v>621</v>
      </c>
      <c r="K1117"/>
    </row>
    <row r="1118" spans="1:11" ht="16" x14ac:dyDescent="0.2">
      <c r="A1118" s="6" t="s">
        <v>2280</v>
      </c>
      <c r="B1118" s="6" t="s">
        <v>2281</v>
      </c>
      <c r="C1118" s="4" t="b">
        <v>1</v>
      </c>
      <c r="D1118" s="4" t="b">
        <v>0</v>
      </c>
      <c r="E1118" s="4" t="b">
        <v>1</v>
      </c>
      <c r="F1118" s="4" t="s">
        <v>12</v>
      </c>
      <c r="G1118" s="4" t="b">
        <f t="shared" si="17"/>
        <v>1</v>
      </c>
      <c r="H1118" s="4"/>
      <c r="I1118" s="4"/>
      <c r="J1118" s="4" t="s">
        <v>621</v>
      </c>
    </row>
    <row r="1119" spans="1:11" ht="96" hidden="1" x14ac:dyDescent="0.2">
      <c r="A1119" s="6" t="s">
        <v>2282</v>
      </c>
      <c r="B1119" s="6" t="s">
        <v>2283</v>
      </c>
      <c r="C1119" s="4" t="b">
        <v>0</v>
      </c>
      <c r="D1119" s="4" t="b">
        <v>0</v>
      </c>
      <c r="E1119" s="4" t="b">
        <v>0</v>
      </c>
      <c r="F1119" s="4" t="s">
        <v>12</v>
      </c>
      <c r="G1119" s="4" t="b">
        <f t="shared" si="17"/>
        <v>1</v>
      </c>
      <c r="H1119" s="4" t="s">
        <v>3006</v>
      </c>
      <c r="I1119" s="4"/>
      <c r="J1119" s="4" t="s">
        <v>621</v>
      </c>
    </row>
    <row r="1120" spans="1:11" ht="16" hidden="1" x14ac:dyDescent="0.2">
      <c r="A1120" s="6" t="s">
        <v>2284</v>
      </c>
      <c r="B1120" s="6" t="s">
        <v>2285</v>
      </c>
      <c r="C1120" s="4" t="b">
        <v>0</v>
      </c>
      <c r="D1120" s="4" t="b">
        <v>0</v>
      </c>
      <c r="E1120" s="4" t="b">
        <v>0</v>
      </c>
      <c r="F1120" s="4"/>
      <c r="G1120" s="4" t="b">
        <f t="shared" si="17"/>
        <v>0</v>
      </c>
      <c r="H1120" s="4"/>
      <c r="I1120" s="4"/>
      <c r="J1120" s="4" t="s">
        <v>621</v>
      </c>
      <c r="K1120"/>
    </row>
    <row r="1121" spans="1:11" ht="96" x14ac:dyDescent="0.2">
      <c r="A1121" s="6" t="s">
        <v>2286</v>
      </c>
      <c r="B1121" s="6" t="s">
        <v>2287</v>
      </c>
      <c r="C1121" s="4" t="b">
        <v>1</v>
      </c>
      <c r="D1121" s="4" t="b">
        <v>1</v>
      </c>
      <c r="E1121" s="4" t="b">
        <v>1</v>
      </c>
      <c r="F1121" s="4" t="s">
        <v>12</v>
      </c>
      <c r="G1121" s="4" t="b">
        <f t="shared" si="17"/>
        <v>1</v>
      </c>
      <c r="H1121" s="4" t="s">
        <v>3183</v>
      </c>
      <c r="I1121" s="4"/>
      <c r="J1121" s="4" t="s">
        <v>621</v>
      </c>
    </row>
    <row r="1122" spans="1:11" ht="96" x14ac:dyDescent="0.2">
      <c r="A1122" s="6" t="s">
        <v>2288</v>
      </c>
      <c r="B1122" s="6" t="s">
        <v>2289</v>
      </c>
      <c r="C1122" s="4" t="b">
        <v>1</v>
      </c>
      <c r="D1122" s="4" t="b">
        <v>0</v>
      </c>
      <c r="E1122" s="4" t="b">
        <v>1</v>
      </c>
      <c r="F1122" s="4" t="s">
        <v>12</v>
      </c>
      <c r="G1122" s="4" t="b">
        <f t="shared" si="17"/>
        <v>1</v>
      </c>
      <c r="H1122" s="4" t="s">
        <v>3005</v>
      </c>
      <c r="I1122" s="4"/>
      <c r="J1122" s="4" t="s">
        <v>621</v>
      </c>
    </row>
    <row r="1123" spans="1:11" ht="16" hidden="1" x14ac:dyDescent="0.2">
      <c r="A1123" s="6" t="s">
        <v>2290</v>
      </c>
      <c r="B1123" s="6" t="s">
        <v>2291</v>
      </c>
      <c r="C1123" s="4" t="b">
        <v>0</v>
      </c>
      <c r="D1123" s="4" t="b">
        <v>0</v>
      </c>
      <c r="E1123" s="4" t="b">
        <v>0</v>
      </c>
      <c r="F1123" s="4"/>
      <c r="G1123" s="4" t="b">
        <f t="shared" si="17"/>
        <v>0</v>
      </c>
      <c r="H1123" s="4"/>
      <c r="I1123" s="4"/>
      <c r="J1123" s="4" t="s">
        <v>621</v>
      </c>
      <c r="K1123"/>
    </row>
    <row r="1124" spans="1:11" ht="16" x14ac:dyDescent="0.2">
      <c r="A1124" s="6" t="s">
        <v>2292</v>
      </c>
      <c r="B1124" s="6" t="s">
        <v>2293</v>
      </c>
      <c r="C1124" s="4" t="b">
        <v>1</v>
      </c>
      <c r="D1124" s="4" t="b">
        <v>0</v>
      </c>
      <c r="E1124" s="4" t="b">
        <v>1</v>
      </c>
      <c r="F1124" s="4" t="s">
        <v>12</v>
      </c>
      <c r="G1124" s="4" t="b">
        <f t="shared" si="17"/>
        <v>1</v>
      </c>
      <c r="H1124" s="4"/>
      <c r="I1124" s="4"/>
      <c r="J1124" s="4" t="s">
        <v>621</v>
      </c>
    </row>
    <row r="1125" spans="1:11" ht="16" hidden="1" x14ac:dyDescent="0.2">
      <c r="A1125" s="6" t="s">
        <v>2294</v>
      </c>
      <c r="B1125" s="6" t="s">
        <v>2295</v>
      </c>
      <c r="C1125" s="4" t="b">
        <v>0</v>
      </c>
      <c r="D1125" s="4" t="b">
        <v>0</v>
      </c>
      <c r="E1125" s="4" t="b">
        <v>0</v>
      </c>
      <c r="F1125" s="4"/>
      <c r="G1125" s="4" t="b">
        <f t="shared" si="17"/>
        <v>0</v>
      </c>
      <c r="H1125" s="4"/>
      <c r="I1125" s="4"/>
      <c r="J1125" s="4" t="s">
        <v>621</v>
      </c>
      <c r="K1125"/>
    </row>
    <row r="1126" spans="1:11" ht="16" hidden="1" x14ac:dyDescent="0.2">
      <c r="A1126" s="6" t="s">
        <v>2296</v>
      </c>
      <c r="B1126" s="6" t="s">
        <v>2297</v>
      </c>
      <c r="C1126" s="4" t="b">
        <v>0</v>
      </c>
      <c r="D1126" s="4" t="b">
        <v>0</v>
      </c>
      <c r="E1126" s="4" t="b">
        <v>1</v>
      </c>
      <c r="F1126" s="4"/>
      <c r="G1126" s="4" t="b">
        <f t="shared" si="17"/>
        <v>0</v>
      </c>
      <c r="H1126" s="4"/>
      <c r="I1126" s="4"/>
      <c r="J1126" s="4" t="s">
        <v>621</v>
      </c>
      <c r="K1126"/>
    </row>
    <row r="1127" spans="1:11" ht="16" hidden="1" x14ac:dyDescent="0.2">
      <c r="A1127" s="6" t="s">
        <v>2298</v>
      </c>
      <c r="B1127" s="6" t="s">
        <v>2299</v>
      </c>
      <c r="C1127" s="4" t="b">
        <v>0</v>
      </c>
      <c r="D1127" s="4" t="b">
        <v>0</v>
      </c>
      <c r="E1127" s="4" t="b">
        <v>1</v>
      </c>
      <c r="F1127" s="4"/>
      <c r="G1127" s="4" t="b">
        <f t="shared" si="17"/>
        <v>0</v>
      </c>
      <c r="H1127" s="4"/>
      <c r="I1127" s="4"/>
      <c r="J1127" s="4" t="s">
        <v>621</v>
      </c>
      <c r="K1127"/>
    </row>
    <row r="1128" spans="1:11" ht="16" x14ac:dyDescent="0.2">
      <c r="A1128" s="6" t="s">
        <v>2300</v>
      </c>
      <c r="B1128" s="6" t="s">
        <v>2301</v>
      </c>
      <c r="C1128" s="4" t="b">
        <v>1</v>
      </c>
      <c r="D1128" s="4" t="b">
        <v>0</v>
      </c>
      <c r="E1128" s="4" t="b">
        <v>1</v>
      </c>
      <c r="F1128" s="4" t="s">
        <v>12</v>
      </c>
      <c r="G1128" s="4" t="b">
        <f t="shared" si="17"/>
        <v>1</v>
      </c>
      <c r="H1128" s="4"/>
      <c r="I1128" s="4"/>
      <c r="J1128" s="4" t="s">
        <v>621</v>
      </c>
    </row>
    <row r="1129" spans="1:11" ht="16" hidden="1" x14ac:dyDescent="0.2">
      <c r="A1129" s="6" t="s">
        <v>2302</v>
      </c>
      <c r="B1129" s="6" t="s">
        <v>2303</v>
      </c>
      <c r="C1129" s="4" t="b">
        <v>0</v>
      </c>
      <c r="D1129" s="4" t="b">
        <v>0</v>
      </c>
      <c r="E1129" s="4" t="b">
        <v>0</v>
      </c>
      <c r="F1129" s="4"/>
      <c r="G1129" s="4" t="b">
        <f t="shared" si="17"/>
        <v>0</v>
      </c>
      <c r="H1129" s="4"/>
      <c r="I1129" s="4"/>
      <c r="J1129" s="4" t="s">
        <v>621</v>
      </c>
      <c r="K1129"/>
    </row>
    <row r="1130" spans="1:11" ht="16" hidden="1" x14ac:dyDescent="0.2">
      <c r="A1130" s="6" t="s">
        <v>2304</v>
      </c>
      <c r="B1130" s="6" t="s">
        <v>2305</v>
      </c>
      <c r="C1130" s="4" t="b">
        <v>0</v>
      </c>
      <c r="D1130" s="4" t="b">
        <v>0</v>
      </c>
      <c r="E1130" s="4" t="b">
        <v>0</v>
      </c>
      <c r="F1130" s="4"/>
      <c r="G1130" s="4" t="b">
        <f t="shared" si="17"/>
        <v>0</v>
      </c>
      <c r="H1130" s="4"/>
      <c r="I1130" s="4"/>
      <c r="J1130" s="4" t="s">
        <v>621</v>
      </c>
      <c r="K1130"/>
    </row>
    <row r="1131" spans="1:11" ht="16" x14ac:dyDescent="0.2">
      <c r="A1131" s="6" t="s">
        <v>2306</v>
      </c>
      <c r="B1131" s="6" t="s">
        <v>2307</v>
      </c>
      <c r="C1131" s="4" t="b">
        <v>1</v>
      </c>
      <c r="D1131" s="4" t="b">
        <v>0</v>
      </c>
      <c r="E1131" s="4" t="b">
        <v>1</v>
      </c>
      <c r="F1131" s="4" t="s">
        <v>12</v>
      </c>
      <c r="G1131" s="4" t="b">
        <f t="shared" si="17"/>
        <v>1</v>
      </c>
      <c r="H1131" s="4"/>
      <c r="I1131" s="4"/>
      <c r="J1131" s="4" t="s">
        <v>621</v>
      </c>
    </row>
    <row r="1132" spans="1:11" ht="16" x14ac:dyDescent="0.2">
      <c r="A1132" s="6" t="s">
        <v>2308</v>
      </c>
      <c r="B1132" s="6" t="s">
        <v>2309</v>
      </c>
      <c r="C1132" s="4" t="b">
        <v>1</v>
      </c>
      <c r="D1132" s="4" t="b">
        <v>0</v>
      </c>
      <c r="E1132" s="4" t="b">
        <v>1</v>
      </c>
      <c r="F1132" s="4" t="s">
        <v>12</v>
      </c>
      <c r="G1132" s="4" t="b">
        <f t="shared" si="17"/>
        <v>1</v>
      </c>
      <c r="H1132" s="4" t="s">
        <v>3004</v>
      </c>
      <c r="I1132" s="4"/>
      <c r="J1132" s="4" t="s">
        <v>621</v>
      </c>
    </row>
    <row r="1133" spans="1:11" ht="16" hidden="1" x14ac:dyDescent="0.2">
      <c r="A1133" s="6" t="s">
        <v>2310</v>
      </c>
      <c r="B1133" s="6" t="s">
        <v>2311</v>
      </c>
      <c r="C1133" s="4" t="b">
        <v>0</v>
      </c>
      <c r="D1133" s="4" t="b">
        <v>0</v>
      </c>
      <c r="E1133" s="4" t="b">
        <v>1</v>
      </c>
      <c r="F1133" s="4"/>
      <c r="G1133" s="4" t="b">
        <f t="shared" si="17"/>
        <v>0</v>
      </c>
      <c r="H1133" s="4"/>
      <c r="I1133" s="4"/>
      <c r="J1133" s="4" t="s">
        <v>621</v>
      </c>
      <c r="K1133"/>
    </row>
    <row r="1134" spans="1:11" ht="16" hidden="1" x14ac:dyDescent="0.2">
      <c r="A1134" s="6" t="s">
        <v>2312</v>
      </c>
      <c r="B1134" s="6" t="s">
        <v>2313</v>
      </c>
      <c r="C1134" s="4" t="b">
        <v>0</v>
      </c>
      <c r="D1134" s="4" t="b">
        <v>0</v>
      </c>
      <c r="E1134" s="4" t="b">
        <v>1</v>
      </c>
      <c r="F1134" s="4"/>
      <c r="G1134" s="4" t="b">
        <f t="shared" si="17"/>
        <v>0</v>
      </c>
      <c r="H1134" s="4"/>
      <c r="I1134" s="4"/>
      <c r="J1134" s="4" t="s">
        <v>621</v>
      </c>
      <c r="K1134"/>
    </row>
    <row r="1135" spans="1:11" ht="64" x14ac:dyDescent="0.2">
      <c r="A1135" s="6" t="s">
        <v>2314</v>
      </c>
      <c r="B1135" s="6" t="s">
        <v>2315</v>
      </c>
      <c r="C1135" s="4" t="b">
        <v>1</v>
      </c>
      <c r="D1135" s="4" t="b">
        <v>0</v>
      </c>
      <c r="E1135" s="4" t="b">
        <v>1</v>
      </c>
      <c r="F1135" s="4" t="s">
        <v>12</v>
      </c>
      <c r="G1135" s="4" t="b">
        <f t="shared" si="17"/>
        <v>1</v>
      </c>
      <c r="H1135" s="4" t="s">
        <v>3002</v>
      </c>
      <c r="I1135" s="4"/>
      <c r="J1135" s="4" t="s">
        <v>621</v>
      </c>
    </row>
    <row r="1136" spans="1:11" ht="80" x14ac:dyDescent="0.2">
      <c r="A1136" s="6" t="s">
        <v>2316</v>
      </c>
      <c r="B1136" s="6" t="s">
        <v>2317</v>
      </c>
      <c r="C1136" s="4" t="b">
        <v>1</v>
      </c>
      <c r="D1136" s="4" t="b">
        <v>1</v>
      </c>
      <c r="E1136" s="4" t="b">
        <v>1</v>
      </c>
      <c r="F1136" s="4" t="s">
        <v>12</v>
      </c>
      <c r="G1136" s="4" t="b">
        <f t="shared" si="17"/>
        <v>1</v>
      </c>
      <c r="H1136" s="4" t="s">
        <v>3001</v>
      </c>
      <c r="I1136" s="4"/>
      <c r="J1136" s="4" t="s">
        <v>621</v>
      </c>
    </row>
    <row r="1137" spans="1:11" ht="16" hidden="1" x14ac:dyDescent="0.2">
      <c r="A1137" s="6" t="s">
        <v>2318</v>
      </c>
      <c r="B1137" s="6" t="s">
        <v>2319</v>
      </c>
      <c r="C1137" s="4" t="b">
        <v>0</v>
      </c>
      <c r="D1137" s="4" t="b">
        <v>0</v>
      </c>
      <c r="E1137" s="4" t="b">
        <v>0</v>
      </c>
      <c r="F1137" s="4"/>
      <c r="G1137" s="4" t="b">
        <f t="shared" si="17"/>
        <v>0</v>
      </c>
      <c r="H1137" s="4"/>
      <c r="I1137" s="4"/>
      <c r="J1137" s="4" t="s">
        <v>621</v>
      </c>
      <c r="K1137"/>
    </row>
    <row r="1138" spans="1:11" ht="16" hidden="1" x14ac:dyDescent="0.2">
      <c r="A1138" s="6" t="s">
        <v>2320</v>
      </c>
      <c r="B1138" s="6" t="s">
        <v>2321</v>
      </c>
      <c r="C1138" s="4" t="b">
        <v>0</v>
      </c>
      <c r="D1138" s="4" t="b">
        <v>0</v>
      </c>
      <c r="E1138" s="4" t="b">
        <v>0</v>
      </c>
      <c r="F1138" s="4"/>
      <c r="G1138" s="4" t="b">
        <f t="shared" si="17"/>
        <v>0</v>
      </c>
      <c r="H1138" s="4"/>
      <c r="I1138" s="4"/>
      <c r="J1138" s="4" t="s">
        <v>621</v>
      </c>
      <c r="K1138"/>
    </row>
    <row r="1139" spans="1:11" ht="80" x14ac:dyDescent="0.2">
      <c r="A1139" s="6" t="s">
        <v>2322</v>
      </c>
      <c r="B1139" s="6" t="s">
        <v>2323</v>
      </c>
      <c r="C1139" s="4" t="b">
        <v>1</v>
      </c>
      <c r="D1139" s="4" t="b">
        <v>1</v>
      </c>
      <c r="E1139" s="4" t="b">
        <v>1</v>
      </c>
      <c r="F1139" s="4" t="s">
        <v>12</v>
      </c>
      <c r="G1139" s="4" t="b">
        <f t="shared" si="17"/>
        <v>1</v>
      </c>
      <c r="H1139" s="4" t="s">
        <v>3003</v>
      </c>
      <c r="I1139" s="4"/>
      <c r="J1139" s="4" t="s">
        <v>621</v>
      </c>
    </row>
    <row r="1140" spans="1:11" ht="16" x14ac:dyDescent="0.2">
      <c r="A1140" s="6" t="s">
        <v>2324</v>
      </c>
      <c r="B1140" s="6" t="s">
        <v>2325</v>
      </c>
      <c r="C1140" s="4" t="b">
        <v>1</v>
      </c>
      <c r="D1140" s="4" t="b">
        <v>1</v>
      </c>
      <c r="E1140" s="4" t="b">
        <v>1</v>
      </c>
      <c r="F1140" s="4" t="s">
        <v>12</v>
      </c>
      <c r="G1140" s="4" t="b">
        <f t="shared" si="17"/>
        <v>1</v>
      </c>
      <c r="H1140" s="4" t="s">
        <v>3000</v>
      </c>
      <c r="I1140" s="4"/>
      <c r="J1140" s="4" t="s">
        <v>1451</v>
      </c>
    </row>
    <row r="1141" spans="1:11" ht="32" x14ac:dyDescent="0.2">
      <c r="A1141" s="6" t="s">
        <v>2326</v>
      </c>
      <c r="B1141" s="6" t="s">
        <v>2327</v>
      </c>
      <c r="C1141" s="4" t="b">
        <v>1</v>
      </c>
      <c r="D1141" s="4" t="b">
        <v>0</v>
      </c>
      <c r="E1141" s="4" t="b">
        <v>1</v>
      </c>
      <c r="F1141" s="4" t="s">
        <v>12</v>
      </c>
      <c r="G1141" s="4" t="b">
        <f t="shared" si="17"/>
        <v>1</v>
      </c>
      <c r="H1141" s="4" t="s">
        <v>2999</v>
      </c>
      <c r="I1141" s="4"/>
      <c r="J1141" s="4" t="s">
        <v>1451</v>
      </c>
      <c r="K1141" s="1" t="s">
        <v>2998</v>
      </c>
    </row>
    <row r="1142" spans="1:11" ht="16" hidden="1" x14ac:dyDescent="0.2">
      <c r="A1142" s="6" t="s">
        <v>2328</v>
      </c>
      <c r="B1142" s="6" t="s">
        <v>2329</v>
      </c>
      <c r="C1142" s="4" t="b">
        <v>0</v>
      </c>
      <c r="D1142" s="4" t="b">
        <v>0</v>
      </c>
      <c r="E1142" s="4" t="b">
        <v>1</v>
      </c>
      <c r="F1142" s="4"/>
      <c r="G1142" s="4" t="b">
        <f t="shared" si="17"/>
        <v>0</v>
      </c>
      <c r="H1142" s="4"/>
      <c r="I1142" s="4"/>
      <c r="J1142" s="4" t="s">
        <v>1451</v>
      </c>
      <c r="K1142"/>
    </row>
    <row r="1143" spans="1:11" ht="16" hidden="1" x14ac:dyDescent="0.2">
      <c r="A1143" s="6" t="s">
        <v>2330</v>
      </c>
      <c r="B1143" s="6" t="s">
        <v>2331</v>
      </c>
      <c r="C1143" s="4" t="b">
        <v>0</v>
      </c>
      <c r="D1143" s="4" t="b">
        <v>0</v>
      </c>
      <c r="E1143" s="4" t="b">
        <v>1</v>
      </c>
      <c r="F1143" s="4"/>
      <c r="G1143" s="4" t="b">
        <f t="shared" si="17"/>
        <v>0</v>
      </c>
      <c r="H1143" s="4"/>
      <c r="I1143" s="4"/>
      <c r="J1143" s="4" t="s">
        <v>1451</v>
      </c>
      <c r="K1143"/>
    </row>
    <row r="1144" spans="1:11" ht="16" hidden="1" x14ac:dyDescent="0.2">
      <c r="A1144" s="6" t="s">
        <v>2332</v>
      </c>
      <c r="B1144" s="6" t="s">
        <v>2333</v>
      </c>
      <c r="C1144" s="4" t="b">
        <v>0</v>
      </c>
      <c r="D1144" s="4" t="b">
        <v>0</v>
      </c>
      <c r="E1144" s="4" t="b">
        <v>0</v>
      </c>
      <c r="F1144" s="4"/>
      <c r="G1144" s="4" t="b">
        <f t="shared" si="17"/>
        <v>0</v>
      </c>
      <c r="H1144" s="4"/>
      <c r="I1144" s="4"/>
      <c r="J1144" s="4" t="s">
        <v>1451</v>
      </c>
      <c r="K1144"/>
    </row>
    <row r="1145" spans="1:11" ht="64" x14ac:dyDescent="0.2">
      <c r="A1145" s="6" t="s">
        <v>2334</v>
      </c>
      <c r="B1145" s="6" t="s">
        <v>2335</v>
      </c>
      <c r="C1145" s="4" t="b">
        <v>1</v>
      </c>
      <c r="D1145" s="4" t="b">
        <v>1</v>
      </c>
      <c r="E1145" s="4" t="b">
        <v>1</v>
      </c>
      <c r="F1145" s="4" t="s">
        <v>12</v>
      </c>
      <c r="G1145" s="4" t="b">
        <f t="shared" si="17"/>
        <v>1</v>
      </c>
      <c r="H1145" s="4" t="s">
        <v>2997</v>
      </c>
      <c r="I1145" s="4"/>
      <c r="J1145" s="4" t="s">
        <v>14</v>
      </c>
    </row>
    <row r="1146" spans="1:11" ht="16" x14ac:dyDescent="0.2">
      <c r="A1146" s="6" t="s">
        <v>2336</v>
      </c>
      <c r="B1146" s="6" t="s">
        <v>2337</v>
      </c>
      <c r="C1146" s="4" t="b">
        <v>1</v>
      </c>
      <c r="D1146" s="4" t="b">
        <v>0</v>
      </c>
      <c r="E1146" s="4" t="b">
        <v>1</v>
      </c>
      <c r="F1146" s="4" t="s">
        <v>12</v>
      </c>
      <c r="G1146" s="4" t="b">
        <f t="shared" si="17"/>
        <v>1</v>
      </c>
      <c r="H1146" s="4" t="s">
        <v>2996</v>
      </c>
      <c r="I1146" s="4"/>
      <c r="J1146" s="4" t="s">
        <v>14</v>
      </c>
    </row>
    <row r="1147" spans="1:11" ht="16" hidden="1" x14ac:dyDescent="0.2">
      <c r="A1147" s="6" t="s">
        <v>2338</v>
      </c>
      <c r="B1147" s="6" t="s">
        <v>2339</v>
      </c>
      <c r="C1147" s="4" t="b">
        <v>0</v>
      </c>
      <c r="D1147" s="4" t="b">
        <v>0</v>
      </c>
      <c r="E1147" s="4" t="b">
        <v>0</v>
      </c>
      <c r="F1147" s="4"/>
      <c r="G1147" s="4" t="b">
        <f t="shared" si="17"/>
        <v>0</v>
      </c>
      <c r="H1147" s="4"/>
      <c r="I1147" s="4"/>
      <c r="J1147" s="4" t="s">
        <v>14</v>
      </c>
      <c r="K1147"/>
    </row>
    <row r="1148" spans="1:11" ht="48" x14ac:dyDescent="0.2">
      <c r="A1148" s="6" t="s">
        <v>2340</v>
      </c>
      <c r="B1148" s="6" t="s">
        <v>2341</v>
      </c>
      <c r="C1148" s="4" t="b">
        <v>1</v>
      </c>
      <c r="D1148" s="4" t="b">
        <v>1</v>
      </c>
      <c r="E1148" s="4" t="b">
        <v>1</v>
      </c>
      <c r="F1148" s="4" t="s">
        <v>12</v>
      </c>
      <c r="G1148" s="4" t="b">
        <f t="shared" si="17"/>
        <v>1</v>
      </c>
      <c r="H1148" s="4" t="s">
        <v>2995</v>
      </c>
      <c r="I1148" s="4"/>
      <c r="J1148" s="4" t="s">
        <v>14</v>
      </c>
    </row>
    <row r="1149" spans="1:11" ht="16" hidden="1" x14ac:dyDescent="0.2">
      <c r="A1149" s="6" t="s">
        <v>2342</v>
      </c>
      <c r="B1149" s="6" t="s">
        <v>2343</v>
      </c>
      <c r="C1149" s="4" t="b">
        <v>0</v>
      </c>
      <c r="D1149" s="4" t="b">
        <v>0</v>
      </c>
      <c r="E1149" s="4" t="b">
        <v>0</v>
      </c>
      <c r="F1149" s="4"/>
      <c r="G1149" s="4" t="b">
        <f t="shared" si="17"/>
        <v>0</v>
      </c>
      <c r="H1149" s="4"/>
      <c r="I1149" s="4"/>
      <c r="J1149" s="4" t="s">
        <v>26</v>
      </c>
      <c r="K1149"/>
    </row>
    <row r="1150" spans="1:11" ht="16" x14ac:dyDescent="0.2">
      <c r="A1150" s="6" t="s">
        <v>2344</v>
      </c>
      <c r="B1150" s="6" t="s">
        <v>2345</v>
      </c>
      <c r="C1150" s="4" t="b">
        <v>1</v>
      </c>
      <c r="D1150" s="4" t="b">
        <v>0</v>
      </c>
      <c r="E1150" s="4" t="b">
        <v>1</v>
      </c>
      <c r="F1150" s="4" t="s">
        <v>12</v>
      </c>
      <c r="G1150" s="4" t="b">
        <f t="shared" si="17"/>
        <v>1</v>
      </c>
      <c r="H1150" s="4" t="s">
        <v>2994</v>
      </c>
      <c r="I1150" s="4"/>
      <c r="J1150" s="4" t="s">
        <v>26</v>
      </c>
    </row>
    <row r="1151" spans="1:11" ht="16" x14ac:dyDescent="0.2">
      <c r="A1151" s="6" t="s">
        <v>2346</v>
      </c>
      <c r="B1151" s="6" t="s">
        <v>2347</v>
      </c>
      <c r="C1151" s="4" t="b">
        <v>1</v>
      </c>
      <c r="D1151" s="4" t="b">
        <v>0</v>
      </c>
      <c r="E1151" s="4" t="b">
        <v>1</v>
      </c>
      <c r="F1151" s="4" t="s">
        <v>12</v>
      </c>
      <c r="G1151" s="4" t="b">
        <f t="shared" si="17"/>
        <v>1</v>
      </c>
      <c r="H1151" s="4"/>
      <c r="I1151" s="4"/>
      <c r="J1151" s="4" t="s">
        <v>26</v>
      </c>
    </row>
    <row r="1152" spans="1:11" ht="48" x14ac:dyDescent="0.2">
      <c r="A1152" s="6" t="s">
        <v>2348</v>
      </c>
      <c r="B1152" s="6" t="s">
        <v>2349</v>
      </c>
      <c r="C1152" s="4" t="b">
        <v>1</v>
      </c>
      <c r="D1152" s="4" t="b">
        <v>0</v>
      </c>
      <c r="E1152" s="4" t="b">
        <v>1</v>
      </c>
      <c r="F1152" s="4" t="s">
        <v>12</v>
      </c>
      <c r="G1152" s="4" t="b">
        <f t="shared" si="17"/>
        <v>1</v>
      </c>
      <c r="H1152" s="4" t="s">
        <v>2993</v>
      </c>
      <c r="I1152" s="4"/>
      <c r="J1152" s="4" t="s">
        <v>26</v>
      </c>
    </row>
    <row r="1153" spans="1:11" ht="16" hidden="1" x14ac:dyDescent="0.2">
      <c r="A1153" s="6" t="s">
        <v>2350</v>
      </c>
      <c r="B1153" s="6" t="s">
        <v>2351</v>
      </c>
      <c r="C1153" s="4" t="b">
        <v>0</v>
      </c>
      <c r="D1153" s="4" t="b">
        <v>0</v>
      </c>
      <c r="E1153" s="4" t="b">
        <v>1</v>
      </c>
      <c r="F1153" s="4"/>
      <c r="G1153" s="4" t="b">
        <f t="shared" si="17"/>
        <v>0</v>
      </c>
      <c r="H1153" s="4"/>
      <c r="I1153" s="4"/>
      <c r="J1153" s="4" t="s">
        <v>26</v>
      </c>
      <c r="K1153"/>
    </row>
    <row r="1154" spans="1:11" ht="16" hidden="1" x14ac:dyDescent="0.2">
      <c r="A1154" s="6" t="s">
        <v>2352</v>
      </c>
      <c r="B1154" s="6" t="s">
        <v>2353</v>
      </c>
      <c r="C1154" s="4" t="b">
        <v>0</v>
      </c>
      <c r="D1154" s="4" t="b">
        <v>0</v>
      </c>
      <c r="E1154" s="4" t="b">
        <v>0</v>
      </c>
      <c r="F1154" s="4"/>
      <c r="G1154" s="4" t="b">
        <f t="shared" ref="G1154:G1217" si="18">IF(F1154="✔", TRUE, FALSE)</f>
        <v>0</v>
      </c>
      <c r="H1154" s="4"/>
      <c r="I1154" s="4"/>
      <c r="J1154" s="4" t="s">
        <v>26</v>
      </c>
      <c r="K1154"/>
    </row>
    <row r="1155" spans="1:11" ht="160" x14ac:dyDescent="0.2">
      <c r="A1155" s="6" t="s">
        <v>2354</v>
      </c>
      <c r="B1155" s="6" t="s">
        <v>2355</v>
      </c>
      <c r="C1155" s="4" t="b">
        <v>1</v>
      </c>
      <c r="D1155" s="4" t="b">
        <v>0</v>
      </c>
      <c r="E1155" s="4" t="b">
        <v>1</v>
      </c>
      <c r="F1155" s="4" t="s">
        <v>12</v>
      </c>
      <c r="G1155" s="4" t="b">
        <f t="shared" si="18"/>
        <v>1</v>
      </c>
      <c r="H1155" s="4" t="s">
        <v>2990</v>
      </c>
      <c r="I1155" s="4"/>
      <c r="J1155" s="4" t="s">
        <v>26</v>
      </c>
      <c r="K1155" s="4" t="s">
        <v>2998</v>
      </c>
    </row>
    <row r="1156" spans="1:11" ht="16" hidden="1" x14ac:dyDescent="0.2">
      <c r="A1156" s="6" t="s">
        <v>2356</v>
      </c>
      <c r="B1156" s="6" t="s">
        <v>2357</v>
      </c>
      <c r="C1156" s="4" t="b">
        <v>0</v>
      </c>
      <c r="D1156" s="4" t="b">
        <v>0</v>
      </c>
      <c r="E1156" s="4" t="b">
        <v>1</v>
      </c>
      <c r="F1156" s="4"/>
      <c r="G1156" s="4" t="b">
        <f t="shared" si="18"/>
        <v>0</v>
      </c>
      <c r="H1156" s="4"/>
      <c r="I1156" s="4"/>
      <c r="J1156" s="4" t="s">
        <v>26</v>
      </c>
      <c r="K1156"/>
    </row>
    <row r="1157" spans="1:11" ht="16" hidden="1" x14ac:dyDescent="0.2">
      <c r="A1157" s="6" t="s">
        <v>2358</v>
      </c>
      <c r="B1157" s="6" t="s">
        <v>2359</v>
      </c>
      <c r="C1157" s="4" t="b">
        <v>0</v>
      </c>
      <c r="D1157" s="4" t="b">
        <v>0</v>
      </c>
      <c r="E1157" s="4" t="b">
        <v>1</v>
      </c>
      <c r="F1157" s="4"/>
      <c r="G1157" s="4" t="b">
        <f t="shared" si="18"/>
        <v>0</v>
      </c>
      <c r="H1157" s="4"/>
      <c r="I1157" s="4"/>
      <c r="J1157" s="4" t="s">
        <v>26</v>
      </c>
      <c r="K1157"/>
    </row>
    <row r="1158" spans="1:11" ht="16" hidden="1" x14ac:dyDescent="0.2">
      <c r="A1158" s="6" t="s">
        <v>2360</v>
      </c>
      <c r="B1158" s="6" t="s">
        <v>2361</v>
      </c>
      <c r="C1158" s="4" t="b">
        <v>0</v>
      </c>
      <c r="D1158" s="4" t="b">
        <v>0</v>
      </c>
      <c r="E1158" s="4" t="b">
        <v>1</v>
      </c>
      <c r="F1158" s="4"/>
      <c r="G1158" s="4" t="b">
        <f t="shared" si="18"/>
        <v>0</v>
      </c>
      <c r="H1158" s="4"/>
      <c r="I1158" s="4"/>
      <c r="J1158" s="4" t="s">
        <v>26</v>
      </c>
      <c r="K1158"/>
    </row>
    <row r="1159" spans="1:11" ht="64" x14ac:dyDescent="0.2">
      <c r="A1159" s="6" t="s">
        <v>2362</v>
      </c>
      <c r="B1159" s="6" t="s">
        <v>2363</v>
      </c>
      <c r="C1159" s="4" t="b">
        <v>1</v>
      </c>
      <c r="D1159" s="4" t="b">
        <v>0</v>
      </c>
      <c r="E1159" s="4" t="b">
        <v>1</v>
      </c>
      <c r="F1159" s="4" t="s">
        <v>12</v>
      </c>
      <c r="G1159" s="4" t="b">
        <f t="shared" si="18"/>
        <v>1</v>
      </c>
      <c r="H1159" s="4" t="s">
        <v>2989</v>
      </c>
      <c r="I1159" s="4"/>
      <c r="J1159" s="4" t="s">
        <v>26</v>
      </c>
    </row>
    <row r="1160" spans="1:11" ht="16" hidden="1" x14ac:dyDescent="0.2">
      <c r="A1160" s="6" t="s">
        <v>2364</v>
      </c>
      <c r="B1160" s="6" t="s">
        <v>2365</v>
      </c>
      <c r="C1160" s="4" t="b">
        <v>0</v>
      </c>
      <c r="D1160" s="4" t="b">
        <v>0</v>
      </c>
      <c r="E1160" s="4" t="b">
        <v>0</v>
      </c>
      <c r="F1160" s="4"/>
      <c r="G1160" s="4" t="b">
        <f t="shared" si="18"/>
        <v>0</v>
      </c>
      <c r="H1160" s="4"/>
      <c r="I1160" s="4"/>
      <c r="J1160" s="4" t="s">
        <v>26</v>
      </c>
      <c r="K1160"/>
    </row>
    <row r="1161" spans="1:11" ht="112" x14ac:dyDescent="0.2">
      <c r="A1161" s="6" t="s">
        <v>2366</v>
      </c>
      <c r="B1161" s="6" t="s">
        <v>2367</v>
      </c>
      <c r="C1161" s="4" t="b">
        <v>1</v>
      </c>
      <c r="D1161" s="4" t="b">
        <v>1</v>
      </c>
      <c r="E1161" s="4" t="b">
        <v>1</v>
      </c>
      <c r="F1161" s="4" t="s">
        <v>12</v>
      </c>
      <c r="G1161" s="4" t="b">
        <f t="shared" si="18"/>
        <v>1</v>
      </c>
      <c r="H1161" s="4" t="s">
        <v>2988</v>
      </c>
      <c r="I1161" s="4"/>
      <c r="J1161" s="4" t="s">
        <v>26</v>
      </c>
    </row>
    <row r="1162" spans="1:11" ht="16" hidden="1" x14ac:dyDescent="0.2">
      <c r="A1162" s="6" t="s">
        <v>2368</v>
      </c>
      <c r="B1162" s="6" t="s">
        <v>2369</v>
      </c>
      <c r="C1162" s="4" t="b">
        <v>0</v>
      </c>
      <c r="D1162" s="4" t="b">
        <v>0</v>
      </c>
      <c r="E1162" s="4" t="b">
        <v>1</v>
      </c>
      <c r="F1162" s="4"/>
      <c r="G1162" s="4" t="b">
        <f t="shared" si="18"/>
        <v>0</v>
      </c>
      <c r="H1162" s="4"/>
      <c r="I1162" s="4"/>
      <c r="J1162" s="4" t="s">
        <v>26</v>
      </c>
      <c r="K1162"/>
    </row>
    <row r="1163" spans="1:11" ht="80" x14ac:dyDescent="0.2">
      <c r="A1163" s="6" t="s">
        <v>2370</v>
      </c>
      <c r="B1163" s="6" t="s">
        <v>2371</v>
      </c>
      <c r="C1163" s="4" t="b">
        <v>1</v>
      </c>
      <c r="D1163" s="4" t="b">
        <v>1</v>
      </c>
      <c r="E1163" s="4" t="b">
        <v>1</v>
      </c>
      <c r="F1163" s="4" t="s">
        <v>12</v>
      </c>
      <c r="G1163" s="4" t="b">
        <f t="shared" si="18"/>
        <v>1</v>
      </c>
      <c r="H1163" s="4" t="s">
        <v>2987</v>
      </c>
      <c r="I1163" s="4"/>
      <c r="J1163" s="4" t="s">
        <v>26</v>
      </c>
    </row>
    <row r="1164" spans="1:11" ht="16" hidden="1" x14ac:dyDescent="0.2">
      <c r="A1164" s="6" t="s">
        <v>2372</v>
      </c>
      <c r="B1164" s="6" t="s">
        <v>2373</v>
      </c>
      <c r="C1164" s="4" t="b">
        <v>0</v>
      </c>
      <c r="D1164" s="4" t="b">
        <v>0</v>
      </c>
      <c r="E1164" s="4" t="b">
        <v>0</v>
      </c>
      <c r="F1164" s="4" t="s">
        <v>12</v>
      </c>
      <c r="G1164" s="4" t="b">
        <f t="shared" si="18"/>
        <v>1</v>
      </c>
      <c r="H1164" s="4" t="s">
        <v>2986</v>
      </c>
      <c r="I1164" s="4"/>
      <c r="J1164" s="4" t="s">
        <v>26</v>
      </c>
    </row>
    <row r="1165" spans="1:11" ht="16" x14ac:dyDescent="0.2">
      <c r="A1165" s="6" t="s">
        <v>2374</v>
      </c>
      <c r="B1165" s="6" t="s">
        <v>2375</v>
      </c>
      <c r="C1165" s="4" t="b">
        <v>1</v>
      </c>
      <c r="D1165" s="4" t="b">
        <v>0</v>
      </c>
      <c r="E1165" s="4" t="b">
        <v>1</v>
      </c>
      <c r="F1165" s="4" t="s">
        <v>12</v>
      </c>
      <c r="G1165" s="4" t="b">
        <f t="shared" si="18"/>
        <v>1</v>
      </c>
      <c r="H1165" s="4" t="s">
        <v>2985</v>
      </c>
      <c r="I1165" s="4"/>
      <c r="J1165" s="4" t="s">
        <v>26</v>
      </c>
    </row>
    <row r="1166" spans="1:11" ht="16" hidden="1" x14ac:dyDescent="0.2">
      <c r="A1166" s="6" t="s">
        <v>2376</v>
      </c>
      <c r="B1166" s="6" t="s">
        <v>2377</v>
      </c>
      <c r="C1166" s="4" t="b">
        <v>0</v>
      </c>
      <c r="D1166" s="4" t="b">
        <v>0</v>
      </c>
      <c r="E1166" s="4" t="b">
        <v>1</v>
      </c>
      <c r="F1166" s="4"/>
      <c r="G1166" s="4" t="b">
        <f t="shared" si="18"/>
        <v>0</v>
      </c>
      <c r="H1166" s="4"/>
      <c r="I1166" s="4"/>
      <c r="J1166" s="4" t="s">
        <v>26</v>
      </c>
      <c r="K1166"/>
    </row>
    <row r="1167" spans="1:11" ht="48" x14ac:dyDescent="0.2">
      <c r="A1167" s="6" t="s">
        <v>2378</v>
      </c>
      <c r="B1167" s="6" t="s">
        <v>2379</v>
      </c>
      <c r="C1167" s="4" t="b">
        <v>1</v>
      </c>
      <c r="D1167" s="4" t="b">
        <v>0</v>
      </c>
      <c r="E1167" s="4" t="b">
        <v>1</v>
      </c>
      <c r="F1167" s="4" t="s">
        <v>12</v>
      </c>
      <c r="G1167" s="4" t="b">
        <f t="shared" si="18"/>
        <v>1</v>
      </c>
      <c r="H1167" s="4" t="s">
        <v>2984</v>
      </c>
      <c r="I1167" s="4"/>
      <c r="J1167" s="4" t="s">
        <v>26</v>
      </c>
    </row>
    <row r="1168" spans="1:11" ht="16" hidden="1" x14ac:dyDescent="0.2">
      <c r="A1168" s="6" t="s">
        <v>2380</v>
      </c>
      <c r="B1168" s="6" t="s">
        <v>2381</v>
      </c>
      <c r="C1168" s="4" t="b">
        <v>0</v>
      </c>
      <c r="D1168" s="4" t="b">
        <v>0</v>
      </c>
      <c r="E1168" s="4" t="b">
        <v>0</v>
      </c>
      <c r="F1168" s="4"/>
      <c r="G1168" s="4" t="b">
        <f t="shared" si="18"/>
        <v>0</v>
      </c>
      <c r="H1168" s="4"/>
      <c r="I1168" s="4"/>
      <c r="J1168" s="4" t="s">
        <v>26</v>
      </c>
      <c r="K1168"/>
    </row>
    <row r="1169" spans="1:11" ht="16" hidden="1" x14ac:dyDescent="0.2">
      <c r="A1169" s="6" t="s">
        <v>2382</v>
      </c>
      <c r="B1169" s="6" t="s">
        <v>2383</v>
      </c>
      <c r="C1169" s="4" t="b">
        <v>0</v>
      </c>
      <c r="D1169" s="4" t="b">
        <v>0</v>
      </c>
      <c r="E1169" s="4" t="b">
        <v>0</v>
      </c>
      <c r="F1169" s="4"/>
      <c r="G1169" s="4" t="b">
        <f t="shared" si="18"/>
        <v>0</v>
      </c>
      <c r="H1169" s="4"/>
      <c r="I1169" s="4"/>
      <c r="J1169" s="4" t="s">
        <v>26</v>
      </c>
      <c r="K1169"/>
    </row>
    <row r="1170" spans="1:11" ht="16" hidden="1" x14ac:dyDescent="0.2">
      <c r="A1170" s="6" t="s">
        <v>2384</v>
      </c>
      <c r="B1170" s="6" t="s">
        <v>2385</v>
      </c>
      <c r="C1170" s="4" t="b">
        <v>0</v>
      </c>
      <c r="D1170" s="4" t="b">
        <v>0</v>
      </c>
      <c r="E1170" s="4" t="b">
        <v>0</v>
      </c>
      <c r="F1170" s="4"/>
      <c r="G1170" s="4" t="b">
        <f t="shared" si="18"/>
        <v>0</v>
      </c>
      <c r="H1170" s="4"/>
      <c r="I1170" s="4"/>
      <c r="J1170" s="4" t="s">
        <v>26</v>
      </c>
      <c r="K1170"/>
    </row>
    <row r="1171" spans="1:11" ht="32" x14ac:dyDescent="0.2">
      <c r="A1171" s="6" t="s">
        <v>2386</v>
      </c>
      <c r="B1171" s="6" t="s">
        <v>2387</v>
      </c>
      <c r="C1171" s="4" t="b">
        <v>1</v>
      </c>
      <c r="D1171" s="4" t="b">
        <v>0</v>
      </c>
      <c r="E1171" s="4" t="b">
        <v>1</v>
      </c>
      <c r="F1171" s="4"/>
      <c r="G1171" s="4" t="b">
        <f t="shared" si="18"/>
        <v>0</v>
      </c>
      <c r="H1171" s="4" t="s">
        <v>2983</v>
      </c>
      <c r="I1171" s="4"/>
      <c r="J1171" s="4" t="s">
        <v>2981</v>
      </c>
    </row>
    <row r="1172" spans="1:11" ht="16" hidden="1" x14ac:dyDescent="0.2">
      <c r="A1172" s="6" t="s">
        <v>2388</v>
      </c>
      <c r="B1172" s="6" t="s">
        <v>2389</v>
      </c>
      <c r="C1172" s="4" t="b">
        <v>0</v>
      </c>
      <c r="D1172" s="4" t="b">
        <v>0</v>
      </c>
      <c r="E1172" s="4" t="b">
        <v>0</v>
      </c>
      <c r="F1172" s="4"/>
      <c r="G1172" s="4" t="b">
        <f t="shared" si="18"/>
        <v>0</v>
      </c>
      <c r="H1172" s="4"/>
      <c r="I1172" s="4"/>
      <c r="J1172" s="4" t="s">
        <v>98</v>
      </c>
      <c r="K1172"/>
    </row>
    <row r="1173" spans="1:11" ht="16" x14ac:dyDescent="0.2">
      <c r="A1173" s="6" t="s">
        <v>2390</v>
      </c>
      <c r="B1173" s="6" t="s">
        <v>2391</v>
      </c>
      <c r="C1173" s="4" t="b">
        <v>1</v>
      </c>
      <c r="D1173" s="4" t="b">
        <v>0</v>
      </c>
      <c r="E1173" s="4" t="b">
        <v>1</v>
      </c>
      <c r="F1173" s="4" t="s">
        <v>12</v>
      </c>
      <c r="G1173" s="4" t="b">
        <f t="shared" si="18"/>
        <v>1</v>
      </c>
      <c r="H1173" s="4" t="s">
        <v>3249</v>
      </c>
      <c r="I1173" s="4"/>
      <c r="J1173" s="4" t="s">
        <v>98</v>
      </c>
      <c r="K1173"/>
    </row>
    <row r="1174" spans="1:11" ht="32" x14ac:dyDescent="0.2">
      <c r="A1174" s="6" t="s">
        <v>2392</v>
      </c>
      <c r="B1174" s="6" t="s">
        <v>2393</v>
      </c>
      <c r="C1174" s="4" t="b">
        <v>1</v>
      </c>
      <c r="D1174" s="4" t="b">
        <v>0</v>
      </c>
      <c r="E1174" s="4" t="b">
        <v>1</v>
      </c>
      <c r="F1174" s="4" t="s">
        <v>12</v>
      </c>
      <c r="G1174" s="4" t="b">
        <f t="shared" si="18"/>
        <v>1</v>
      </c>
      <c r="H1174" s="4" t="s">
        <v>3248</v>
      </c>
      <c r="I1174" s="4"/>
      <c r="J1174" s="4" t="s">
        <v>98</v>
      </c>
      <c r="K1174"/>
    </row>
    <row r="1175" spans="1:11" ht="16" hidden="1" x14ac:dyDescent="0.2">
      <c r="A1175" s="6" t="s">
        <v>2394</v>
      </c>
      <c r="B1175" s="6" t="s">
        <v>2395</v>
      </c>
      <c r="C1175" s="4" t="b">
        <v>0</v>
      </c>
      <c r="D1175" s="4" t="b">
        <v>0</v>
      </c>
      <c r="E1175" s="4" t="b">
        <v>0</v>
      </c>
      <c r="F1175" s="4"/>
      <c r="G1175" s="4" t="b">
        <f t="shared" si="18"/>
        <v>0</v>
      </c>
      <c r="H1175" s="4"/>
      <c r="I1175" s="4"/>
      <c r="J1175" s="4" t="s">
        <v>98</v>
      </c>
      <c r="K1175"/>
    </row>
    <row r="1176" spans="1:11" ht="16" hidden="1" x14ac:dyDescent="0.2">
      <c r="A1176" s="6" t="s">
        <v>2396</v>
      </c>
      <c r="B1176" s="6" t="s">
        <v>2397</v>
      </c>
      <c r="C1176" s="4" t="b">
        <v>0</v>
      </c>
      <c r="D1176" s="4" t="b">
        <v>0</v>
      </c>
      <c r="E1176" s="4" t="b">
        <v>0</v>
      </c>
      <c r="F1176" s="4"/>
      <c r="G1176" s="4" t="b">
        <f t="shared" si="18"/>
        <v>0</v>
      </c>
      <c r="H1176" s="4"/>
      <c r="I1176" s="4"/>
      <c r="J1176" s="4" t="s">
        <v>98</v>
      </c>
      <c r="K1176"/>
    </row>
    <row r="1177" spans="1:11" ht="16" hidden="1" x14ac:dyDescent="0.2">
      <c r="A1177" s="6" t="s">
        <v>2398</v>
      </c>
      <c r="B1177" s="6" t="s">
        <v>2399</v>
      </c>
      <c r="C1177" s="4" t="b">
        <v>0</v>
      </c>
      <c r="D1177" s="4" t="b">
        <v>0</v>
      </c>
      <c r="E1177" s="4" t="b">
        <v>0</v>
      </c>
      <c r="F1177" s="4"/>
      <c r="G1177" s="4" t="b">
        <f t="shared" si="18"/>
        <v>0</v>
      </c>
      <c r="H1177" s="4"/>
      <c r="I1177" s="4"/>
      <c r="J1177" s="4" t="s">
        <v>98</v>
      </c>
      <c r="K1177"/>
    </row>
    <row r="1178" spans="1:11" ht="16" hidden="1" x14ac:dyDescent="0.2">
      <c r="A1178" s="6" t="s">
        <v>2400</v>
      </c>
      <c r="B1178" s="6" t="s">
        <v>2401</v>
      </c>
      <c r="C1178" s="4" t="b">
        <v>0</v>
      </c>
      <c r="D1178" s="4" t="b">
        <v>0</v>
      </c>
      <c r="E1178" s="4" t="b">
        <v>0</v>
      </c>
      <c r="F1178" s="4"/>
      <c r="G1178" s="4" t="b">
        <f t="shared" si="18"/>
        <v>0</v>
      </c>
      <c r="H1178" s="4"/>
      <c r="I1178" s="4"/>
      <c r="J1178" s="4" t="s">
        <v>98</v>
      </c>
      <c r="K1178"/>
    </row>
    <row r="1179" spans="1:11" ht="16" hidden="1" x14ac:dyDescent="0.2">
      <c r="A1179" s="6" t="s">
        <v>2402</v>
      </c>
      <c r="B1179" s="6" t="s">
        <v>2403</v>
      </c>
      <c r="C1179" s="4" t="b">
        <v>0</v>
      </c>
      <c r="D1179" s="4" t="b">
        <v>0</v>
      </c>
      <c r="E1179" s="4" t="b">
        <v>0</v>
      </c>
      <c r="F1179" s="4"/>
      <c r="G1179" s="4" t="b">
        <f t="shared" si="18"/>
        <v>0</v>
      </c>
      <c r="H1179" s="4"/>
      <c r="I1179" s="4"/>
      <c r="J1179" s="4" t="s">
        <v>98</v>
      </c>
      <c r="K1179"/>
    </row>
    <row r="1180" spans="1:11" ht="16" hidden="1" x14ac:dyDescent="0.2">
      <c r="A1180" s="6" t="s">
        <v>2404</v>
      </c>
      <c r="B1180" s="6" t="s">
        <v>2405</v>
      </c>
      <c r="C1180" s="4" t="b">
        <v>0</v>
      </c>
      <c r="D1180" s="4" t="b">
        <v>0</v>
      </c>
      <c r="E1180" s="4" t="b">
        <v>1</v>
      </c>
      <c r="F1180" s="4"/>
      <c r="G1180" s="4" t="b">
        <f t="shared" si="18"/>
        <v>0</v>
      </c>
      <c r="H1180" s="4"/>
      <c r="I1180" s="4"/>
      <c r="J1180" s="4" t="s">
        <v>98</v>
      </c>
      <c r="K1180"/>
    </row>
    <row r="1181" spans="1:11" ht="16" hidden="1" x14ac:dyDescent="0.2">
      <c r="A1181" s="6" t="s">
        <v>2406</v>
      </c>
      <c r="B1181" s="6" t="s">
        <v>2407</v>
      </c>
      <c r="C1181" s="4" t="b">
        <v>0</v>
      </c>
      <c r="D1181" s="4" t="b">
        <v>0</v>
      </c>
      <c r="E1181" s="4" t="b">
        <v>0</v>
      </c>
      <c r="F1181" s="4"/>
      <c r="G1181" s="4" t="b">
        <f t="shared" si="18"/>
        <v>0</v>
      </c>
      <c r="H1181" s="4"/>
      <c r="I1181" s="4"/>
      <c r="J1181" s="4" t="s">
        <v>98</v>
      </c>
      <c r="K1181"/>
    </row>
    <row r="1182" spans="1:11" ht="80" x14ac:dyDescent="0.2">
      <c r="A1182" s="6" t="s">
        <v>2408</v>
      </c>
      <c r="B1182" s="6" t="s">
        <v>2409</v>
      </c>
      <c r="C1182" s="4" t="b">
        <v>1</v>
      </c>
      <c r="D1182" s="4" t="b">
        <v>1</v>
      </c>
      <c r="E1182" s="4" t="b">
        <v>1</v>
      </c>
      <c r="F1182" s="4" t="s">
        <v>12</v>
      </c>
      <c r="G1182" s="4" t="b">
        <f t="shared" si="18"/>
        <v>1</v>
      </c>
      <c r="H1182" s="4" t="s">
        <v>3247</v>
      </c>
      <c r="I1182" s="4"/>
      <c r="J1182" s="4" t="s">
        <v>98</v>
      </c>
      <c r="K1182"/>
    </row>
    <row r="1183" spans="1:11" ht="16" hidden="1" x14ac:dyDescent="0.2">
      <c r="A1183" s="6" t="s">
        <v>2410</v>
      </c>
      <c r="B1183" s="6" t="s">
        <v>2411</v>
      </c>
      <c r="C1183" s="4" t="b">
        <v>0</v>
      </c>
      <c r="D1183" s="4" t="b">
        <v>0</v>
      </c>
      <c r="E1183" s="4" t="b">
        <v>0</v>
      </c>
      <c r="F1183" s="4"/>
      <c r="G1183" s="4" t="b">
        <f t="shared" si="18"/>
        <v>0</v>
      </c>
      <c r="H1183" s="4"/>
      <c r="I1183" s="4"/>
      <c r="J1183" s="4" t="s">
        <v>98</v>
      </c>
      <c r="K1183"/>
    </row>
    <row r="1184" spans="1:11" ht="64" x14ac:dyDescent="0.2">
      <c r="A1184" s="6" t="s">
        <v>2412</v>
      </c>
      <c r="B1184" s="6" t="s">
        <v>2413</v>
      </c>
      <c r="C1184" s="4" t="b">
        <v>1</v>
      </c>
      <c r="D1184" s="4" t="b">
        <v>0</v>
      </c>
      <c r="E1184" s="4" t="b">
        <v>1</v>
      </c>
      <c r="F1184" s="4" t="s">
        <v>12</v>
      </c>
      <c r="G1184" s="4" t="b">
        <f t="shared" si="18"/>
        <v>1</v>
      </c>
      <c r="H1184" s="4" t="s">
        <v>3246</v>
      </c>
      <c r="I1184" s="4"/>
      <c r="J1184" s="4" t="s">
        <v>98</v>
      </c>
      <c r="K1184"/>
    </row>
    <row r="1185" spans="1:10" customFormat="1" ht="16" hidden="1" x14ac:dyDescent="0.2">
      <c r="A1185" s="6" t="s">
        <v>2414</v>
      </c>
      <c r="B1185" s="6" t="s">
        <v>2415</v>
      </c>
      <c r="C1185" s="4" t="b">
        <v>0</v>
      </c>
      <c r="D1185" s="4" t="b">
        <v>0</v>
      </c>
      <c r="E1185" s="4" t="b">
        <v>0</v>
      </c>
      <c r="F1185" s="4"/>
      <c r="G1185" s="4" t="b">
        <f t="shared" si="18"/>
        <v>0</v>
      </c>
      <c r="H1185" s="4"/>
      <c r="I1185" s="4"/>
      <c r="J1185" s="4" t="s">
        <v>98</v>
      </c>
    </row>
    <row r="1186" spans="1:10" customFormat="1" ht="16" hidden="1" x14ac:dyDescent="0.2">
      <c r="A1186" s="6" t="s">
        <v>2416</v>
      </c>
      <c r="B1186" s="6" t="s">
        <v>2417</v>
      </c>
      <c r="C1186" s="4" t="b">
        <v>0</v>
      </c>
      <c r="D1186" s="4" t="b">
        <v>0</v>
      </c>
      <c r="E1186" s="4" t="b">
        <v>1</v>
      </c>
      <c r="F1186" s="4"/>
      <c r="G1186" s="4" t="b">
        <f t="shared" si="18"/>
        <v>0</v>
      </c>
      <c r="H1186" s="4"/>
      <c r="I1186" s="4"/>
      <c r="J1186" s="4" t="s">
        <v>98</v>
      </c>
    </row>
    <row r="1187" spans="1:10" customFormat="1" ht="64" x14ac:dyDescent="0.2">
      <c r="A1187" s="6" t="s">
        <v>2418</v>
      </c>
      <c r="B1187" s="6" t="s">
        <v>2419</v>
      </c>
      <c r="C1187" s="4" t="b">
        <v>1</v>
      </c>
      <c r="D1187" s="4" t="b">
        <v>1</v>
      </c>
      <c r="E1187" s="4" t="b">
        <v>1</v>
      </c>
      <c r="F1187" s="4" t="s">
        <v>12</v>
      </c>
      <c r="G1187" s="4" t="b">
        <f t="shared" si="18"/>
        <v>1</v>
      </c>
      <c r="H1187" s="4" t="s">
        <v>3245</v>
      </c>
      <c r="I1187" s="4"/>
      <c r="J1187" s="4" t="s">
        <v>98</v>
      </c>
    </row>
    <row r="1188" spans="1:10" customFormat="1" ht="16" hidden="1" x14ac:dyDescent="0.2">
      <c r="A1188" s="6" t="s">
        <v>2420</v>
      </c>
      <c r="B1188" s="6" t="s">
        <v>2421</v>
      </c>
      <c r="C1188" s="4" t="b">
        <v>0</v>
      </c>
      <c r="D1188" s="4" t="b">
        <v>0</v>
      </c>
      <c r="E1188" s="4" t="b">
        <v>0</v>
      </c>
      <c r="F1188" s="4"/>
      <c r="G1188" s="4" t="b">
        <f t="shared" si="18"/>
        <v>0</v>
      </c>
      <c r="H1188" s="4"/>
      <c r="I1188" s="4"/>
      <c r="J1188" s="4" t="s">
        <v>98</v>
      </c>
    </row>
    <row r="1189" spans="1:10" customFormat="1" ht="16" hidden="1" x14ac:dyDescent="0.2">
      <c r="A1189" s="6" t="s">
        <v>2422</v>
      </c>
      <c r="B1189" s="6" t="s">
        <v>2423</v>
      </c>
      <c r="C1189" s="4" t="b">
        <v>0</v>
      </c>
      <c r="D1189" s="4" t="b">
        <v>0</v>
      </c>
      <c r="E1189" s="4" t="b">
        <v>0</v>
      </c>
      <c r="F1189" s="4"/>
      <c r="G1189" s="4" t="b">
        <f t="shared" si="18"/>
        <v>0</v>
      </c>
      <c r="H1189" s="4"/>
      <c r="I1189" s="4"/>
      <c r="J1189" s="4" t="s">
        <v>98</v>
      </c>
    </row>
    <row r="1190" spans="1:10" customFormat="1" ht="16" hidden="1" x14ac:dyDescent="0.2">
      <c r="A1190" s="6" t="s">
        <v>2424</v>
      </c>
      <c r="B1190" s="6" t="s">
        <v>2425</v>
      </c>
      <c r="C1190" s="4" t="b">
        <v>0</v>
      </c>
      <c r="D1190" s="4" t="b">
        <v>0</v>
      </c>
      <c r="E1190" s="4" t="b">
        <v>0</v>
      </c>
      <c r="F1190" s="4"/>
      <c r="G1190" s="4" t="b">
        <f t="shared" si="18"/>
        <v>0</v>
      </c>
      <c r="H1190" s="4"/>
      <c r="I1190" s="4"/>
      <c r="J1190" s="4" t="s">
        <v>98</v>
      </c>
    </row>
    <row r="1191" spans="1:10" customFormat="1" ht="16" hidden="1" x14ac:dyDescent="0.2">
      <c r="A1191" s="6" t="s">
        <v>2426</v>
      </c>
      <c r="B1191" s="6" t="s">
        <v>2427</v>
      </c>
      <c r="C1191" s="4" t="b">
        <v>0</v>
      </c>
      <c r="D1191" s="4" t="b">
        <v>0</v>
      </c>
      <c r="E1191" s="4" t="b">
        <v>0</v>
      </c>
      <c r="F1191" s="4"/>
      <c r="G1191" s="4" t="b">
        <f t="shared" si="18"/>
        <v>0</v>
      </c>
      <c r="H1191" s="4"/>
      <c r="I1191" s="4"/>
      <c r="J1191" s="4" t="s">
        <v>98</v>
      </c>
    </row>
    <row r="1192" spans="1:10" customFormat="1" ht="16" hidden="1" x14ac:dyDescent="0.2">
      <c r="A1192" s="6" t="s">
        <v>2428</v>
      </c>
      <c r="B1192" s="6" t="s">
        <v>2429</v>
      </c>
      <c r="C1192" s="4" t="b">
        <v>0</v>
      </c>
      <c r="D1192" s="4" t="b">
        <v>0</v>
      </c>
      <c r="E1192" s="4" t="b">
        <v>0</v>
      </c>
      <c r="F1192" s="4"/>
      <c r="G1192" s="4" t="b">
        <f t="shared" si="18"/>
        <v>0</v>
      </c>
      <c r="H1192" s="4"/>
      <c r="I1192" s="4"/>
      <c r="J1192" s="4" t="s">
        <v>98</v>
      </c>
    </row>
    <row r="1193" spans="1:10" customFormat="1" ht="16" hidden="1" x14ac:dyDescent="0.2">
      <c r="A1193" s="6" t="s">
        <v>2430</v>
      </c>
      <c r="B1193" s="6" t="s">
        <v>2431</v>
      </c>
      <c r="C1193" s="4" t="b">
        <v>0</v>
      </c>
      <c r="D1193" s="4" t="b">
        <v>0</v>
      </c>
      <c r="E1193" s="4" t="b">
        <v>0</v>
      </c>
      <c r="F1193" s="4"/>
      <c r="G1193" s="4" t="b">
        <f t="shared" si="18"/>
        <v>0</v>
      </c>
      <c r="H1193" s="4"/>
      <c r="I1193" s="4"/>
      <c r="J1193" s="4" t="s">
        <v>98</v>
      </c>
    </row>
    <row r="1194" spans="1:10" customFormat="1" ht="16" hidden="1" x14ac:dyDescent="0.2">
      <c r="A1194" s="6" t="s">
        <v>2432</v>
      </c>
      <c r="B1194" s="6" t="s">
        <v>2433</v>
      </c>
      <c r="C1194" s="4" t="b">
        <v>0</v>
      </c>
      <c r="D1194" s="4" t="b">
        <v>0</v>
      </c>
      <c r="E1194" s="4" t="b">
        <v>0</v>
      </c>
      <c r="F1194" s="4"/>
      <c r="G1194" s="4" t="b">
        <f t="shared" si="18"/>
        <v>0</v>
      </c>
      <c r="H1194" s="4"/>
      <c r="I1194" s="4"/>
      <c r="J1194" s="4" t="s">
        <v>98</v>
      </c>
    </row>
    <row r="1195" spans="1:10" customFormat="1" ht="16" hidden="1" x14ac:dyDescent="0.2">
      <c r="A1195" s="6" t="s">
        <v>2434</v>
      </c>
      <c r="B1195" s="6" t="s">
        <v>2435</v>
      </c>
      <c r="C1195" s="4" t="b">
        <v>0</v>
      </c>
      <c r="D1195" s="4" t="b">
        <v>0</v>
      </c>
      <c r="E1195" s="4" t="b">
        <v>1</v>
      </c>
      <c r="F1195" s="4"/>
      <c r="G1195" s="4" t="b">
        <f t="shared" si="18"/>
        <v>0</v>
      </c>
      <c r="H1195" s="4"/>
      <c r="I1195" s="4"/>
      <c r="J1195" s="4" t="s">
        <v>98</v>
      </c>
    </row>
    <row r="1196" spans="1:10" customFormat="1" ht="16" hidden="1" x14ac:dyDescent="0.2">
      <c r="A1196" s="6" t="s">
        <v>2436</v>
      </c>
      <c r="B1196" s="6" t="s">
        <v>2437</v>
      </c>
      <c r="C1196" s="4" t="b">
        <v>0</v>
      </c>
      <c r="D1196" s="4" t="b">
        <v>0</v>
      </c>
      <c r="E1196" s="4" t="b">
        <v>0</v>
      </c>
      <c r="F1196" s="4"/>
      <c r="G1196" s="4" t="b">
        <f t="shared" si="18"/>
        <v>0</v>
      </c>
      <c r="H1196" s="4"/>
      <c r="I1196" s="4"/>
      <c r="J1196" s="4" t="s">
        <v>98</v>
      </c>
    </row>
    <row r="1197" spans="1:10" customFormat="1" ht="16" hidden="1" x14ac:dyDescent="0.2">
      <c r="A1197" s="6" t="s">
        <v>2438</v>
      </c>
      <c r="B1197" s="6" t="s">
        <v>2439</v>
      </c>
      <c r="C1197" s="4" t="b">
        <v>0</v>
      </c>
      <c r="D1197" s="4" t="b">
        <v>0</v>
      </c>
      <c r="E1197" s="4" t="b">
        <v>0</v>
      </c>
      <c r="F1197" s="4"/>
      <c r="G1197" s="4" t="b">
        <f t="shared" si="18"/>
        <v>0</v>
      </c>
      <c r="H1197" s="4"/>
      <c r="I1197" s="4"/>
      <c r="J1197" s="4" t="s">
        <v>98</v>
      </c>
    </row>
    <row r="1198" spans="1:10" customFormat="1" ht="16" hidden="1" x14ac:dyDescent="0.2">
      <c r="A1198" s="6" t="s">
        <v>2440</v>
      </c>
      <c r="B1198" s="6" t="s">
        <v>2441</v>
      </c>
      <c r="C1198" s="4" t="b">
        <v>0</v>
      </c>
      <c r="D1198" s="4" t="b">
        <v>0</v>
      </c>
      <c r="E1198" s="4" t="b">
        <v>0</v>
      </c>
      <c r="F1198" s="4"/>
      <c r="G1198" s="4" t="b">
        <f t="shared" si="18"/>
        <v>0</v>
      </c>
      <c r="H1198" s="4"/>
      <c r="I1198" s="4"/>
      <c r="J1198" s="4" t="s">
        <v>98</v>
      </c>
    </row>
    <row r="1199" spans="1:10" customFormat="1" ht="16" hidden="1" x14ac:dyDescent="0.2">
      <c r="A1199" s="6" t="s">
        <v>2442</v>
      </c>
      <c r="B1199" s="6" t="s">
        <v>2443</v>
      </c>
      <c r="C1199" s="4" t="b">
        <v>0</v>
      </c>
      <c r="D1199" s="4" t="b">
        <v>0</v>
      </c>
      <c r="E1199" s="4" t="b">
        <v>0</v>
      </c>
      <c r="F1199" s="4"/>
      <c r="G1199" s="4" t="b">
        <f t="shared" si="18"/>
        <v>0</v>
      </c>
      <c r="H1199" s="4"/>
      <c r="I1199" s="4"/>
      <c r="J1199" s="4" t="s">
        <v>98</v>
      </c>
    </row>
    <row r="1200" spans="1:10" customFormat="1" ht="16" hidden="1" x14ac:dyDescent="0.2">
      <c r="A1200" s="6" t="s">
        <v>2444</v>
      </c>
      <c r="B1200" s="6" t="s">
        <v>2445</v>
      </c>
      <c r="C1200" s="4" t="b">
        <v>0</v>
      </c>
      <c r="D1200" s="4" t="b">
        <v>0</v>
      </c>
      <c r="E1200" s="4" t="b">
        <v>0</v>
      </c>
      <c r="F1200" s="4"/>
      <c r="G1200" s="4" t="b">
        <f t="shared" si="18"/>
        <v>0</v>
      </c>
      <c r="H1200" s="4"/>
      <c r="I1200" s="4"/>
      <c r="J1200" s="4" t="s">
        <v>98</v>
      </c>
    </row>
    <row r="1201" spans="1:11" ht="16" hidden="1" x14ac:dyDescent="0.2">
      <c r="A1201" s="6" t="s">
        <v>2446</v>
      </c>
      <c r="B1201" s="6" t="s">
        <v>2447</v>
      </c>
      <c r="C1201" s="4" t="b">
        <v>0</v>
      </c>
      <c r="D1201" s="4" t="b">
        <v>0</v>
      </c>
      <c r="E1201" s="4" t="b">
        <v>0</v>
      </c>
      <c r="F1201" s="4"/>
      <c r="G1201" s="4" t="b">
        <f t="shared" si="18"/>
        <v>0</v>
      </c>
      <c r="H1201" s="4"/>
      <c r="I1201" s="4"/>
      <c r="J1201" s="4" t="s">
        <v>98</v>
      </c>
      <c r="K1201"/>
    </row>
    <row r="1202" spans="1:11" ht="16" hidden="1" x14ac:dyDescent="0.2">
      <c r="A1202" s="6" t="s">
        <v>2448</v>
      </c>
      <c r="B1202" s="6" t="s">
        <v>2449</v>
      </c>
      <c r="C1202" s="4" t="b">
        <v>0</v>
      </c>
      <c r="D1202" s="4" t="b">
        <v>0</v>
      </c>
      <c r="E1202" s="4" t="b">
        <v>0</v>
      </c>
      <c r="F1202" s="4"/>
      <c r="G1202" s="4" t="b">
        <f t="shared" si="18"/>
        <v>0</v>
      </c>
      <c r="H1202" s="4"/>
      <c r="I1202" s="4"/>
      <c r="J1202" s="4" t="s">
        <v>98</v>
      </c>
      <c r="K1202"/>
    </row>
    <row r="1203" spans="1:11" ht="16" hidden="1" x14ac:dyDescent="0.2">
      <c r="A1203" s="6" t="s">
        <v>2450</v>
      </c>
      <c r="B1203" s="6" t="s">
        <v>2451</v>
      </c>
      <c r="C1203" s="4" t="b">
        <v>0</v>
      </c>
      <c r="D1203" s="4" t="b">
        <v>0</v>
      </c>
      <c r="E1203" s="4" t="b">
        <v>0</v>
      </c>
      <c r="F1203" s="4"/>
      <c r="G1203" s="4" t="b">
        <f t="shared" si="18"/>
        <v>0</v>
      </c>
      <c r="H1203" s="4"/>
      <c r="I1203" s="4"/>
      <c r="J1203" s="4" t="s">
        <v>98</v>
      </c>
      <c r="K1203"/>
    </row>
    <row r="1204" spans="1:11" ht="16" hidden="1" x14ac:dyDescent="0.2">
      <c r="A1204" s="6" t="s">
        <v>2452</v>
      </c>
      <c r="B1204" s="6" t="s">
        <v>2453</v>
      </c>
      <c r="C1204" s="4" t="b">
        <v>0</v>
      </c>
      <c r="D1204" s="4" t="b">
        <v>0</v>
      </c>
      <c r="E1204" s="4" t="b">
        <v>1</v>
      </c>
      <c r="F1204" s="4"/>
      <c r="G1204" s="4" t="b">
        <f t="shared" si="18"/>
        <v>0</v>
      </c>
      <c r="H1204" s="4"/>
      <c r="I1204" s="4"/>
      <c r="J1204" s="4" t="s">
        <v>98</v>
      </c>
      <c r="K1204"/>
    </row>
    <row r="1205" spans="1:11" ht="16" hidden="1" x14ac:dyDescent="0.2">
      <c r="A1205" s="6" t="s">
        <v>2454</v>
      </c>
      <c r="B1205" s="6" t="s">
        <v>2455</v>
      </c>
      <c r="C1205" s="4" t="b">
        <v>0</v>
      </c>
      <c r="D1205" s="4" t="b">
        <v>0</v>
      </c>
      <c r="E1205" s="4" t="b">
        <v>1</v>
      </c>
      <c r="F1205" s="4"/>
      <c r="G1205" s="4" t="b">
        <f t="shared" si="18"/>
        <v>0</v>
      </c>
      <c r="H1205" s="4"/>
      <c r="I1205" s="4"/>
      <c r="J1205" s="4" t="s">
        <v>98</v>
      </c>
      <c r="K1205"/>
    </row>
    <row r="1206" spans="1:11" ht="16" hidden="1" x14ac:dyDescent="0.2">
      <c r="A1206" s="6" t="s">
        <v>2456</v>
      </c>
      <c r="B1206" s="6" t="s">
        <v>2457</v>
      </c>
      <c r="C1206" s="4" t="b">
        <v>0</v>
      </c>
      <c r="D1206" s="4" t="b">
        <v>0</v>
      </c>
      <c r="E1206" s="4" t="b">
        <v>0</v>
      </c>
      <c r="F1206" s="4"/>
      <c r="G1206" s="4" t="b">
        <f t="shared" si="18"/>
        <v>0</v>
      </c>
      <c r="H1206" s="4"/>
      <c r="I1206" s="4"/>
      <c r="J1206" s="4" t="s">
        <v>98</v>
      </c>
      <c r="K1206"/>
    </row>
    <row r="1207" spans="1:11" ht="16" hidden="1" x14ac:dyDescent="0.2">
      <c r="A1207" s="6" t="s">
        <v>2458</v>
      </c>
      <c r="B1207" s="6" t="s">
        <v>2459</v>
      </c>
      <c r="C1207" s="4" t="b">
        <v>0</v>
      </c>
      <c r="D1207" s="4" t="b">
        <v>0</v>
      </c>
      <c r="E1207" s="4" t="b">
        <v>0</v>
      </c>
      <c r="F1207" s="4" t="s">
        <v>12</v>
      </c>
      <c r="G1207" s="4" t="b">
        <f t="shared" si="18"/>
        <v>1</v>
      </c>
      <c r="H1207" s="4"/>
      <c r="I1207" s="4"/>
      <c r="J1207" s="4" t="s">
        <v>98</v>
      </c>
      <c r="K1207"/>
    </row>
    <row r="1208" spans="1:11" ht="16" hidden="1" x14ac:dyDescent="0.2">
      <c r="A1208" s="6" t="s">
        <v>2460</v>
      </c>
      <c r="B1208" s="6" t="s">
        <v>2461</v>
      </c>
      <c r="C1208" s="4" t="b">
        <v>0</v>
      </c>
      <c r="D1208" s="4" t="b">
        <v>0</v>
      </c>
      <c r="E1208" s="4" t="b">
        <v>0</v>
      </c>
      <c r="F1208" s="4"/>
      <c r="G1208" s="4" t="b">
        <f t="shared" si="18"/>
        <v>0</v>
      </c>
      <c r="H1208" s="4"/>
      <c r="I1208" s="4"/>
      <c r="J1208" s="4" t="s">
        <v>98</v>
      </c>
      <c r="K1208"/>
    </row>
    <row r="1209" spans="1:11" ht="16" hidden="1" x14ac:dyDescent="0.2">
      <c r="A1209" s="6" t="s">
        <v>2462</v>
      </c>
      <c r="B1209" s="6" t="s">
        <v>2463</v>
      </c>
      <c r="C1209" s="4" t="b">
        <v>0</v>
      </c>
      <c r="D1209" s="4" t="b">
        <v>0</v>
      </c>
      <c r="E1209" s="4" t="b">
        <v>0</v>
      </c>
      <c r="F1209" s="4"/>
      <c r="G1209" s="4" t="b">
        <f t="shared" si="18"/>
        <v>0</v>
      </c>
      <c r="H1209" s="4"/>
      <c r="I1209" s="4"/>
      <c r="J1209" s="4" t="s">
        <v>98</v>
      </c>
      <c r="K1209"/>
    </row>
    <row r="1210" spans="1:11" ht="16" hidden="1" x14ac:dyDescent="0.2">
      <c r="A1210" s="6" t="s">
        <v>2464</v>
      </c>
      <c r="B1210" s="6" t="s">
        <v>2465</v>
      </c>
      <c r="C1210" s="4" t="b">
        <v>0</v>
      </c>
      <c r="D1210" s="4" t="b">
        <v>0</v>
      </c>
      <c r="E1210" s="4" t="b">
        <v>0</v>
      </c>
      <c r="F1210" s="4"/>
      <c r="G1210" s="4" t="b">
        <f t="shared" si="18"/>
        <v>0</v>
      </c>
      <c r="H1210" s="4"/>
      <c r="I1210" s="4"/>
      <c r="J1210" s="4" t="s">
        <v>98</v>
      </c>
      <c r="K1210"/>
    </row>
    <row r="1211" spans="1:11" ht="16" hidden="1" x14ac:dyDescent="0.2">
      <c r="A1211" s="6" t="s">
        <v>2466</v>
      </c>
      <c r="B1211" s="6" t="s">
        <v>2467</v>
      </c>
      <c r="C1211" s="4" t="b">
        <v>0</v>
      </c>
      <c r="D1211" s="4" t="b">
        <v>0</v>
      </c>
      <c r="E1211" s="4" t="b">
        <v>0</v>
      </c>
      <c r="F1211" s="4"/>
      <c r="G1211" s="4" t="b">
        <f t="shared" si="18"/>
        <v>0</v>
      </c>
      <c r="H1211" s="4"/>
      <c r="I1211" s="4"/>
      <c r="J1211" s="4" t="s">
        <v>94</v>
      </c>
      <c r="K1211"/>
    </row>
    <row r="1212" spans="1:11" ht="96" x14ac:dyDescent="0.2">
      <c r="A1212" s="6" t="s">
        <v>2468</v>
      </c>
      <c r="B1212" s="6" t="s">
        <v>2469</v>
      </c>
      <c r="C1212" s="4" t="b">
        <v>1</v>
      </c>
      <c r="D1212" s="4" t="b">
        <v>0</v>
      </c>
      <c r="E1212" s="4" t="b">
        <v>1</v>
      </c>
      <c r="F1212" s="4" t="s">
        <v>12</v>
      </c>
      <c r="G1212" s="4" t="b">
        <f t="shared" si="18"/>
        <v>1</v>
      </c>
      <c r="H1212" s="4" t="s">
        <v>2982</v>
      </c>
      <c r="I1212" s="4"/>
      <c r="J1212" s="4" t="s">
        <v>94</v>
      </c>
    </row>
    <row r="1213" spans="1:11" ht="144" x14ac:dyDescent="0.2">
      <c r="A1213" s="6" t="s">
        <v>2470</v>
      </c>
      <c r="B1213" s="6" t="s">
        <v>2471</v>
      </c>
      <c r="C1213" s="4" t="b">
        <v>1</v>
      </c>
      <c r="D1213" s="4" t="b">
        <v>1</v>
      </c>
      <c r="E1213" s="4" t="b">
        <v>1</v>
      </c>
      <c r="F1213" s="4" t="s">
        <v>12</v>
      </c>
      <c r="G1213" s="4" t="b">
        <f t="shared" si="18"/>
        <v>1</v>
      </c>
      <c r="H1213" s="4" t="s">
        <v>2980</v>
      </c>
      <c r="I1213" s="4"/>
      <c r="J1213" s="4" t="s">
        <v>94</v>
      </c>
    </row>
    <row r="1214" spans="1:11" ht="16" hidden="1" x14ac:dyDescent="0.2">
      <c r="A1214" s="6" t="s">
        <v>2472</v>
      </c>
      <c r="B1214" s="6" t="s">
        <v>2473</v>
      </c>
      <c r="C1214" s="4" t="b">
        <v>0</v>
      </c>
      <c r="D1214" s="4" t="b">
        <v>0</v>
      </c>
      <c r="E1214" s="4" t="b">
        <v>0</v>
      </c>
      <c r="F1214" s="4"/>
      <c r="G1214" s="4" t="b">
        <f t="shared" si="18"/>
        <v>0</v>
      </c>
      <c r="H1214" s="4" t="s">
        <v>2978</v>
      </c>
      <c r="I1214" s="4"/>
      <c r="J1214" s="4" t="s">
        <v>94</v>
      </c>
      <c r="K1214"/>
    </row>
    <row r="1215" spans="1:11" ht="16" x14ac:dyDescent="0.2">
      <c r="A1215" s="6" t="s">
        <v>2474</v>
      </c>
      <c r="B1215" s="6" t="s">
        <v>2475</v>
      </c>
      <c r="C1215" s="4" t="b">
        <v>1</v>
      </c>
      <c r="D1215" s="4" t="b">
        <v>0</v>
      </c>
      <c r="E1215" s="4" t="b">
        <v>1</v>
      </c>
      <c r="F1215" s="4" t="s">
        <v>12</v>
      </c>
      <c r="G1215" s="4" t="b">
        <f t="shared" si="18"/>
        <v>1</v>
      </c>
      <c r="H1215" s="4"/>
      <c r="I1215" s="4"/>
      <c r="J1215" s="4" t="s">
        <v>94</v>
      </c>
    </row>
    <row r="1216" spans="1:11" ht="16" hidden="1" x14ac:dyDescent="0.2">
      <c r="A1216" s="6" t="s">
        <v>2476</v>
      </c>
      <c r="B1216" s="6" t="s">
        <v>2477</v>
      </c>
      <c r="C1216" s="4" t="b">
        <v>0</v>
      </c>
      <c r="D1216" s="4" t="b">
        <v>0</v>
      </c>
      <c r="E1216" s="4" t="b">
        <v>0</v>
      </c>
      <c r="F1216" s="4" t="s">
        <v>12</v>
      </c>
      <c r="G1216" s="4" t="b">
        <f t="shared" si="18"/>
        <v>1</v>
      </c>
      <c r="H1216" s="4" t="s">
        <v>2979</v>
      </c>
      <c r="I1216" s="4"/>
      <c r="J1216" s="4" t="s">
        <v>94</v>
      </c>
      <c r="K1216"/>
    </row>
    <row r="1217" spans="1:11" ht="16" hidden="1" x14ac:dyDescent="0.2">
      <c r="A1217" s="6" t="s">
        <v>2478</v>
      </c>
      <c r="B1217" s="6" t="s">
        <v>2479</v>
      </c>
      <c r="C1217" s="4" t="b">
        <v>0</v>
      </c>
      <c r="D1217" s="4" t="b">
        <v>0</v>
      </c>
      <c r="E1217" s="4" t="b">
        <v>0</v>
      </c>
      <c r="F1217" s="4"/>
      <c r="G1217" s="4" t="b">
        <f t="shared" si="18"/>
        <v>0</v>
      </c>
      <c r="H1217" s="4"/>
      <c r="I1217" s="4"/>
      <c r="J1217" s="4" t="s">
        <v>94</v>
      </c>
      <c r="K1217"/>
    </row>
    <row r="1218" spans="1:11" ht="64" x14ac:dyDescent="0.2">
      <c r="A1218" s="6" t="s">
        <v>2480</v>
      </c>
      <c r="B1218" s="6" t="s">
        <v>2481</v>
      </c>
      <c r="C1218" s="4" t="b">
        <v>1</v>
      </c>
      <c r="D1218" s="4" t="b">
        <v>1</v>
      </c>
      <c r="E1218" s="4" t="b">
        <v>1</v>
      </c>
      <c r="F1218" s="4" t="s">
        <v>12</v>
      </c>
      <c r="G1218" s="4" t="b">
        <f t="shared" ref="G1218:G1281" si="19">IF(F1218="✔", TRUE, FALSE)</f>
        <v>1</v>
      </c>
      <c r="H1218" s="4" t="s">
        <v>2977</v>
      </c>
      <c r="I1218" s="4"/>
      <c r="J1218" s="4" t="s">
        <v>94</v>
      </c>
    </row>
    <row r="1219" spans="1:11" ht="16" hidden="1" x14ac:dyDescent="0.2">
      <c r="A1219" s="6" t="s">
        <v>2482</v>
      </c>
      <c r="B1219" s="6" t="s">
        <v>2483</v>
      </c>
      <c r="C1219" s="4" t="b">
        <v>0</v>
      </c>
      <c r="D1219" s="4" t="b">
        <v>0</v>
      </c>
      <c r="E1219" s="4" t="b">
        <v>0</v>
      </c>
      <c r="F1219" s="4"/>
      <c r="G1219" s="4" t="b">
        <f t="shared" si="19"/>
        <v>0</v>
      </c>
      <c r="H1219" s="4"/>
      <c r="I1219" s="4"/>
      <c r="J1219" s="4" t="s">
        <v>94</v>
      </c>
      <c r="K1219"/>
    </row>
    <row r="1220" spans="1:11" ht="96" x14ac:dyDescent="0.2">
      <c r="A1220" s="6" t="s">
        <v>2484</v>
      </c>
      <c r="B1220" s="6" t="s">
        <v>2485</v>
      </c>
      <c r="C1220" s="4" t="b">
        <v>1</v>
      </c>
      <c r="D1220" s="4" t="b">
        <v>0</v>
      </c>
      <c r="E1220" s="4" t="b">
        <v>1</v>
      </c>
      <c r="F1220" s="4" t="s">
        <v>12</v>
      </c>
      <c r="G1220" s="4" t="b">
        <f t="shared" si="19"/>
        <v>1</v>
      </c>
      <c r="H1220" s="4" t="s">
        <v>2976</v>
      </c>
      <c r="I1220" s="4"/>
      <c r="J1220" s="4" t="s">
        <v>94</v>
      </c>
    </row>
    <row r="1221" spans="1:11" ht="16" hidden="1" x14ac:dyDescent="0.2">
      <c r="A1221" s="6" t="s">
        <v>2486</v>
      </c>
      <c r="B1221" s="6" t="s">
        <v>2487</v>
      </c>
      <c r="C1221" s="4" t="b">
        <v>0</v>
      </c>
      <c r="D1221" s="4" t="b">
        <v>0</v>
      </c>
      <c r="E1221" s="4" t="b">
        <v>1</v>
      </c>
      <c r="F1221" s="4"/>
      <c r="G1221" s="4" t="b">
        <f t="shared" si="19"/>
        <v>0</v>
      </c>
      <c r="H1221" s="4"/>
      <c r="I1221" s="4"/>
      <c r="J1221" s="4" t="s">
        <v>94</v>
      </c>
      <c r="K1221"/>
    </row>
    <row r="1222" spans="1:11" ht="32" x14ac:dyDescent="0.2">
      <c r="A1222" s="6" t="s">
        <v>2488</v>
      </c>
      <c r="B1222" s="6" t="s">
        <v>2489</v>
      </c>
      <c r="C1222" s="4" t="b">
        <v>1</v>
      </c>
      <c r="D1222" s="4" t="b">
        <v>0</v>
      </c>
      <c r="E1222" s="4" t="b">
        <v>1</v>
      </c>
      <c r="F1222" s="4" t="s">
        <v>12</v>
      </c>
      <c r="G1222" s="4" t="b">
        <f t="shared" si="19"/>
        <v>1</v>
      </c>
      <c r="H1222" s="4" t="s">
        <v>2975</v>
      </c>
      <c r="I1222" s="4"/>
      <c r="J1222" s="4" t="s">
        <v>94</v>
      </c>
    </row>
    <row r="1223" spans="1:11" ht="16" hidden="1" x14ac:dyDescent="0.2">
      <c r="A1223" s="6" t="s">
        <v>2490</v>
      </c>
      <c r="B1223" s="6" t="s">
        <v>2491</v>
      </c>
      <c r="C1223" s="4" t="b">
        <v>0</v>
      </c>
      <c r="D1223" s="4" t="b">
        <v>0</v>
      </c>
      <c r="E1223" s="4" t="b">
        <v>1</v>
      </c>
      <c r="F1223" s="4"/>
      <c r="G1223" s="4" t="b">
        <f t="shared" si="19"/>
        <v>0</v>
      </c>
      <c r="H1223" s="4"/>
      <c r="I1223" s="4"/>
      <c r="J1223" s="4" t="s">
        <v>94</v>
      </c>
      <c r="K1223"/>
    </row>
    <row r="1224" spans="1:11" ht="16" hidden="1" x14ac:dyDescent="0.2">
      <c r="A1224" s="6" t="s">
        <v>2492</v>
      </c>
      <c r="B1224" s="6" t="s">
        <v>2493</v>
      </c>
      <c r="C1224" s="4" t="b">
        <v>0</v>
      </c>
      <c r="D1224" s="4" t="b">
        <v>0</v>
      </c>
      <c r="E1224" s="4" t="b">
        <v>0</v>
      </c>
      <c r="F1224" s="4"/>
      <c r="G1224" s="4" t="b">
        <f t="shared" si="19"/>
        <v>0</v>
      </c>
      <c r="H1224" s="4"/>
      <c r="I1224" s="4"/>
      <c r="J1224" s="4" t="s">
        <v>94</v>
      </c>
      <c r="K1224"/>
    </row>
    <row r="1225" spans="1:11" ht="16" hidden="1" x14ac:dyDescent="0.2">
      <c r="A1225" s="6" t="s">
        <v>2494</v>
      </c>
      <c r="B1225" s="6" t="s">
        <v>2495</v>
      </c>
      <c r="C1225" s="4" t="b">
        <v>0</v>
      </c>
      <c r="D1225" s="4" t="b">
        <v>0</v>
      </c>
      <c r="E1225" s="4" t="b">
        <v>0</v>
      </c>
      <c r="F1225" s="4"/>
      <c r="G1225" s="4" t="b">
        <f t="shared" si="19"/>
        <v>0</v>
      </c>
      <c r="H1225" s="4"/>
      <c r="I1225" s="4"/>
      <c r="J1225" s="4" t="s">
        <v>94</v>
      </c>
      <c r="K1225"/>
    </row>
    <row r="1226" spans="1:11" ht="128" x14ac:dyDescent="0.2">
      <c r="A1226" s="6" t="s">
        <v>2496</v>
      </c>
      <c r="B1226" s="6" t="s">
        <v>2497</v>
      </c>
      <c r="C1226" s="4" t="b">
        <v>1</v>
      </c>
      <c r="D1226" s="4" t="b">
        <v>1</v>
      </c>
      <c r="E1226" s="4" t="b">
        <v>1</v>
      </c>
      <c r="F1226" s="4" t="s">
        <v>12</v>
      </c>
      <c r="G1226" s="4" t="b">
        <f t="shared" si="19"/>
        <v>1</v>
      </c>
      <c r="H1226" s="4" t="s">
        <v>2974</v>
      </c>
      <c r="I1226" s="4"/>
      <c r="J1226" s="4" t="s">
        <v>94</v>
      </c>
    </row>
    <row r="1227" spans="1:11" ht="80" x14ac:dyDescent="0.2">
      <c r="A1227" s="6" t="s">
        <v>2498</v>
      </c>
      <c r="B1227" s="6" t="s">
        <v>2499</v>
      </c>
      <c r="C1227" s="4" t="b">
        <v>1</v>
      </c>
      <c r="D1227" s="4" t="b">
        <v>1</v>
      </c>
      <c r="E1227" s="4" t="b">
        <v>1</v>
      </c>
      <c r="F1227" s="4" t="s">
        <v>12</v>
      </c>
      <c r="G1227" s="4" t="b">
        <f t="shared" si="19"/>
        <v>1</v>
      </c>
      <c r="H1227" s="4" t="s">
        <v>2973</v>
      </c>
      <c r="I1227" s="4"/>
      <c r="J1227" s="4" t="s">
        <v>94</v>
      </c>
    </row>
    <row r="1228" spans="1:11" ht="128" x14ac:dyDescent="0.2">
      <c r="A1228" s="6" t="s">
        <v>2500</v>
      </c>
      <c r="B1228" s="6" t="s">
        <v>2501</v>
      </c>
      <c r="C1228" s="4" t="b">
        <v>1</v>
      </c>
      <c r="D1228" s="4" t="b">
        <v>1</v>
      </c>
      <c r="E1228" s="4" t="b">
        <v>1</v>
      </c>
      <c r="F1228" s="4" t="s">
        <v>12</v>
      </c>
      <c r="G1228" s="4" t="b">
        <f t="shared" si="19"/>
        <v>1</v>
      </c>
      <c r="H1228" s="4" t="s">
        <v>2972</v>
      </c>
      <c r="I1228" s="4"/>
      <c r="J1228" s="4" t="s">
        <v>94</v>
      </c>
    </row>
    <row r="1229" spans="1:11" ht="16" x14ac:dyDescent="0.2">
      <c r="A1229" s="6" t="s">
        <v>2502</v>
      </c>
      <c r="B1229" s="6" t="s">
        <v>2503</v>
      </c>
      <c r="C1229" s="4" t="b">
        <v>1</v>
      </c>
      <c r="D1229" s="4" t="b">
        <v>0</v>
      </c>
      <c r="E1229" s="4" t="b">
        <v>1</v>
      </c>
      <c r="F1229" s="4" t="s">
        <v>12</v>
      </c>
      <c r="G1229" s="4" t="b">
        <f t="shared" si="19"/>
        <v>1</v>
      </c>
      <c r="H1229" s="4" t="s">
        <v>2971</v>
      </c>
      <c r="I1229" s="4"/>
      <c r="J1229" s="4" t="s">
        <v>94</v>
      </c>
    </row>
    <row r="1230" spans="1:11" ht="16" hidden="1" x14ac:dyDescent="0.2">
      <c r="A1230" s="6" t="s">
        <v>2504</v>
      </c>
      <c r="B1230" s="6" t="s">
        <v>2505</v>
      </c>
      <c r="C1230" s="4" t="b">
        <v>0</v>
      </c>
      <c r="D1230" s="4" t="b">
        <v>0</v>
      </c>
      <c r="E1230" s="4" t="b">
        <v>0</v>
      </c>
      <c r="F1230" s="4"/>
      <c r="G1230" s="4" t="b">
        <f t="shared" si="19"/>
        <v>0</v>
      </c>
      <c r="H1230" s="4"/>
      <c r="I1230" s="4"/>
      <c r="J1230" s="4" t="s">
        <v>94</v>
      </c>
      <c r="K1230"/>
    </row>
    <row r="1231" spans="1:11" ht="16" hidden="1" x14ac:dyDescent="0.2">
      <c r="A1231" s="6" t="s">
        <v>2506</v>
      </c>
      <c r="B1231" s="6" t="s">
        <v>2507</v>
      </c>
      <c r="C1231" s="4" t="b">
        <v>0</v>
      </c>
      <c r="D1231" s="4" t="b">
        <v>0</v>
      </c>
      <c r="E1231" s="4" t="b">
        <v>0</v>
      </c>
      <c r="F1231" s="4"/>
      <c r="G1231" s="4" t="b">
        <f t="shared" si="19"/>
        <v>0</v>
      </c>
      <c r="H1231" s="4"/>
      <c r="I1231" s="4"/>
      <c r="J1231" s="4" t="s">
        <v>94</v>
      </c>
      <c r="K1231"/>
    </row>
    <row r="1232" spans="1:11" ht="16" hidden="1" x14ac:dyDescent="0.2">
      <c r="A1232" s="6" t="s">
        <v>2508</v>
      </c>
      <c r="B1232" s="6" t="s">
        <v>2509</v>
      </c>
      <c r="C1232" s="4" t="b">
        <v>0</v>
      </c>
      <c r="D1232" s="4" t="b">
        <v>0</v>
      </c>
      <c r="E1232" s="4" t="b">
        <v>0</v>
      </c>
      <c r="F1232" s="4"/>
      <c r="G1232" s="4" t="b">
        <f t="shared" si="19"/>
        <v>0</v>
      </c>
      <c r="H1232" s="4"/>
      <c r="I1232" s="4"/>
      <c r="J1232" s="4" t="s">
        <v>94</v>
      </c>
      <c r="K1232"/>
    </row>
    <row r="1233" spans="1:11" ht="16" hidden="1" x14ac:dyDescent="0.2">
      <c r="A1233" s="6" t="s">
        <v>2510</v>
      </c>
      <c r="B1233" s="6" t="s">
        <v>2511</v>
      </c>
      <c r="C1233" s="4" t="b">
        <v>0</v>
      </c>
      <c r="D1233" s="4" t="b">
        <v>0</v>
      </c>
      <c r="E1233" s="4" t="b">
        <v>0</v>
      </c>
      <c r="F1233" s="4"/>
      <c r="G1233" s="4" t="b">
        <f t="shared" si="19"/>
        <v>0</v>
      </c>
      <c r="H1233" s="4"/>
      <c r="I1233" s="4"/>
      <c r="J1233" s="4" t="s">
        <v>94</v>
      </c>
      <c r="K1233"/>
    </row>
    <row r="1234" spans="1:11" ht="16" x14ac:dyDescent="0.2">
      <c r="A1234" s="6" t="s">
        <v>2512</v>
      </c>
      <c r="B1234" s="6" t="s">
        <v>2513</v>
      </c>
      <c r="C1234" s="4" t="b">
        <v>1</v>
      </c>
      <c r="D1234" s="4" t="b">
        <v>0</v>
      </c>
      <c r="E1234" s="4" t="b">
        <v>1</v>
      </c>
      <c r="F1234" s="4" t="s">
        <v>12</v>
      </c>
      <c r="G1234" s="4" t="b">
        <f t="shared" si="19"/>
        <v>1</v>
      </c>
      <c r="H1234" s="4"/>
      <c r="I1234" s="4"/>
      <c r="J1234" s="4" t="s">
        <v>94</v>
      </c>
    </row>
    <row r="1235" spans="1:11" ht="160" x14ac:dyDescent="0.2">
      <c r="A1235" s="6" t="s">
        <v>2514</v>
      </c>
      <c r="B1235" s="6" t="s">
        <v>2515</v>
      </c>
      <c r="C1235" s="4" t="b">
        <v>1</v>
      </c>
      <c r="D1235" s="4" t="b">
        <v>1</v>
      </c>
      <c r="E1235" s="4" t="b">
        <v>1</v>
      </c>
      <c r="F1235" s="4" t="s">
        <v>12</v>
      </c>
      <c r="G1235" s="4" t="b">
        <f t="shared" si="19"/>
        <v>1</v>
      </c>
      <c r="H1235" s="4" t="s">
        <v>2970</v>
      </c>
      <c r="I1235" s="4"/>
      <c r="J1235" s="4" t="s">
        <v>94</v>
      </c>
    </row>
    <row r="1236" spans="1:11" ht="16" hidden="1" x14ac:dyDescent="0.2">
      <c r="A1236" s="6" t="s">
        <v>2516</v>
      </c>
      <c r="B1236" s="6" t="s">
        <v>2517</v>
      </c>
      <c r="C1236" s="4" t="b">
        <v>0</v>
      </c>
      <c r="D1236" s="4" t="b">
        <v>0</v>
      </c>
      <c r="E1236" s="4" t="b">
        <v>1</v>
      </c>
      <c r="F1236" s="4"/>
      <c r="G1236" s="4" t="b">
        <f t="shared" si="19"/>
        <v>0</v>
      </c>
      <c r="H1236" s="4"/>
      <c r="I1236" s="4"/>
      <c r="J1236" s="4" t="s">
        <v>94</v>
      </c>
      <c r="K1236"/>
    </row>
    <row r="1237" spans="1:11" ht="16" x14ac:dyDescent="0.2">
      <c r="A1237" s="6" t="s">
        <v>2518</v>
      </c>
      <c r="B1237" s="6" t="s">
        <v>2519</v>
      </c>
      <c r="C1237" s="4" t="b">
        <v>1</v>
      </c>
      <c r="D1237" s="4" t="b">
        <v>0</v>
      </c>
      <c r="E1237" s="4" t="b">
        <v>1</v>
      </c>
      <c r="F1237" s="4" t="s">
        <v>12</v>
      </c>
      <c r="G1237" s="4" t="b">
        <f t="shared" si="19"/>
        <v>1</v>
      </c>
      <c r="H1237" s="4"/>
      <c r="I1237" s="4"/>
      <c r="J1237" s="4" t="s">
        <v>94</v>
      </c>
    </row>
    <row r="1238" spans="1:11" ht="80" x14ac:dyDescent="0.2">
      <c r="A1238" s="6" t="s">
        <v>2520</v>
      </c>
      <c r="B1238" s="6" t="s">
        <v>2521</v>
      </c>
      <c r="C1238" s="4" t="b">
        <v>1</v>
      </c>
      <c r="D1238" s="4" t="b">
        <v>1</v>
      </c>
      <c r="E1238" s="4" t="b">
        <v>1</v>
      </c>
      <c r="F1238" s="4" t="s">
        <v>12</v>
      </c>
      <c r="G1238" s="4" t="b">
        <f t="shared" si="19"/>
        <v>1</v>
      </c>
      <c r="H1238" s="4" t="s">
        <v>2969</v>
      </c>
      <c r="I1238" s="4"/>
      <c r="J1238" s="4" t="s">
        <v>94</v>
      </c>
    </row>
    <row r="1239" spans="1:11" ht="16" x14ac:dyDescent="0.2">
      <c r="A1239" s="6" t="s">
        <v>2522</v>
      </c>
      <c r="B1239" s="6" t="s">
        <v>2523</v>
      </c>
      <c r="C1239" s="4" t="b">
        <v>1</v>
      </c>
      <c r="D1239" s="4" t="b">
        <v>0</v>
      </c>
      <c r="E1239" s="4" t="b">
        <v>1</v>
      </c>
      <c r="F1239" s="4" t="s">
        <v>12</v>
      </c>
      <c r="G1239" s="4" t="b">
        <f t="shared" si="19"/>
        <v>1</v>
      </c>
      <c r="I1239" s="4"/>
      <c r="J1239" s="4" t="s">
        <v>94</v>
      </c>
    </row>
    <row r="1240" spans="1:11" ht="64" x14ac:dyDescent="0.2">
      <c r="A1240" s="6" t="s">
        <v>2524</v>
      </c>
      <c r="B1240" s="6" t="s">
        <v>2525</v>
      </c>
      <c r="C1240" s="4" t="b">
        <v>1</v>
      </c>
      <c r="D1240" s="4" t="b">
        <v>1</v>
      </c>
      <c r="E1240" s="4" t="b">
        <v>1</v>
      </c>
      <c r="F1240" s="4" t="s">
        <v>12</v>
      </c>
      <c r="G1240" s="4" t="b">
        <f t="shared" si="19"/>
        <v>1</v>
      </c>
      <c r="H1240" s="4" t="s">
        <v>2968</v>
      </c>
      <c r="I1240" s="4"/>
      <c r="J1240" s="4" t="s">
        <v>94</v>
      </c>
    </row>
    <row r="1241" spans="1:11" ht="96" x14ac:dyDescent="0.2">
      <c r="A1241" s="6" t="s">
        <v>2526</v>
      </c>
      <c r="B1241" s="6" t="s">
        <v>2527</v>
      </c>
      <c r="C1241" s="4" t="b">
        <v>1</v>
      </c>
      <c r="D1241" s="4" t="b">
        <v>0</v>
      </c>
      <c r="E1241" s="4" t="b">
        <v>1</v>
      </c>
      <c r="F1241" s="4" t="s">
        <v>12</v>
      </c>
      <c r="G1241" s="4" t="b">
        <f t="shared" si="19"/>
        <v>1</v>
      </c>
      <c r="H1241" s="4" t="s">
        <v>2967</v>
      </c>
      <c r="I1241" s="4"/>
      <c r="J1241" s="4" t="s">
        <v>94</v>
      </c>
    </row>
    <row r="1242" spans="1:11" ht="176" x14ac:dyDescent="0.2">
      <c r="A1242" s="6" t="s">
        <v>2528</v>
      </c>
      <c r="B1242" s="6" t="s">
        <v>2529</v>
      </c>
      <c r="C1242" s="4" t="b">
        <v>1</v>
      </c>
      <c r="D1242" s="4" t="b">
        <v>0</v>
      </c>
      <c r="E1242" s="4" t="b">
        <v>1</v>
      </c>
      <c r="F1242" s="4" t="s">
        <v>12</v>
      </c>
      <c r="G1242" s="4" t="b">
        <f t="shared" si="19"/>
        <v>1</v>
      </c>
      <c r="H1242" s="4" t="s">
        <v>2966</v>
      </c>
      <c r="I1242" s="4"/>
      <c r="J1242" s="4" t="s">
        <v>94</v>
      </c>
    </row>
    <row r="1243" spans="1:11" ht="16" x14ac:dyDescent="0.2">
      <c r="A1243" s="6" t="s">
        <v>2530</v>
      </c>
      <c r="B1243" s="6" t="s">
        <v>2531</v>
      </c>
      <c r="C1243" s="4" t="b">
        <v>1</v>
      </c>
      <c r="D1243" s="4" t="b">
        <v>0</v>
      </c>
      <c r="E1243" s="4" t="b">
        <v>1</v>
      </c>
      <c r="F1243" s="4" t="s">
        <v>12</v>
      </c>
      <c r="G1243" s="4" t="b">
        <f t="shared" si="19"/>
        <v>1</v>
      </c>
      <c r="H1243" s="4" t="s">
        <v>2965</v>
      </c>
      <c r="I1243" s="4"/>
      <c r="J1243" s="4" t="s">
        <v>94</v>
      </c>
    </row>
    <row r="1244" spans="1:11" ht="16" hidden="1" x14ac:dyDescent="0.2">
      <c r="A1244" s="6" t="s">
        <v>2532</v>
      </c>
      <c r="B1244" s="6" t="s">
        <v>2533</v>
      </c>
      <c r="C1244" s="4" t="b">
        <v>0</v>
      </c>
      <c r="D1244" s="4" t="b">
        <v>0</v>
      </c>
      <c r="E1244" s="4" t="b">
        <v>0</v>
      </c>
      <c r="F1244" s="4"/>
      <c r="G1244" s="4" t="b">
        <f t="shared" si="19"/>
        <v>0</v>
      </c>
      <c r="H1244" s="4"/>
      <c r="I1244" s="4"/>
      <c r="J1244" s="4" t="s">
        <v>1309</v>
      </c>
      <c r="K1244"/>
    </row>
    <row r="1245" spans="1:11" ht="128" x14ac:dyDescent="0.2">
      <c r="A1245" s="6" t="s">
        <v>2534</v>
      </c>
      <c r="B1245" s="6" t="s">
        <v>2535</v>
      </c>
      <c r="C1245" s="4" t="b">
        <v>1</v>
      </c>
      <c r="D1245" s="4" t="b">
        <v>1</v>
      </c>
      <c r="E1245" s="4" t="b">
        <v>1</v>
      </c>
      <c r="F1245" s="4" t="s">
        <v>12</v>
      </c>
      <c r="G1245" s="4" t="b">
        <f t="shared" si="19"/>
        <v>1</v>
      </c>
      <c r="H1245" s="4" t="s">
        <v>2964</v>
      </c>
      <c r="I1245" s="4"/>
      <c r="J1245" s="4" t="s">
        <v>1309</v>
      </c>
    </row>
    <row r="1246" spans="1:11" ht="16" hidden="1" x14ac:dyDescent="0.2">
      <c r="A1246" s="6" t="s">
        <v>2536</v>
      </c>
      <c r="B1246" s="6" t="s">
        <v>2537</v>
      </c>
      <c r="C1246" s="4" t="b">
        <v>0</v>
      </c>
      <c r="D1246" s="4" t="b">
        <v>0</v>
      </c>
      <c r="E1246" s="4" t="b">
        <v>0</v>
      </c>
      <c r="F1246" s="4"/>
      <c r="G1246" s="4" t="b">
        <f t="shared" si="19"/>
        <v>0</v>
      </c>
      <c r="H1246" s="4"/>
      <c r="I1246" s="4"/>
      <c r="J1246" s="4" t="s">
        <v>1309</v>
      </c>
      <c r="K1246"/>
    </row>
    <row r="1247" spans="1:11" ht="16" hidden="1" x14ac:dyDescent="0.2">
      <c r="A1247" s="6" t="s">
        <v>2538</v>
      </c>
      <c r="B1247" s="6" t="s">
        <v>2539</v>
      </c>
      <c r="C1247" s="4" t="b">
        <v>0</v>
      </c>
      <c r="D1247" s="4" t="b">
        <v>0</v>
      </c>
      <c r="E1247" s="4" t="b">
        <v>0</v>
      </c>
      <c r="F1247" s="4"/>
      <c r="G1247" s="4" t="b">
        <f t="shared" si="19"/>
        <v>0</v>
      </c>
      <c r="H1247" s="4"/>
      <c r="I1247" s="4"/>
      <c r="J1247" s="4" t="s">
        <v>1309</v>
      </c>
      <c r="K1247"/>
    </row>
    <row r="1248" spans="1:11" ht="16" hidden="1" x14ac:dyDescent="0.2">
      <c r="A1248" s="6" t="s">
        <v>2540</v>
      </c>
      <c r="B1248" s="6" t="s">
        <v>2541</v>
      </c>
      <c r="C1248" s="4" t="b">
        <v>0</v>
      </c>
      <c r="D1248" s="4" t="b">
        <v>0</v>
      </c>
      <c r="E1248" s="4" t="b">
        <v>0</v>
      </c>
      <c r="F1248" s="4"/>
      <c r="G1248" s="4" t="b">
        <f t="shared" si="19"/>
        <v>0</v>
      </c>
      <c r="H1248" s="4"/>
      <c r="I1248" s="4"/>
      <c r="J1248" s="4" t="s">
        <v>1309</v>
      </c>
      <c r="K1248"/>
    </row>
    <row r="1249" spans="1:11" ht="144" x14ac:dyDescent="0.2">
      <c r="A1249" s="6" t="s">
        <v>2542</v>
      </c>
      <c r="B1249" s="6" t="s">
        <v>2543</v>
      </c>
      <c r="C1249" s="4" t="b">
        <v>1</v>
      </c>
      <c r="D1249" s="4" t="b">
        <v>1</v>
      </c>
      <c r="E1249" s="4" t="b">
        <v>1</v>
      </c>
      <c r="F1249" s="4" t="s">
        <v>12</v>
      </c>
      <c r="G1249" s="4" t="b">
        <f t="shared" si="19"/>
        <v>1</v>
      </c>
      <c r="H1249" s="4" t="s">
        <v>2963</v>
      </c>
      <c r="I1249" s="4"/>
      <c r="J1249" s="4" t="s">
        <v>1309</v>
      </c>
    </row>
    <row r="1250" spans="1:11" ht="16" hidden="1" x14ac:dyDescent="0.2">
      <c r="A1250" s="6" t="s">
        <v>2544</v>
      </c>
      <c r="B1250" s="6" t="s">
        <v>2545</v>
      </c>
      <c r="C1250" s="4" t="b">
        <v>0</v>
      </c>
      <c r="D1250" s="4" t="b">
        <v>0</v>
      </c>
      <c r="E1250" s="4" t="b">
        <v>1</v>
      </c>
      <c r="F1250" s="4"/>
      <c r="G1250" s="4" t="b">
        <f t="shared" si="19"/>
        <v>0</v>
      </c>
      <c r="H1250" s="4"/>
      <c r="I1250" s="4"/>
      <c r="J1250" s="4" t="s">
        <v>1309</v>
      </c>
      <c r="K1250"/>
    </row>
    <row r="1251" spans="1:11" ht="16" hidden="1" x14ac:dyDescent="0.2">
      <c r="A1251" s="6" t="s">
        <v>2546</v>
      </c>
      <c r="B1251" s="6" t="s">
        <v>2547</v>
      </c>
      <c r="C1251" s="4" t="b">
        <v>0</v>
      </c>
      <c r="D1251" s="4" t="b">
        <v>0</v>
      </c>
      <c r="E1251" s="4" t="b">
        <v>1</v>
      </c>
      <c r="F1251" s="4"/>
      <c r="G1251" s="4" t="b">
        <f t="shared" si="19"/>
        <v>0</v>
      </c>
      <c r="H1251" s="4"/>
      <c r="I1251" s="4"/>
      <c r="J1251" s="4" t="s">
        <v>1309</v>
      </c>
      <c r="K1251"/>
    </row>
    <row r="1252" spans="1:11" ht="96" x14ac:dyDescent="0.2">
      <c r="A1252" s="6" t="s">
        <v>2548</v>
      </c>
      <c r="B1252" s="6" t="s">
        <v>2549</v>
      </c>
      <c r="C1252" s="4" t="b">
        <v>1</v>
      </c>
      <c r="D1252" s="4" t="b">
        <v>1</v>
      </c>
      <c r="E1252" s="4" t="b">
        <v>1</v>
      </c>
      <c r="F1252" s="4" t="s">
        <v>12</v>
      </c>
      <c r="G1252" s="4" t="b">
        <f t="shared" si="19"/>
        <v>1</v>
      </c>
      <c r="H1252" s="4" t="s">
        <v>2962</v>
      </c>
      <c r="I1252" s="4"/>
      <c r="J1252" s="4" t="s">
        <v>1336</v>
      </c>
    </row>
    <row r="1253" spans="1:11" ht="48" x14ac:dyDescent="0.2">
      <c r="A1253" s="6" t="s">
        <v>2550</v>
      </c>
      <c r="B1253" s="6" t="s">
        <v>2551</v>
      </c>
      <c r="C1253" s="4" t="b">
        <v>1</v>
      </c>
      <c r="D1253" s="4" t="b">
        <v>0</v>
      </c>
      <c r="E1253" s="4" t="b">
        <v>1</v>
      </c>
      <c r="F1253" s="4" t="s">
        <v>12</v>
      </c>
      <c r="G1253" s="4" t="b">
        <f t="shared" si="19"/>
        <v>1</v>
      </c>
      <c r="H1253" s="4" t="s">
        <v>2961</v>
      </c>
      <c r="I1253" s="4"/>
      <c r="J1253" s="4" t="s">
        <v>1336</v>
      </c>
    </row>
    <row r="1254" spans="1:11" ht="16" hidden="1" x14ac:dyDescent="0.2">
      <c r="A1254" s="6" t="s">
        <v>2552</v>
      </c>
      <c r="B1254" s="6" t="s">
        <v>2553</v>
      </c>
      <c r="C1254" s="4" t="b">
        <v>0</v>
      </c>
      <c r="D1254" s="4" t="b">
        <v>0</v>
      </c>
      <c r="E1254" s="4" t="b">
        <v>0</v>
      </c>
      <c r="F1254" s="4"/>
      <c r="G1254" s="4" t="b">
        <f t="shared" si="19"/>
        <v>0</v>
      </c>
      <c r="H1254" s="4"/>
      <c r="I1254" s="4"/>
      <c r="J1254" s="4" t="s">
        <v>621</v>
      </c>
      <c r="K1254"/>
    </row>
    <row r="1255" spans="1:11" ht="16" hidden="1" x14ac:dyDescent="0.2">
      <c r="A1255" s="6" t="s">
        <v>2554</v>
      </c>
      <c r="B1255" s="6" t="s">
        <v>2555</v>
      </c>
      <c r="C1255" s="4" t="b">
        <v>0</v>
      </c>
      <c r="D1255" s="4" t="b">
        <v>0</v>
      </c>
      <c r="E1255" s="4" t="b">
        <v>1</v>
      </c>
      <c r="F1255" s="4"/>
      <c r="G1255" s="4" t="b">
        <f t="shared" si="19"/>
        <v>0</v>
      </c>
      <c r="H1255" s="4"/>
      <c r="I1255" s="4"/>
      <c r="J1255" s="4" t="s">
        <v>621</v>
      </c>
      <c r="K1255"/>
    </row>
    <row r="1256" spans="1:11" ht="64" x14ac:dyDescent="0.2">
      <c r="A1256" s="6" t="s">
        <v>2556</v>
      </c>
      <c r="B1256" s="6" t="s">
        <v>2557</v>
      </c>
      <c r="C1256" s="4" t="b">
        <v>1</v>
      </c>
      <c r="D1256" s="4" t="b">
        <v>0</v>
      </c>
      <c r="E1256" s="4" t="b">
        <v>1</v>
      </c>
      <c r="F1256" s="4" t="s">
        <v>12</v>
      </c>
      <c r="G1256" s="4" t="b">
        <f t="shared" si="19"/>
        <v>1</v>
      </c>
      <c r="H1256" s="4" t="s">
        <v>2960</v>
      </c>
      <c r="I1256" s="4"/>
      <c r="J1256" s="4" t="s">
        <v>621</v>
      </c>
    </row>
    <row r="1257" spans="1:11" ht="16" hidden="1" x14ac:dyDescent="0.2">
      <c r="A1257" s="6" t="s">
        <v>2558</v>
      </c>
      <c r="B1257" s="6" t="s">
        <v>2559</v>
      </c>
      <c r="C1257" s="4" t="b">
        <v>0</v>
      </c>
      <c r="D1257" s="4" t="b">
        <v>0</v>
      </c>
      <c r="E1257" s="4" t="b">
        <v>0</v>
      </c>
      <c r="F1257" s="4"/>
      <c r="G1257" s="4" t="b">
        <f t="shared" si="19"/>
        <v>0</v>
      </c>
      <c r="H1257" s="4"/>
      <c r="I1257" s="4"/>
      <c r="J1257" s="4" t="s">
        <v>621</v>
      </c>
      <c r="K1257"/>
    </row>
    <row r="1258" spans="1:11" ht="16" hidden="1" x14ac:dyDescent="0.2">
      <c r="A1258" s="6" t="s">
        <v>2560</v>
      </c>
      <c r="B1258" s="6" t="s">
        <v>2561</v>
      </c>
      <c r="C1258" s="4" t="b">
        <v>0</v>
      </c>
      <c r="D1258" s="4" t="b">
        <v>0</v>
      </c>
      <c r="E1258" s="4" t="b">
        <v>1</v>
      </c>
      <c r="F1258" s="4" t="s">
        <v>12</v>
      </c>
      <c r="G1258" s="4" t="b">
        <f t="shared" si="19"/>
        <v>1</v>
      </c>
      <c r="H1258" s="4"/>
      <c r="I1258" s="4"/>
      <c r="J1258" s="4" t="s">
        <v>621</v>
      </c>
    </row>
    <row r="1259" spans="1:11" ht="16" hidden="1" x14ac:dyDescent="0.2">
      <c r="A1259" s="6" t="s">
        <v>2562</v>
      </c>
      <c r="B1259" s="6" t="s">
        <v>2563</v>
      </c>
      <c r="C1259" s="4" t="b">
        <v>0</v>
      </c>
      <c r="D1259" s="4" t="b">
        <v>0</v>
      </c>
      <c r="E1259" s="4" t="b">
        <v>0</v>
      </c>
      <c r="F1259" s="4"/>
      <c r="G1259" s="4" t="b">
        <f t="shared" si="19"/>
        <v>0</v>
      </c>
      <c r="H1259" s="4"/>
      <c r="I1259" s="4"/>
      <c r="J1259" s="4" t="s">
        <v>621</v>
      </c>
      <c r="K1259"/>
    </row>
    <row r="1260" spans="1:11" ht="48" x14ac:dyDescent="0.2">
      <c r="A1260" s="6" t="s">
        <v>2564</v>
      </c>
      <c r="B1260" s="6" t="s">
        <v>2565</v>
      </c>
      <c r="C1260" s="4" t="b">
        <v>1</v>
      </c>
      <c r="D1260" s="4" t="b">
        <v>0</v>
      </c>
      <c r="E1260" s="4" t="b">
        <v>1</v>
      </c>
      <c r="F1260" s="4" t="s">
        <v>12</v>
      </c>
      <c r="G1260" s="4" t="b">
        <f t="shared" si="19"/>
        <v>1</v>
      </c>
      <c r="H1260" s="4" t="s">
        <v>2959</v>
      </c>
      <c r="I1260" s="4"/>
      <c r="J1260" s="4" t="s">
        <v>621</v>
      </c>
    </row>
    <row r="1261" spans="1:11" ht="16" hidden="1" x14ac:dyDescent="0.2">
      <c r="A1261" s="6" t="s">
        <v>2566</v>
      </c>
      <c r="B1261" s="6" t="s">
        <v>2567</v>
      </c>
      <c r="C1261" s="4" t="b">
        <v>0</v>
      </c>
      <c r="D1261" s="4" t="b">
        <v>0</v>
      </c>
      <c r="E1261" s="4" t="b">
        <v>1</v>
      </c>
      <c r="F1261" s="4"/>
      <c r="G1261" s="4" t="b">
        <f t="shared" si="19"/>
        <v>0</v>
      </c>
      <c r="H1261" s="4"/>
      <c r="I1261" s="4"/>
      <c r="J1261" s="4" t="s">
        <v>621</v>
      </c>
      <c r="K1261"/>
    </row>
    <row r="1262" spans="1:11" ht="16" x14ac:dyDescent="0.2">
      <c r="A1262" s="6" t="s">
        <v>2568</v>
      </c>
      <c r="B1262" s="6" t="s">
        <v>2569</v>
      </c>
      <c r="C1262" s="4" t="b">
        <v>1</v>
      </c>
      <c r="D1262" s="4" t="b">
        <v>0</v>
      </c>
      <c r="E1262" s="4" t="b">
        <v>1</v>
      </c>
      <c r="F1262" s="4" t="s">
        <v>12</v>
      </c>
      <c r="G1262" s="4" t="b">
        <f t="shared" si="19"/>
        <v>1</v>
      </c>
      <c r="H1262" s="4" t="s">
        <v>2958</v>
      </c>
      <c r="I1262" s="4"/>
      <c r="J1262" s="4" t="s">
        <v>621</v>
      </c>
    </row>
    <row r="1263" spans="1:11" ht="16" hidden="1" x14ac:dyDescent="0.2">
      <c r="A1263" s="6" t="s">
        <v>2570</v>
      </c>
      <c r="B1263" s="6" t="s">
        <v>2571</v>
      </c>
      <c r="C1263" s="4" t="b">
        <v>0</v>
      </c>
      <c r="D1263" s="4" t="b">
        <v>0</v>
      </c>
      <c r="E1263" s="4" t="b">
        <v>1</v>
      </c>
      <c r="F1263" s="4"/>
      <c r="G1263" s="4" t="b">
        <f t="shared" si="19"/>
        <v>0</v>
      </c>
      <c r="H1263" s="4"/>
      <c r="I1263" s="4"/>
      <c r="J1263" s="4" t="s">
        <v>621</v>
      </c>
      <c r="K1263"/>
    </row>
    <row r="1264" spans="1:11" ht="64" x14ac:dyDescent="0.2">
      <c r="A1264" s="6" t="s">
        <v>2572</v>
      </c>
      <c r="B1264" s="6" t="s">
        <v>2573</v>
      </c>
      <c r="C1264" s="4" t="b">
        <v>1</v>
      </c>
      <c r="D1264" s="4" t="b">
        <v>1</v>
      </c>
      <c r="E1264" s="4" t="b">
        <v>1</v>
      </c>
      <c r="F1264" s="4" t="s">
        <v>12</v>
      </c>
      <c r="G1264" s="4" t="b">
        <f t="shared" si="19"/>
        <v>1</v>
      </c>
      <c r="H1264" s="4" t="s">
        <v>2957</v>
      </c>
      <c r="I1264" s="4"/>
      <c r="J1264" s="4" t="s">
        <v>621</v>
      </c>
    </row>
    <row r="1265" spans="1:11" ht="16" hidden="1" x14ac:dyDescent="0.2">
      <c r="A1265" s="6" t="s">
        <v>2574</v>
      </c>
      <c r="B1265" s="6" t="s">
        <v>2575</v>
      </c>
      <c r="C1265" s="4" t="b">
        <v>0</v>
      </c>
      <c r="D1265" s="4" t="b">
        <v>0</v>
      </c>
      <c r="E1265" s="4" t="b">
        <v>0</v>
      </c>
      <c r="F1265" s="4"/>
      <c r="G1265" s="4" t="b">
        <f t="shared" si="19"/>
        <v>0</v>
      </c>
      <c r="H1265" s="4"/>
      <c r="I1265" s="4"/>
      <c r="J1265" s="4" t="s">
        <v>621</v>
      </c>
      <c r="K1265"/>
    </row>
    <row r="1266" spans="1:11" ht="32" hidden="1" x14ac:dyDescent="0.2">
      <c r="A1266" s="6" t="s">
        <v>2576</v>
      </c>
      <c r="B1266" s="6" t="s">
        <v>2577</v>
      </c>
      <c r="C1266" s="4" t="b">
        <v>0</v>
      </c>
      <c r="D1266" s="4" t="b">
        <v>0</v>
      </c>
      <c r="E1266" s="4" t="b">
        <v>1</v>
      </c>
      <c r="F1266" s="4" t="s">
        <v>12</v>
      </c>
      <c r="G1266" s="4" t="b">
        <f t="shared" si="19"/>
        <v>1</v>
      </c>
      <c r="H1266" s="4" t="s">
        <v>2956</v>
      </c>
      <c r="I1266" s="4"/>
      <c r="J1266" s="4" t="s">
        <v>621</v>
      </c>
    </row>
    <row r="1267" spans="1:11" ht="16" hidden="1" x14ac:dyDescent="0.2">
      <c r="A1267" s="6" t="s">
        <v>2578</v>
      </c>
      <c r="B1267" s="6" t="s">
        <v>2579</v>
      </c>
      <c r="C1267" s="4" t="b">
        <v>0</v>
      </c>
      <c r="D1267" s="4" t="b">
        <v>0</v>
      </c>
      <c r="E1267" s="4" t="b">
        <v>0</v>
      </c>
      <c r="F1267" s="4"/>
      <c r="G1267" s="4" t="b">
        <f t="shared" si="19"/>
        <v>0</v>
      </c>
      <c r="H1267" s="4"/>
      <c r="I1267" s="4"/>
      <c r="J1267" s="4" t="s">
        <v>621</v>
      </c>
      <c r="K1267"/>
    </row>
    <row r="1268" spans="1:11" ht="16" hidden="1" x14ac:dyDescent="0.2">
      <c r="A1268" s="6" t="s">
        <v>2580</v>
      </c>
      <c r="B1268" s="6" t="s">
        <v>2581</v>
      </c>
      <c r="C1268" s="4" t="b">
        <v>0</v>
      </c>
      <c r="D1268" s="4" t="b">
        <v>0</v>
      </c>
      <c r="E1268" s="4" t="b">
        <v>1</v>
      </c>
      <c r="F1268" s="4"/>
      <c r="G1268" s="4" t="b">
        <f t="shared" si="19"/>
        <v>0</v>
      </c>
      <c r="H1268" s="4"/>
      <c r="I1268" s="4"/>
      <c r="J1268" s="4" t="s">
        <v>621</v>
      </c>
      <c r="K1268"/>
    </row>
    <row r="1269" spans="1:11" ht="16" hidden="1" x14ac:dyDescent="0.2">
      <c r="A1269" s="6" t="s">
        <v>2582</v>
      </c>
      <c r="B1269" s="6" t="s">
        <v>2583</v>
      </c>
      <c r="C1269" s="4" t="b">
        <v>0</v>
      </c>
      <c r="D1269" s="4" t="b">
        <v>0</v>
      </c>
      <c r="E1269" s="4" t="b">
        <v>0</v>
      </c>
      <c r="F1269" s="4"/>
      <c r="G1269" s="4" t="b">
        <f t="shared" si="19"/>
        <v>0</v>
      </c>
      <c r="H1269" s="4"/>
      <c r="I1269" s="4"/>
      <c r="J1269" s="4" t="s">
        <v>621</v>
      </c>
      <c r="K1269"/>
    </row>
    <row r="1270" spans="1:11" ht="16" hidden="1" x14ac:dyDescent="0.2">
      <c r="A1270" s="6" t="s">
        <v>2584</v>
      </c>
      <c r="B1270" s="6" t="s">
        <v>2585</v>
      </c>
      <c r="C1270" s="4" t="b">
        <v>0</v>
      </c>
      <c r="D1270" s="4" t="b">
        <v>0</v>
      </c>
      <c r="E1270" s="4" t="b">
        <v>1</v>
      </c>
      <c r="F1270" s="4"/>
      <c r="G1270" s="4" t="b">
        <f t="shared" si="19"/>
        <v>0</v>
      </c>
      <c r="H1270" s="4"/>
      <c r="I1270" s="4"/>
      <c r="J1270" s="4" t="s">
        <v>621</v>
      </c>
      <c r="K1270"/>
    </row>
    <row r="1271" spans="1:11" ht="48" x14ac:dyDescent="0.2">
      <c r="A1271" s="6" t="s">
        <v>2586</v>
      </c>
      <c r="B1271" s="6" t="s">
        <v>2587</v>
      </c>
      <c r="C1271" s="4" t="b">
        <v>1</v>
      </c>
      <c r="D1271" s="4" t="b">
        <v>0</v>
      </c>
      <c r="E1271" s="4" t="b">
        <v>1</v>
      </c>
      <c r="F1271" s="4" t="s">
        <v>12</v>
      </c>
      <c r="G1271" s="4" t="b">
        <f t="shared" si="19"/>
        <v>1</v>
      </c>
      <c r="H1271" s="4" t="s">
        <v>2955</v>
      </c>
      <c r="I1271" s="4"/>
      <c r="J1271" s="4" t="s">
        <v>621</v>
      </c>
    </row>
    <row r="1272" spans="1:11" ht="16" hidden="1" x14ac:dyDescent="0.2">
      <c r="A1272" s="6" t="s">
        <v>2588</v>
      </c>
      <c r="B1272" s="6" t="s">
        <v>2589</v>
      </c>
      <c r="C1272" s="4" t="b">
        <v>0</v>
      </c>
      <c r="D1272" s="4" t="b">
        <v>0</v>
      </c>
      <c r="E1272" s="4" t="b">
        <v>0</v>
      </c>
      <c r="F1272" s="4"/>
      <c r="G1272" s="4" t="b">
        <f t="shared" si="19"/>
        <v>0</v>
      </c>
      <c r="H1272" s="4"/>
      <c r="I1272" s="4"/>
      <c r="J1272" s="4" t="s">
        <v>621</v>
      </c>
      <c r="K1272"/>
    </row>
    <row r="1273" spans="1:11" ht="48" x14ac:dyDescent="0.2">
      <c r="A1273" s="6" t="s">
        <v>2590</v>
      </c>
      <c r="B1273" s="6" t="s">
        <v>2591</v>
      </c>
      <c r="C1273" s="4" t="b">
        <v>1</v>
      </c>
      <c r="D1273" s="4" t="b">
        <v>0</v>
      </c>
      <c r="E1273" s="4" t="b">
        <v>1</v>
      </c>
      <c r="F1273" s="4" t="s">
        <v>12</v>
      </c>
      <c r="G1273" s="4" t="b">
        <f t="shared" si="19"/>
        <v>1</v>
      </c>
      <c r="H1273" s="4" t="s">
        <v>2954</v>
      </c>
      <c r="I1273" s="4"/>
      <c r="J1273" s="4" t="s">
        <v>621</v>
      </c>
    </row>
    <row r="1274" spans="1:11" ht="16" hidden="1" x14ac:dyDescent="0.2">
      <c r="A1274" s="6" t="s">
        <v>2592</v>
      </c>
      <c r="B1274" s="6" t="s">
        <v>2593</v>
      </c>
      <c r="C1274" s="4" t="b">
        <v>0</v>
      </c>
      <c r="D1274" s="4" t="b">
        <v>0</v>
      </c>
      <c r="E1274" s="4" t="b">
        <v>1</v>
      </c>
      <c r="F1274" s="4"/>
      <c r="G1274" s="4" t="b">
        <f t="shared" si="19"/>
        <v>0</v>
      </c>
      <c r="H1274" s="4"/>
      <c r="I1274" s="4"/>
      <c r="J1274" s="4" t="s">
        <v>621</v>
      </c>
      <c r="K1274"/>
    </row>
    <row r="1275" spans="1:11" ht="16" hidden="1" x14ac:dyDescent="0.2">
      <c r="A1275" s="6" t="s">
        <v>2594</v>
      </c>
      <c r="B1275" s="6" t="s">
        <v>2595</v>
      </c>
      <c r="C1275" s="4" t="b">
        <v>0</v>
      </c>
      <c r="D1275" s="4" t="b">
        <v>0</v>
      </c>
      <c r="E1275" s="4" t="b">
        <v>1</v>
      </c>
      <c r="F1275" s="4"/>
      <c r="G1275" s="4" t="b">
        <f t="shared" si="19"/>
        <v>0</v>
      </c>
      <c r="H1275" s="4"/>
      <c r="I1275" s="4"/>
      <c r="J1275" s="4" t="s">
        <v>621</v>
      </c>
      <c r="K1275"/>
    </row>
    <row r="1276" spans="1:11" ht="16" x14ac:dyDescent="0.2">
      <c r="A1276" s="6" t="s">
        <v>2596</v>
      </c>
      <c r="B1276" s="6" t="s">
        <v>2597</v>
      </c>
      <c r="C1276" s="4" t="b">
        <v>1</v>
      </c>
      <c r="D1276" s="4" t="b">
        <v>0</v>
      </c>
      <c r="E1276" s="4" t="b">
        <v>1</v>
      </c>
      <c r="F1276" s="4" t="s">
        <v>12</v>
      </c>
      <c r="G1276" s="4" t="b">
        <f t="shared" si="19"/>
        <v>1</v>
      </c>
      <c r="H1276" s="4" t="s">
        <v>2953</v>
      </c>
      <c r="I1276" s="4"/>
      <c r="J1276" s="4" t="s">
        <v>621</v>
      </c>
    </row>
    <row r="1277" spans="1:11" ht="16" hidden="1" x14ac:dyDescent="0.2">
      <c r="A1277" s="6" t="s">
        <v>2598</v>
      </c>
      <c r="B1277" s="6" t="s">
        <v>2599</v>
      </c>
      <c r="C1277" s="4" t="b">
        <v>0</v>
      </c>
      <c r="D1277" s="4" t="b">
        <v>0</v>
      </c>
      <c r="E1277" s="4" t="b">
        <v>0</v>
      </c>
      <c r="F1277" s="4"/>
      <c r="G1277" s="4" t="b">
        <f t="shared" si="19"/>
        <v>0</v>
      </c>
      <c r="H1277" s="4"/>
      <c r="I1277" s="4"/>
      <c r="J1277" s="4" t="s">
        <v>621</v>
      </c>
      <c r="K1277"/>
    </row>
    <row r="1278" spans="1:11" ht="16" hidden="1" x14ac:dyDescent="0.2">
      <c r="A1278" s="6" t="s">
        <v>2600</v>
      </c>
      <c r="B1278" s="6" t="s">
        <v>2601</v>
      </c>
      <c r="C1278" s="4" t="b">
        <v>0</v>
      </c>
      <c r="D1278" s="4" t="b">
        <v>0</v>
      </c>
      <c r="E1278" s="4" t="b">
        <v>1</v>
      </c>
      <c r="F1278" s="4"/>
      <c r="G1278" s="4" t="b">
        <f t="shared" si="19"/>
        <v>0</v>
      </c>
      <c r="H1278" s="4"/>
      <c r="I1278" s="4"/>
      <c r="J1278" s="4" t="s">
        <v>621</v>
      </c>
      <c r="K1278"/>
    </row>
    <row r="1279" spans="1:11" ht="16" hidden="1" x14ac:dyDescent="0.2">
      <c r="A1279" s="6" t="s">
        <v>2602</v>
      </c>
      <c r="B1279" s="6" t="s">
        <v>2603</v>
      </c>
      <c r="C1279" s="4" t="b">
        <v>0</v>
      </c>
      <c r="D1279" s="4" t="b">
        <v>0</v>
      </c>
      <c r="E1279" s="4" t="b">
        <v>0</v>
      </c>
      <c r="F1279" s="4"/>
      <c r="G1279" s="4" t="b">
        <f t="shared" si="19"/>
        <v>0</v>
      </c>
      <c r="H1279" s="4"/>
      <c r="I1279" s="4"/>
      <c r="J1279" s="4" t="s">
        <v>621</v>
      </c>
      <c r="K1279"/>
    </row>
    <row r="1280" spans="1:11" ht="16" hidden="1" x14ac:dyDescent="0.2">
      <c r="A1280" s="6" t="s">
        <v>2604</v>
      </c>
      <c r="B1280" s="6" t="s">
        <v>2605</v>
      </c>
      <c r="C1280" s="4" t="b">
        <v>0</v>
      </c>
      <c r="D1280" s="4" t="b">
        <v>0</v>
      </c>
      <c r="E1280" s="4" t="b">
        <v>0</v>
      </c>
      <c r="F1280" s="4"/>
      <c r="G1280" s="4" t="b">
        <f t="shared" si="19"/>
        <v>0</v>
      </c>
      <c r="H1280" s="4"/>
      <c r="I1280" s="4"/>
      <c r="J1280" s="4" t="s">
        <v>621</v>
      </c>
      <c r="K1280"/>
    </row>
    <row r="1281" spans="1:11" ht="16" hidden="1" x14ac:dyDescent="0.2">
      <c r="A1281" s="6" t="s">
        <v>2606</v>
      </c>
      <c r="B1281" s="6" t="s">
        <v>2607</v>
      </c>
      <c r="C1281" s="4" t="b">
        <v>0</v>
      </c>
      <c r="D1281" s="4" t="b">
        <v>0</v>
      </c>
      <c r="E1281" s="4" t="b">
        <v>1</v>
      </c>
      <c r="F1281" s="4"/>
      <c r="G1281" s="4" t="b">
        <f t="shared" si="19"/>
        <v>0</v>
      </c>
      <c r="H1281" s="4"/>
      <c r="I1281" s="4"/>
      <c r="J1281" s="4" t="s">
        <v>621</v>
      </c>
      <c r="K1281"/>
    </row>
    <row r="1282" spans="1:11" ht="16" hidden="1" x14ac:dyDescent="0.2">
      <c r="A1282" s="6" t="s">
        <v>2608</v>
      </c>
      <c r="B1282" s="6" t="s">
        <v>2609</v>
      </c>
      <c r="C1282" s="4" t="b">
        <v>0</v>
      </c>
      <c r="D1282" s="4" t="b">
        <v>0</v>
      </c>
      <c r="E1282" s="4" t="b">
        <v>1</v>
      </c>
      <c r="F1282" s="4"/>
      <c r="G1282" s="4" t="b">
        <f t="shared" ref="G1282:G1345" si="20">IF(F1282="✔", TRUE, FALSE)</f>
        <v>0</v>
      </c>
      <c r="H1282" s="4"/>
      <c r="I1282" s="4"/>
      <c r="J1282" s="4" t="s">
        <v>621</v>
      </c>
      <c r="K1282"/>
    </row>
    <row r="1283" spans="1:11" ht="16" x14ac:dyDescent="0.2">
      <c r="A1283" s="6" t="s">
        <v>2610</v>
      </c>
      <c r="B1283" s="6" t="s">
        <v>2611</v>
      </c>
      <c r="C1283" s="4" t="b">
        <v>1</v>
      </c>
      <c r="D1283" s="4" t="b">
        <v>0</v>
      </c>
      <c r="E1283" s="4" t="b">
        <v>1</v>
      </c>
      <c r="F1283" s="4" t="s">
        <v>12</v>
      </c>
      <c r="G1283" s="4" t="b">
        <f t="shared" si="20"/>
        <v>1</v>
      </c>
      <c r="H1283" s="4" t="s">
        <v>2952</v>
      </c>
      <c r="I1283" s="4"/>
      <c r="J1283" s="4" t="s">
        <v>621</v>
      </c>
    </row>
    <row r="1284" spans="1:11" ht="16" x14ac:dyDescent="0.2">
      <c r="A1284" s="6" t="s">
        <v>2612</v>
      </c>
      <c r="B1284" s="6" t="s">
        <v>2613</v>
      </c>
      <c r="C1284" s="4" t="b">
        <v>1</v>
      </c>
      <c r="D1284" s="4" t="b">
        <v>0</v>
      </c>
      <c r="E1284" s="4" t="b">
        <v>1</v>
      </c>
      <c r="F1284" s="4" t="s">
        <v>12</v>
      </c>
      <c r="G1284" s="4" t="b">
        <f t="shared" si="20"/>
        <v>1</v>
      </c>
      <c r="H1284" s="4" t="s">
        <v>2951</v>
      </c>
      <c r="I1284" s="4"/>
      <c r="J1284" s="4" t="s">
        <v>621</v>
      </c>
    </row>
    <row r="1285" spans="1:11" ht="16" hidden="1" x14ac:dyDescent="0.2">
      <c r="A1285" s="6" t="s">
        <v>2614</v>
      </c>
      <c r="B1285" s="6" t="s">
        <v>2615</v>
      </c>
      <c r="C1285" s="4" t="b">
        <v>0</v>
      </c>
      <c r="D1285" s="4" t="b">
        <v>0</v>
      </c>
      <c r="E1285" s="4" t="b">
        <v>0</v>
      </c>
      <c r="F1285" s="4"/>
      <c r="G1285" s="4" t="b">
        <f t="shared" si="20"/>
        <v>0</v>
      </c>
      <c r="H1285" s="4"/>
      <c r="I1285" s="4"/>
      <c r="J1285" s="4" t="s">
        <v>621</v>
      </c>
      <c r="K1285"/>
    </row>
    <row r="1286" spans="1:11" ht="16" hidden="1" x14ac:dyDescent="0.2">
      <c r="A1286" s="6" t="s">
        <v>2616</v>
      </c>
      <c r="B1286" s="6" t="s">
        <v>2617</v>
      </c>
      <c r="C1286" s="4" t="b">
        <v>0</v>
      </c>
      <c r="D1286" s="4" t="b">
        <v>0</v>
      </c>
      <c r="E1286" s="4" t="b">
        <v>0</v>
      </c>
      <c r="F1286" s="4"/>
      <c r="G1286" s="4" t="b">
        <f t="shared" si="20"/>
        <v>0</v>
      </c>
      <c r="H1286" s="4"/>
      <c r="I1286" s="4"/>
      <c r="J1286" s="4" t="s">
        <v>621</v>
      </c>
      <c r="K1286"/>
    </row>
    <row r="1287" spans="1:11" ht="16" x14ac:dyDescent="0.2">
      <c r="A1287" s="6" t="s">
        <v>2618</v>
      </c>
      <c r="B1287" s="6" t="s">
        <v>2619</v>
      </c>
      <c r="C1287" s="4" t="b">
        <v>1</v>
      </c>
      <c r="D1287" s="4" t="b">
        <v>0</v>
      </c>
      <c r="E1287" s="4" t="b">
        <v>1</v>
      </c>
      <c r="F1287" s="4" t="s">
        <v>12</v>
      </c>
      <c r="G1287" s="4" t="b">
        <f t="shared" si="20"/>
        <v>1</v>
      </c>
      <c r="H1287" s="4" t="s">
        <v>2950</v>
      </c>
      <c r="I1287" s="4"/>
      <c r="J1287" s="4" t="s">
        <v>621</v>
      </c>
    </row>
    <row r="1288" spans="1:11" ht="16" x14ac:dyDescent="0.2">
      <c r="A1288" s="6" t="s">
        <v>2620</v>
      </c>
      <c r="B1288" s="6" t="s">
        <v>2621</v>
      </c>
      <c r="C1288" s="4" t="b">
        <v>1</v>
      </c>
      <c r="D1288" s="4" t="b">
        <v>0</v>
      </c>
      <c r="E1288" s="4" t="b">
        <v>1</v>
      </c>
      <c r="F1288" s="4" t="s">
        <v>12</v>
      </c>
      <c r="G1288" s="4" t="b">
        <f t="shared" si="20"/>
        <v>1</v>
      </c>
      <c r="H1288" s="4"/>
      <c r="I1288" s="4"/>
      <c r="J1288" s="4" t="s">
        <v>621</v>
      </c>
    </row>
    <row r="1289" spans="1:11" ht="16" x14ac:dyDescent="0.2">
      <c r="A1289" s="6" t="s">
        <v>2622</v>
      </c>
      <c r="B1289" s="6" t="s">
        <v>2623</v>
      </c>
      <c r="C1289" s="4" t="b">
        <v>1</v>
      </c>
      <c r="D1289" s="4" t="b">
        <v>0</v>
      </c>
      <c r="E1289" s="4" t="b">
        <v>1</v>
      </c>
      <c r="F1289" s="4" t="s">
        <v>12</v>
      </c>
      <c r="G1289" s="4" t="b">
        <f t="shared" si="20"/>
        <v>1</v>
      </c>
      <c r="H1289" s="4" t="s">
        <v>2945</v>
      </c>
      <c r="I1289" s="4"/>
      <c r="J1289" s="4" t="s">
        <v>621</v>
      </c>
    </row>
    <row r="1290" spans="1:11" ht="16" hidden="1" x14ac:dyDescent="0.2">
      <c r="A1290" s="6" t="s">
        <v>2624</v>
      </c>
      <c r="B1290" s="6" t="s">
        <v>2625</v>
      </c>
      <c r="C1290" s="4" t="b">
        <v>0</v>
      </c>
      <c r="D1290" s="4" t="b">
        <v>0</v>
      </c>
      <c r="E1290" s="4" t="b">
        <v>1</v>
      </c>
      <c r="F1290" s="4"/>
      <c r="G1290" s="4" t="b">
        <f t="shared" si="20"/>
        <v>0</v>
      </c>
      <c r="H1290" s="4"/>
      <c r="I1290" s="4"/>
      <c r="J1290" s="4" t="s">
        <v>621</v>
      </c>
      <c r="K1290"/>
    </row>
    <row r="1291" spans="1:11" ht="16" x14ac:dyDescent="0.2">
      <c r="A1291" s="6" t="s">
        <v>2626</v>
      </c>
      <c r="B1291" s="6" t="s">
        <v>2627</v>
      </c>
      <c r="C1291" s="4" t="b">
        <v>1</v>
      </c>
      <c r="D1291" s="4" t="b">
        <v>0</v>
      </c>
      <c r="E1291" s="4" t="b">
        <v>1</v>
      </c>
      <c r="F1291" s="4" t="s">
        <v>12</v>
      </c>
      <c r="G1291" s="4" t="b">
        <f t="shared" si="20"/>
        <v>1</v>
      </c>
      <c r="H1291" s="4" t="s">
        <v>2936</v>
      </c>
      <c r="I1291" s="4"/>
      <c r="J1291" s="4" t="s">
        <v>621</v>
      </c>
    </row>
    <row r="1292" spans="1:11" ht="16" hidden="1" x14ac:dyDescent="0.2">
      <c r="A1292" s="6" t="s">
        <v>2628</v>
      </c>
      <c r="B1292" s="6" t="s">
        <v>2629</v>
      </c>
      <c r="C1292" s="4" t="b">
        <v>0</v>
      </c>
      <c r="D1292" s="4" t="b">
        <v>0</v>
      </c>
      <c r="E1292" s="4" t="b">
        <v>0</v>
      </c>
      <c r="F1292" s="4"/>
      <c r="G1292" s="4" t="b">
        <f t="shared" si="20"/>
        <v>0</v>
      </c>
      <c r="H1292" s="4"/>
      <c r="I1292" s="4"/>
      <c r="J1292" s="4" t="s">
        <v>621</v>
      </c>
      <c r="K1292"/>
    </row>
    <row r="1293" spans="1:11" ht="16" hidden="1" x14ac:dyDescent="0.2">
      <c r="A1293" s="6" t="s">
        <v>2630</v>
      </c>
      <c r="B1293" s="6" t="s">
        <v>2631</v>
      </c>
      <c r="C1293" s="4" t="b">
        <v>0</v>
      </c>
      <c r="D1293" s="4" t="b">
        <v>0</v>
      </c>
      <c r="E1293" s="4" t="b">
        <v>0</v>
      </c>
      <c r="F1293" s="4"/>
      <c r="G1293" s="4" t="b">
        <f t="shared" si="20"/>
        <v>0</v>
      </c>
      <c r="H1293" s="4"/>
      <c r="I1293" s="4"/>
      <c r="J1293" s="4" t="s">
        <v>621</v>
      </c>
      <c r="K1293"/>
    </row>
    <row r="1294" spans="1:11" ht="16" hidden="1" x14ac:dyDescent="0.2">
      <c r="A1294" s="6" t="s">
        <v>2632</v>
      </c>
      <c r="B1294" s="6" t="s">
        <v>2633</v>
      </c>
      <c r="C1294" s="4" t="b">
        <v>0</v>
      </c>
      <c r="D1294" s="4" t="b">
        <v>0</v>
      </c>
      <c r="E1294" s="4" t="b">
        <v>0</v>
      </c>
      <c r="F1294" s="4"/>
      <c r="G1294" s="4" t="b">
        <f t="shared" si="20"/>
        <v>0</v>
      </c>
      <c r="H1294" s="4"/>
      <c r="I1294" s="4"/>
      <c r="J1294" s="4" t="s">
        <v>621</v>
      </c>
      <c r="K1294"/>
    </row>
    <row r="1295" spans="1:11" ht="16" hidden="1" x14ac:dyDescent="0.2">
      <c r="A1295" s="6" t="s">
        <v>2634</v>
      </c>
      <c r="B1295" s="6" t="s">
        <v>2635</v>
      </c>
      <c r="C1295" s="4" t="b">
        <v>0</v>
      </c>
      <c r="D1295" s="4" t="b">
        <v>0</v>
      </c>
      <c r="E1295" s="4" t="b">
        <v>0</v>
      </c>
      <c r="F1295" s="4"/>
      <c r="G1295" s="4" t="b">
        <f t="shared" si="20"/>
        <v>0</v>
      </c>
      <c r="H1295" s="4"/>
      <c r="I1295" s="4"/>
      <c r="J1295" s="4" t="s">
        <v>2005</v>
      </c>
      <c r="K1295"/>
    </row>
    <row r="1296" spans="1:11" ht="16" hidden="1" x14ac:dyDescent="0.2">
      <c r="A1296" s="6" t="s">
        <v>2636</v>
      </c>
      <c r="B1296" s="6" t="s">
        <v>2637</v>
      </c>
      <c r="C1296" s="4" t="b">
        <v>0</v>
      </c>
      <c r="D1296" s="4" t="b">
        <v>0</v>
      </c>
      <c r="E1296" s="4" t="b">
        <v>0</v>
      </c>
      <c r="F1296" s="4"/>
      <c r="G1296" s="4" t="b">
        <f t="shared" si="20"/>
        <v>0</v>
      </c>
      <c r="H1296" s="4"/>
      <c r="I1296" s="4"/>
      <c r="J1296" s="4" t="s">
        <v>2005</v>
      </c>
      <c r="K1296"/>
    </row>
    <row r="1297" spans="1:10" customFormat="1" ht="16" hidden="1" x14ac:dyDescent="0.2">
      <c r="A1297" s="6" t="s">
        <v>2638</v>
      </c>
      <c r="B1297" s="6" t="s">
        <v>2639</v>
      </c>
      <c r="C1297" s="4" t="b">
        <v>0</v>
      </c>
      <c r="D1297" s="4" t="b">
        <v>0</v>
      </c>
      <c r="E1297" s="4" t="b">
        <v>0</v>
      </c>
      <c r="F1297" s="4"/>
      <c r="G1297" s="4" t="b">
        <f t="shared" si="20"/>
        <v>0</v>
      </c>
      <c r="H1297" s="4"/>
      <c r="I1297" s="4"/>
      <c r="J1297" s="4" t="s">
        <v>2005</v>
      </c>
    </row>
    <row r="1298" spans="1:10" customFormat="1" ht="16" hidden="1" x14ac:dyDescent="0.2">
      <c r="A1298" s="6" t="s">
        <v>2640</v>
      </c>
      <c r="B1298" s="6" t="s">
        <v>2641</v>
      </c>
      <c r="C1298" s="4" t="b">
        <v>0</v>
      </c>
      <c r="D1298" s="4" t="b">
        <v>0</v>
      </c>
      <c r="E1298" s="4" t="b">
        <v>1</v>
      </c>
      <c r="F1298" s="4"/>
      <c r="G1298" s="4" t="b">
        <f t="shared" si="20"/>
        <v>0</v>
      </c>
      <c r="H1298" s="4"/>
      <c r="I1298" s="4"/>
      <c r="J1298" s="4" t="s">
        <v>2005</v>
      </c>
    </row>
    <row r="1299" spans="1:10" customFormat="1" ht="16" hidden="1" x14ac:dyDescent="0.2">
      <c r="A1299" s="6" t="s">
        <v>2642</v>
      </c>
      <c r="B1299" s="6" t="s">
        <v>2643</v>
      </c>
      <c r="C1299" s="4" t="b">
        <v>0</v>
      </c>
      <c r="D1299" s="4" t="b">
        <v>0</v>
      </c>
      <c r="E1299" s="4" t="b">
        <v>0</v>
      </c>
      <c r="F1299" s="4"/>
      <c r="G1299" s="4" t="b">
        <f t="shared" si="20"/>
        <v>0</v>
      </c>
      <c r="H1299" s="4"/>
      <c r="I1299" s="4"/>
      <c r="J1299" s="4" t="s">
        <v>2005</v>
      </c>
    </row>
    <row r="1300" spans="1:10" customFormat="1" ht="16" hidden="1" x14ac:dyDescent="0.2">
      <c r="A1300" s="6" t="s">
        <v>2644</v>
      </c>
      <c r="B1300" s="6" t="s">
        <v>2645</v>
      </c>
      <c r="C1300" s="4" t="b">
        <v>0</v>
      </c>
      <c r="D1300" s="4" t="b">
        <v>0</v>
      </c>
      <c r="E1300" s="4" t="b">
        <v>0</v>
      </c>
      <c r="F1300" s="4"/>
      <c r="G1300" s="4" t="b">
        <f t="shared" si="20"/>
        <v>0</v>
      </c>
      <c r="H1300" s="4"/>
      <c r="I1300" s="4"/>
      <c r="J1300" s="4" t="s">
        <v>2005</v>
      </c>
    </row>
    <row r="1301" spans="1:10" customFormat="1" ht="16" hidden="1" x14ac:dyDescent="0.2">
      <c r="A1301" s="6" t="s">
        <v>2646</v>
      </c>
      <c r="B1301" s="6" t="s">
        <v>2647</v>
      </c>
      <c r="C1301" s="4" t="b">
        <v>0</v>
      </c>
      <c r="D1301" s="4" t="b">
        <v>0</v>
      </c>
      <c r="E1301" s="4" t="b">
        <v>0</v>
      </c>
      <c r="F1301" s="4"/>
      <c r="G1301" s="4" t="b">
        <f t="shared" si="20"/>
        <v>0</v>
      </c>
      <c r="H1301" s="4"/>
      <c r="I1301" s="4"/>
      <c r="J1301" s="4" t="s">
        <v>98</v>
      </c>
    </row>
    <row r="1302" spans="1:10" customFormat="1" ht="16" hidden="1" x14ac:dyDescent="0.2">
      <c r="A1302" s="6" t="s">
        <v>2648</v>
      </c>
      <c r="B1302" s="6" t="s">
        <v>2649</v>
      </c>
      <c r="C1302" s="4" t="b">
        <v>0</v>
      </c>
      <c r="D1302" s="4" t="b">
        <v>0</v>
      </c>
      <c r="E1302" s="4" t="b">
        <v>0</v>
      </c>
      <c r="F1302" s="4"/>
      <c r="G1302" s="4" t="b">
        <f t="shared" si="20"/>
        <v>0</v>
      </c>
      <c r="H1302" s="4"/>
      <c r="I1302" s="4"/>
      <c r="J1302" s="4" t="s">
        <v>98</v>
      </c>
    </row>
    <row r="1303" spans="1:10" customFormat="1" ht="16" hidden="1" x14ac:dyDescent="0.2">
      <c r="A1303" s="6" t="s">
        <v>2650</v>
      </c>
      <c r="B1303" s="6" t="s">
        <v>2651</v>
      </c>
      <c r="C1303" s="4" t="b">
        <v>0</v>
      </c>
      <c r="D1303" s="4" t="b">
        <v>0</v>
      </c>
      <c r="E1303" s="4" t="b">
        <v>1</v>
      </c>
      <c r="F1303" s="4" t="s">
        <v>12</v>
      </c>
      <c r="G1303" s="4" t="b">
        <f t="shared" si="20"/>
        <v>1</v>
      </c>
      <c r="H1303" s="4"/>
      <c r="I1303" s="4"/>
      <c r="J1303" s="4" t="s">
        <v>98</v>
      </c>
    </row>
    <row r="1304" spans="1:10" customFormat="1" ht="16" hidden="1" x14ac:dyDescent="0.2">
      <c r="A1304" s="6" t="s">
        <v>2652</v>
      </c>
      <c r="B1304" s="6" t="s">
        <v>2653</v>
      </c>
      <c r="C1304" s="4" t="b">
        <v>0</v>
      </c>
      <c r="D1304" s="4" t="b">
        <v>0</v>
      </c>
      <c r="E1304" s="4" t="b">
        <v>1</v>
      </c>
      <c r="F1304" s="4"/>
      <c r="G1304" s="4" t="b">
        <f t="shared" si="20"/>
        <v>0</v>
      </c>
      <c r="H1304" s="4"/>
      <c r="I1304" s="4"/>
      <c r="J1304" s="4" t="s">
        <v>98</v>
      </c>
    </row>
    <row r="1305" spans="1:10" customFormat="1" ht="16" hidden="1" x14ac:dyDescent="0.2">
      <c r="A1305" s="6" t="s">
        <v>2654</v>
      </c>
      <c r="B1305" s="6" t="s">
        <v>2655</v>
      </c>
      <c r="C1305" s="4" t="b">
        <v>0</v>
      </c>
      <c r="D1305" s="4" t="b">
        <v>0</v>
      </c>
      <c r="E1305" s="4" t="b">
        <v>0</v>
      </c>
      <c r="F1305" s="4" t="s">
        <v>12</v>
      </c>
      <c r="G1305" s="4" t="b">
        <f t="shared" si="20"/>
        <v>1</v>
      </c>
      <c r="H1305" s="4"/>
      <c r="I1305" s="4"/>
      <c r="J1305" s="4" t="s">
        <v>98</v>
      </c>
    </row>
    <row r="1306" spans="1:10" customFormat="1" ht="16" x14ac:dyDescent="0.2">
      <c r="A1306" s="6" t="s">
        <v>2656</v>
      </c>
      <c r="B1306" s="6" t="s">
        <v>2657</v>
      </c>
      <c r="C1306" s="4" t="b">
        <v>1</v>
      </c>
      <c r="D1306" s="4" t="b">
        <v>0</v>
      </c>
      <c r="E1306" s="4" t="b">
        <v>1</v>
      </c>
      <c r="F1306" s="4" t="s">
        <v>12</v>
      </c>
      <c r="G1306" s="4" t="b">
        <f t="shared" si="20"/>
        <v>1</v>
      </c>
      <c r="H1306" s="4" t="s">
        <v>3241</v>
      </c>
      <c r="I1306" s="4"/>
      <c r="J1306" s="4" t="s">
        <v>98</v>
      </c>
    </row>
    <row r="1307" spans="1:10" customFormat="1" ht="16" hidden="1" x14ac:dyDescent="0.2">
      <c r="A1307" s="6" t="s">
        <v>2658</v>
      </c>
      <c r="B1307" s="6" t="s">
        <v>2659</v>
      </c>
      <c r="C1307" s="4" t="b">
        <v>0</v>
      </c>
      <c r="D1307" s="4" t="b">
        <v>0</v>
      </c>
      <c r="E1307" s="4" t="b">
        <v>0</v>
      </c>
      <c r="F1307" s="4"/>
      <c r="G1307" s="4" t="b">
        <f t="shared" si="20"/>
        <v>0</v>
      </c>
      <c r="H1307" s="4"/>
      <c r="I1307" s="4"/>
      <c r="J1307" s="4" t="s">
        <v>98</v>
      </c>
    </row>
    <row r="1308" spans="1:10" customFormat="1" ht="16" hidden="1" x14ac:dyDescent="0.2">
      <c r="A1308" s="6" t="s">
        <v>2660</v>
      </c>
      <c r="B1308" s="6" t="s">
        <v>2661</v>
      </c>
      <c r="C1308" s="4" t="b">
        <v>0</v>
      </c>
      <c r="D1308" s="4" t="b">
        <v>0</v>
      </c>
      <c r="E1308" s="4" t="b">
        <v>0</v>
      </c>
      <c r="F1308" s="4"/>
      <c r="G1308" s="4" t="b">
        <f t="shared" si="20"/>
        <v>0</v>
      </c>
      <c r="H1308" s="4"/>
      <c r="I1308" s="4"/>
      <c r="J1308" s="4" t="s">
        <v>98</v>
      </c>
    </row>
    <row r="1309" spans="1:10" customFormat="1" ht="16" hidden="1" x14ac:dyDescent="0.2">
      <c r="A1309" s="6" t="s">
        <v>2662</v>
      </c>
      <c r="B1309" s="6" t="s">
        <v>2663</v>
      </c>
      <c r="C1309" s="4" t="b">
        <v>0</v>
      </c>
      <c r="D1309" s="4" t="b">
        <v>0</v>
      </c>
      <c r="E1309" s="4" t="b">
        <v>1</v>
      </c>
      <c r="F1309" s="4"/>
      <c r="G1309" s="4" t="b">
        <f t="shared" si="20"/>
        <v>0</v>
      </c>
      <c r="H1309" s="4"/>
      <c r="I1309" s="4"/>
      <c r="J1309" s="4" t="s">
        <v>98</v>
      </c>
    </row>
    <row r="1310" spans="1:10" customFormat="1" ht="16" hidden="1" x14ac:dyDescent="0.2">
      <c r="A1310" s="6" t="s">
        <v>2664</v>
      </c>
      <c r="B1310" s="6" t="s">
        <v>2665</v>
      </c>
      <c r="C1310" s="4" t="b">
        <v>0</v>
      </c>
      <c r="D1310" s="4" t="b">
        <v>0</v>
      </c>
      <c r="E1310" s="4" t="b">
        <v>1</v>
      </c>
      <c r="F1310" s="4"/>
      <c r="G1310" s="4" t="b">
        <f t="shared" si="20"/>
        <v>0</v>
      </c>
      <c r="H1310" s="4"/>
      <c r="I1310" s="4"/>
      <c r="J1310" s="4" t="s">
        <v>98</v>
      </c>
    </row>
    <row r="1311" spans="1:10" customFormat="1" ht="80" x14ac:dyDescent="0.2">
      <c r="A1311" s="6" t="s">
        <v>2666</v>
      </c>
      <c r="B1311" s="6" t="s">
        <v>2667</v>
      </c>
      <c r="C1311" s="4" t="b">
        <v>1</v>
      </c>
      <c r="D1311" s="4" t="b">
        <v>0</v>
      </c>
      <c r="E1311" s="4" t="b">
        <v>1</v>
      </c>
      <c r="F1311" s="4" t="s">
        <v>12</v>
      </c>
      <c r="G1311" s="4" t="b">
        <f t="shared" si="20"/>
        <v>1</v>
      </c>
      <c r="H1311" s="4" t="s">
        <v>3242</v>
      </c>
      <c r="I1311" s="4"/>
      <c r="J1311" s="4" t="s">
        <v>98</v>
      </c>
    </row>
    <row r="1312" spans="1:10" customFormat="1" ht="16" hidden="1" x14ac:dyDescent="0.2">
      <c r="A1312" s="6" t="s">
        <v>2668</v>
      </c>
      <c r="B1312" s="6" t="s">
        <v>2669</v>
      </c>
      <c r="C1312" s="4" t="b">
        <v>0</v>
      </c>
      <c r="D1312" s="4" t="b">
        <v>0</v>
      </c>
      <c r="E1312" s="4" t="b">
        <v>1</v>
      </c>
      <c r="F1312" s="4"/>
      <c r="G1312" s="4" t="b">
        <f t="shared" si="20"/>
        <v>0</v>
      </c>
      <c r="H1312" s="4"/>
      <c r="I1312" s="4"/>
      <c r="J1312" s="4" t="s">
        <v>98</v>
      </c>
    </row>
    <row r="1313" spans="1:11" ht="16" hidden="1" x14ac:dyDescent="0.2">
      <c r="A1313" s="6" t="s">
        <v>2670</v>
      </c>
      <c r="B1313" s="6" t="s">
        <v>2671</v>
      </c>
      <c r="C1313" s="4" t="b">
        <v>0</v>
      </c>
      <c r="D1313" s="4" t="b">
        <v>0</v>
      </c>
      <c r="E1313" s="4" t="b">
        <v>0</v>
      </c>
      <c r="F1313" s="4"/>
      <c r="G1313" s="4" t="b">
        <f t="shared" si="20"/>
        <v>0</v>
      </c>
      <c r="H1313" s="4"/>
      <c r="I1313" s="4"/>
      <c r="J1313" s="4" t="s">
        <v>98</v>
      </c>
      <c r="K1313"/>
    </row>
    <row r="1314" spans="1:11" ht="16" x14ac:dyDescent="0.2">
      <c r="A1314" s="6" t="s">
        <v>2672</v>
      </c>
      <c r="B1314" s="6" t="s">
        <v>2673</v>
      </c>
      <c r="C1314" s="4" t="b">
        <v>1</v>
      </c>
      <c r="D1314" s="4" t="b">
        <v>0</v>
      </c>
      <c r="E1314" s="4" t="b">
        <v>1</v>
      </c>
      <c r="F1314" s="4" t="s">
        <v>12</v>
      </c>
      <c r="G1314" s="4" t="b">
        <f t="shared" si="20"/>
        <v>1</v>
      </c>
      <c r="H1314" s="4" t="s">
        <v>3243</v>
      </c>
      <c r="I1314" s="4"/>
      <c r="J1314" s="4" t="s">
        <v>98</v>
      </c>
      <c r="K1314"/>
    </row>
    <row r="1315" spans="1:11" ht="16" hidden="1" x14ac:dyDescent="0.2">
      <c r="A1315" s="6" t="s">
        <v>2674</v>
      </c>
      <c r="B1315" s="6" t="s">
        <v>2675</v>
      </c>
      <c r="C1315" s="4" t="b">
        <v>0</v>
      </c>
      <c r="D1315" s="4" t="b">
        <v>0</v>
      </c>
      <c r="E1315" s="4" t="b">
        <v>0</v>
      </c>
      <c r="F1315" s="4"/>
      <c r="G1315" s="4" t="b">
        <f t="shared" si="20"/>
        <v>0</v>
      </c>
      <c r="H1315" s="4"/>
      <c r="I1315" s="4"/>
      <c r="J1315" s="4" t="s">
        <v>98</v>
      </c>
      <c r="K1315"/>
    </row>
    <row r="1316" spans="1:11" ht="16" x14ac:dyDescent="0.2">
      <c r="A1316" s="6" t="s">
        <v>2676</v>
      </c>
      <c r="B1316" s="6" t="s">
        <v>2677</v>
      </c>
      <c r="C1316" s="4" t="b">
        <v>1</v>
      </c>
      <c r="D1316" s="4" t="b">
        <v>0</v>
      </c>
      <c r="E1316" s="4" t="b">
        <v>1</v>
      </c>
      <c r="F1316" s="4" t="s">
        <v>12</v>
      </c>
      <c r="G1316" s="4" t="b">
        <f t="shared" si="20"/>
        <v>1</v>
      </c>
      <c r="H1316" s="4" t="s">
        <v>3244</v>
      </c>
      <c r="I1316" s="4"/>
      <c r="J1316" s="4" t="s">
        <v>98</v>
      </c>
      <c r="K1316"/>
    </row>
    <row r="1317" spans="1:11" ht="16" hidden="1" x14ac:dyDescent="0.2">
      <c r="A1317" s="6" t="s">
        <v>2678</v>
      </c>
      <c r="B1317" s="6" t="s">
        <v>2679</v>
      </c>
      <c r="C1317" s="4" t="b">
        <v>0</v>
      </c>
      <c r="D1317" s="4" t="b">
        <v>0</v>
      </c>
      <c r="E1317" s="4" t="b">
        <v>1</v>
      </c>
      <c r="F1317" s="4"/>
      <c r="G1317" s="4" t="b">
        <f t="shared" si="20"/>
        <v>0</v>
      </c>
      <c r="H1317" s="4"/>
      <c r="I1317" s="4"/>
      <c r="J1317" s="4" t="s">
        <v>98</v>
      </c>
      <c r="K1317"/>
    </row>
    <row r="1318" spans="1:11" ht="16" hidden="1" x14ac:dyDescent="0.2">
      <c r="A1318" s="6" t="s">
        <v>2680</v>
      </c>
      <c r="B1318" s="6" t="s">
        <v>2681</v>
      </c>
      <c r="C1318" s="4" t="b">
        <v>0</v>
      </c>
      <c r="D1318" s="4" t="b">
        <v>0</v>
      </c>
      <c r="E1318" s="4" t="b">
        <v>0</v>
      </c>
      <c r="F1318" s="4"/>
      <c r="G1318" s="4" t="b">
        <f t="shared" si="20"/>
        <v>0</v>
      </c>
      <c r="H1318" s="4"/>
      <c r="I1318" s="4"/>
      <c r="J1318" s="4" t="s">
        <v>98</v>
      </c>
      <c r="K1318"/>
    </row>
    <row r="1319" spans="1:11" ht="112" x14ac:dyDescent="0.2">
      <c r="A1319" s="6" t="s">
        <v>2682</v>
      </c>
      <c r="B1319" s="6" t="s">
        <v>2683</v>
      </c>
      <c r="C1319" s="4" t="b">
        <v>1</v>
      </c>
      <c r="D1319" s="4" t="b">
        <v>0</v>
      </c>
      <c r="E1319" s="4" t="b">
        <v>1</v>
      </c>
      <c r="F1319" s="4" t="s">
        <v>12</v>
      </c>
      <c r="G1319" s="4" t="b">
        <f t="shared" si="20"/>
        <v>1</v>
      </c>
      <c r="H1319" s="4" t="s">
        <v>2935</v>
      </c>
      <c r="I1319" s="4"/>
      <c r="J1319" s="4" t="s">
        <v>94</v>
      </c>
    </row>
    <row r="1320" spans="1:11" ht="16" hidden="1" x14ac:dyDescent="0.2">
      <c r="A1320" s="6" t="s">
        <v>2684</v>
      </c>
      <c r="B1320" s="6" t="s">
        <v>2685</v>
      </c>
      <c r="C1320" s="4" t="b">
        <v>0</v>
      </c>
      <c r="D1320" s="4" t="b">
        <v>0</v>
      </c>
      <c r="E1320" s="4" t="b">
        <v>1</v>
      </c>
      <c r="F1320" s="4"/>
      <c r="G1320" s="4" t="b">
        <f t="shared" si="20"/>
        <v>0</v>
      </c>
      <c r="H1320" s="4"/>
      <c r="I1320" s="4"/>
      <c r="J1320" s="4" t="s">
        <v>94</v>
      </c>
      <c r="K1320"/>
    </row>
    <row r="1321" spans="1:11" ht="16" hidden="1" x14ac:dyDescent="0.2">
      <c r="A1321" s="6" t="s">
        <v>2686</v>
      </c>
      <c r="B1321" s="6" t="s">
        <v>2687</v>
      </c>
      <c r="C1321" s="4" t="b">
        <v>0</v>
      </c>
      <c r="D1321" s="4" t="b">
        <v>0</v>
      </c>
      <c r="E1321" s="4" t="b">
        <v>0</v>
      </c>
      <c r="F1321" s="4"/>
      <c r="G1321" s="4" t="b">
        <f t="shared" si="20"/>
        <v>0</v>
      </c>
      <c r="H1321" s="4"/>
      <c r="I1321" s="4"/>
      <c r="J1321" s="4" t="s">
        <v>94</v>
      </c>
      <c r="K1321"/>
    </row>
    <row r="1322" spans="1:11" ht="16" hidden="1" x14ac:dyDescent="0.2">
      <c r="A1322" s="6" t="s">
        <v>2688</v>
      </c>
      <c r="B1322" s="6" t="s">
        <v>2689</v>
      </c>
      <c r="C1322" s="4" t="b">
        <v>0</v>
      </c>
      <c r="D1322" s="4" t="b">
        <v>0</v>
      </c>
      <c r="E1322" s="4" t="b">
        <v>0</v>
      </c>
      <c r="F1322" s="4"/>
      <c r="G1322" s="4" t="b">
        <f t="shared" si="20"/>
        <v>0</v>
      </c>
      <c r="H1322" s="4"/>
      <c r="I1322" s="4"/>
      <c r="J1322" s="4" t="s">
        <v>94</v>
      </c>
      <c r="K1322"/>
    </row>
    <row r="1323" spans="1:11" ht="48" x14ac:dyDescent="0.2">
      <c r="A1323" s="6" t="s">
        <v>2690</v>
      </c>
      <c r="B1323" s="6" t="s">
        <v>2691</v>
      </c>
      <c r="C1323" s="4" t="b">
        <v>1</v>
      </c>
      <c r="D1323" s="4" t="b">
        <v>0</v>
      </c>
      <c r="E1323" s="4" t="b">
        <v>1</v>
      </c>
      <c r="F1323" s="4" t="s">
        <v>12</v>
      </c>
      <c r="G1323" s="4" t="b">
        <f t="shared" si="20"/>
        <v>1</v>
      </c>
      <c r="H1323" s="4" t="s">
        <v>2934</v>
      </c>
      <c r="I1323" s="4"/>
      <c r="J1323" s="4" t="s">
        <v>94</v>
      </c>
    </row>
    <row r="1324" spans="1:11" ht="16" hidden="1" x14ac:dyDescent="0.2">
      <c r="A1324" s="6" t="s">
        <v>2692</v>
      </c>
      <c r="B1324" s="6" t="s">
        <v>2693</v>
      </c>
      <c r="C1324" s="4" t="b">
        <v>0</v>
      </c>
      <c r="D1324" s="4" t="b">
        <v>0</v>
      </c>
      <c r="E1324" s="4" t="b">
        <v>1</v>
      </c>
      <c r="F1324" s="4"/>
      <c r="G1324" s="4" t="b">
        <f t="shared" si="20"/>
        <v>0</v>
      </c>
      <c r="H1324" s="4"/>
      <c r="I1324" s="4"/>
      <c r="J1324" s="4" t="s">
        <v>94</v>
      </c>
      <c r="K1324"/>
    </row>
    <row r="1325" spans="1:11" ht="16" x14ac:dyDescent="0.2">
      <c r="A1325" s="6" t="s">
        <v>2694</v>
      </c>
      <c r="B1325" s="6" t="s">
        <v>2695</v>
      </c>
      <c r="C1325" s="4" t="b">
        <v>1</v>
      </c>
      <c r="D1325" s="4" t="b">
        <v>0</v>
      </c>
      <c r="E1325" s="4" t="b">
        <v>1</v>
      </c>
      <c r="F1325" s="4" t="s">
        <v>12</v>
      </c>
      <c r="G1325" s="4" t="b">
        <f t="shared" si="20"/>
        <v>1</v>
      </c>
      <c r="H1325" s="4" t="s">
        <v>2933</v>
      </c>
      <c r="I1325" s="4"/>
      <c r="J1325" s="4" t="s">
        <v>94</v>
      </c>
    </row>
    <row r="1326" spans="1:11" ht="16" hidden="1" x14ac:dyDescent="0.2">
      <c r="A1326" s="6" t="s">
        <v>2696</v>
      </c>
      <c r="B1326" s="6" t="s">
        <v>2697</v>
      </c>
      <c r="C1326" s="4" t="b">
        <v>0</v>
      </c>
      <c r="D1326" s="4" t="b">
        <v>0</v>
      </c>
      <c r="E1326" s="4" t="b">
        <v>0</v>
      </c>
      <c r="F1326" s="4"/>
      <c r="G1326" s="4" t="b">
        <f t="shared" si="20"/>
        <v>0</v>
      </c>
      <c r="H1326" s="4"/>
      <c r="I1326" s="4"/>
      <c r="J1326" s="4" t="s">
        <v>94</v>
      </c>
      <c r="K1326"/>
    </row>
    <row r="1327" spans="1:11" ht="16" hidden="1" x14ac:dyDescent="0.2">
      <c r="A1327" s="6" t="s">
        <v>2698</v>
      </c>
      <c r="B1327" s="6" t="s">
        <v>2699</v>
      </c>
      <c r="C1327" s="4" t="b">
        <v>0</v>
      </c>
      <c r="D1327" s="4" t="b">
        <v>0</v>
      </c>
      <c r="E1327" s="4" t="b">
        <v>0</v>
      </c>
      <c r="F1327" s="4"/>
      <c r="G1327" s="4" t="b">
        <f t="shared" si="20"/>
        <v>0</v>
      </c>
      <c r="H1327" s="4"/>
      <c r="I1327" s="4"/>
      <c r="J1327" s="4" t="s">
        <v>94</v>
      </c>
      <c r="K1327"/>
    </row>
    <row r="1328" spans="1:11" ht="16" hidden="1" x14ac:dyDescent="0.2">
      <c r="A1328" s="6" t="s">
        <v>2700</v>
      </c>
      <c r="B1328" s="6" t="s">
        <v>2701</v>
      </c>
      <c r="C1328" s="4" t="b">
        <v>0</v>
      </c>
      <c r="D1328" s="4" t="b">
        <v>0</v>
      </c>
      <c r="E1328" s="4" t="b">
        <v>1</v>
      </c>
      <c r="F1328" s="4"/>
      <c r="G1328" s="4" t="b">
        <f t="shared" si="20"/>
        <v>0</v>
      </c>
      <c r="H1328" s="4"/>
      <c r="I1328" s="4"/>
      <c r="J1328" s="4" t="s">
        <v>94</v>
      </c>
      <c r="K1328"/>
    </row>
    <row r="1329" spans="1:11" ht="32" x14ac:dyDescent="0.2">
      <c r="A1329" s="6" t="s">
        <v>2702</v>
      </c>
      <c r="B1329" s="6" t="s">
        <v>2703</v>
      </c>
      <c r="C1329" s="4" t="b">
        <v>1</v>
      </c>
      <c r="D1329" s="4" t="b">
        <v>0</v>
      </c>
      <c r="E1329" s="4" t="b">
        <v>1</v>
      </c>
      <c r="F1329" s="4" t="s">
        <v>12</v>
      </c>
      <c r="G1329" s="4" t="b">
        <f t="shared" si="20"/>
        <v>1</v>
      </c>
      <c r="H1329" s="4" t="s">
        <v>2932</v>
      </c>
      <c r="I1329" s="4"/>
      <c r="J1329" s="4" t="s">
        <v>94</v>
      </c>
    </row>
    <row r="1330" spans="1:11" ht="16" x14ac:dyDescent="0.2">
      <c r="A1330" s="6" t="s">
        <v>2704</v>
      </c>
      <c r="B1330" s="6" t="s">
        <v>2705</v>
      </c>
      <c r="C1330" s="4" t="b">
        <v>1</v>
      </c>
      <c r="D1330" s="4" t="b">
        <v>0</v>
      </c>
      <c r="E1330" s="4" t="b">
        <v>1</v>
      </c>
      <c r="F1330" s="4" t="s">
        <v>12</v>
      </c>
      <c r="G1330" s="4" t="b">
        <f t="shared" si="20"/>
        <v>1</v>
      </c>
      <c r="H1330" s="4" t="s">
        <v>2931</v>
      </c>
      <c r="I1330" s="4"/>
      <c r="J1330" s="4" t="s">
        <v>94</v>
      </c>
    </row>
    <row r="1331" spans="1:11" ht="16" hidden="1" x14ac:dyDescent="0.2">
      <c r="A1331" s="6" t="s">
        <v>2706</v>
      </c>
      <c r="B1331" s="6" t="s">
        <v>2707</v>
      </c>
      <c r="C1331" s="4" t="b">
        <v>0</v>
      </c>
      <c r="D1331" s="4" t="b">
        <v>0</v>
      </c>
      <c r="E1331" s="4" t="b">
        <v>1</v>
      </c>
      <c r="F1331" s="4" t="s">
        <v>12</v>
      </c>
      <c r="G1331" s="4" t="b">
        <f t="shared" si="20"/>
        <v>1</v>
      </c>
      <c r="H1331" s="4"/>
      <c r="I1331" s="4"/>
      <c r="J1331" s="4" t="s">
        <v>94</v>
      </c>
      <c r="K1331"/>
    </row>
    <row r="1332" spans="1:11" ht="48" x14ac:dyDescent="0.2">
      <c r="A1332" s="6" t="s">
        <v>2708</v>
      </c>
      <c r="B1332" s="6" t="s">
        <v>2709</v>
      </c>
      <c r="C1332" s="4" t="b">
        <v>1</v>
      </c>
      <c r="D1332" s="4" t="b">
        <v>0</v>
      </c>
      <c r="E1332" s="4" t="b">
        <v>1</v>
      </c>
      <c r="F1332" s="4" t="s">
        <v>12</v>
      </c>
      <c r="G1332" s="4" t="b">
        <f t="shared" si="20"/>
        <v>1</v>
      </c>
      <c r="H1332" s="4" t="s">
        <v>2930</v>
      </c>
      <c r="I1332" s="4"/>
      <c r="J1332" s="4" t="s">
        <v>94</v>
      </c>
    </row>
    <row r="1333" spans="1:11" ht="16" x14ac:dyDescent="0.2">
      <c r="A1333" s="6" t="s">
        <v>2710</v>
      </c>
      <c r="B1333" s="6" t="s">
        <v>2711</v>
      </c>
      <c r="C1333" s="4" t="b">
        <v>1</v>
      </c>
      <c r="D1333" s="4" t="b">
        <v>0</v>
      </c>
      <c r="E1333" s="4" t="b">
        <v>1</v>
      </c>
      <c r="F1333" s="4" t="s">
        <v>12</v>
      </c>
      <c r="G1333" s="4" t="b">
        <f t="shared" si="20"/>
        <v>1</v>
      </c>
      <c r="H1333" s="4" t="s">
        <v>2929</v>
      </c>
      <c r="I1333" s="4"/>
      <c r="J1333" s="4" t="s">
        <v>94</v>
      </c>
    </row>
    <row r="1334" spans="1:11" ht="112" x14ac:dyDescent="0.2">
      <c r="A1334" s="6" t="s">
        <v>2712</v>
      </c>
      <c r="B1334" s="6" t="s">
        <v>2713</v>
      </c>
      <c r="C1334" s="4" t="b">
        <v>1</v>
      </c>
      <c r="D1334" s="4" t="b">
        <v>1</v>
      </c>
      <c r="E1334" s="4" t="b">
        <v>1</v>
      </c>
      <c r="F1334" s="4" t="s">
        <v>12</v>
      </c>
      <c r="G1334" s="4" t="b">
        <f t="shared" si="20"/>
        <v>1</v>
      </c>
      <c r="H1334" s="4" t="s">
        <v>2928</v>
      </c>
      <c r="I1334" s="4"/>
      <c r="J1334" s="4" t="s">
        <v>94</v>
      </c>
    </row>
    <row r="1335" spans="1:11" ht="16" hidden="1" x14ac:dyDescent="0.2">
      <c r="A1335" s="6" t="s">
        <v>2714</v>
      </c>
      <c r="B1335" s="6" t="s">
        <v>2715</v>
      </c>
      <c r="C1335" s="4" t="b">
        <v>0</v>
      </c>
      <c r="D1335" s="4" t="b">
        <v>0</v>
      </c>
      <c r="E1335" s="4" t="b">
        <v>0</v>
      </c>
      <c r="F1335" s="4"/>
      <c r="G1335" s="4" t="b">
        <f t="shared" si="20"/>
        <v>0</v>
      </c>
      <c r="H1335" s="4"/>
      <c r="I1335" s="4"/>
      <c r="J1335" s="4" t="s">
        <v>94</v>
      </c>
      <c r="K1335"/>
    </row>
    <row r="1336" spans="1:11" ht="16" hidden="1" x14ac:dyDescent="0.2">
      <c r="A1336" s="6" t="s">
        <v>2716</v>
      </c>
      <c r="B1336" s="6" t="s">
        <v>2717</v>
      </c>
      <c r="C1336" s="4" t="b">
        <v>0</v>
      </c>
      <c r="D1336" s="4" t="b">
        <v>0</v>
      </c>
      <c r="E1336" s="4" t="b">
        <v>0</v>
      </c>
      <c r="F1336" s="4"/>
      <c r="G1336" s="4" t="b">
        <f t="shared" si="20"/>
        <v>0</v>
      </c>
      <c r="H1336" s="4"/>
      <c r="I1336" s="4"/>
      <c r="J1336" s="4" t="s">
        <v>94</v>
      </c>
      <c r="K1336"/>
    </row>
    <row r="1337" spans="1:11" ht="16" x14ac:dyDescent="0.2">
      <c r="A1337" s="6" t="s">
        <v>2718</v>
      </c>
      <c r="B1337" s="6" t="s">
        <v>2719</v>
      </c>
      <c r="C1337" s="4" t="b">
        <v>1</v>
      </c>
      <c r="D1337" s="4" t="b">
        <v>0</v>
      </c>
      <c r="E1337" s="4" t="b">
        <v>1</v>
      </c>
      <c r="F1337" s="4" t="s">
        <v>12</v>
      </c>
      <c r="G1337" s="4" t="b">
        <f t="shared" si="20"/>
        <v>1</v>
      </c>
      <c r="H1337" s="4"/>
      <c r="I1337" s="4"/>
      <c r="J1337" s="4" t="s">
        <v>94</v>
      </c>
    </row>
    <row r="1338" spans="1:11" ht="64" x14ac:dyDescent="0.2">
      <c r="A1338" s="6" t="s">
        <v>2720</v>
      </c>
      <c r="B1338" s="6" t="s">
        <v>2721</v>
      </c>
      <c r="C1338" s="4" t="b">
        <v>1</v>
      </c>
      <c r="D1338" s="4" t="b">
        <v>1</v>
      </c>
      <c r="E1338" s="4" t="b">
        <v>1</v>
      </c>
      <c r="F1338" s="4" t="s">
        <v>12</v>
      </c>
      <c r="G1338" s="4" t="b">
        <f t="shared" si="20"/>
        <v>1</v>
      </c>
      <c r="H1338" s="4" t="s">
        <v>2927</v>
      </c>
      <c r="I1338" s="4"/>
      <c r="J1338" s="4" t="s">
        <v>94</v>
      </c>
    </row>
    <row r="1339" spans="1:11" ht="16" hidden="1" x14ac:dyDescent="0.2">
      <c r="A1339" s="6" t="s">
        <v>2722</v>
      </c>
      <c r="B1339" s="6" t="s">
        <v>2723</v>
      </c>
      <c r="C1339" s="4" t="b">
        <v>0</v>
      </c>
      <c r="D1339" s="4" t="b">
        <v>0</v>
      </c>
      <c r="E1339" s="4" t="b">
        <v>0</v>
      </c>
      <c r="F1339" s="4"/>
      <c r="G1339" s="4" t="b">
        <f t="shared" si="20"/>
        <v>0</v>
      </c>
      <c r="H1339" s="4"/>
      <c r="I1339" s="4"/>
      <c r="J1339" s="4" t="s">
        <v>94</v>
      </c>
      <c r="K1339"/>
    </row>
    <row r="1340" spans="1:11" ht="16" hidden="1" x14ac:dyDescent="0.2">
      <c r="A1340" s="6" t="s">
        <v>2724</v>
      </c>
      <c r="B1340" s="6" t="s">
        <v>2725</v>
      </c>
      <c r="C1340" s="4" t="b">
        <v>0</v>
      </c>
      <c r="D1340" s="4" t="b">
        <v>0</v>
      </c>
      <c r="E1340" s="4" t="b">
        <v>0</v>
      </c>
      <c r="F1340" s="4"/>
      <c r="G1340" s="4" t="b">
        <f t="shared" si="20"/>
        <v>0</v>
      </c>
      <c r="H1340" s="4"/>
      <c r="I1340" s="4"/>
      <c r="J1340" s="4" t="s">
        <v>94</v>
      </c>
      <c r="K1340"/>
    </row>
    <row r="1341" spans="1:11" ht="16" hidden="1" x14ac:dyDescent="0.2">
      <c r="A1341" s="6" t="s">
        <v>2726</v>
      </c>
      <c r="B1341" s="6" t="s">
        <v>2727</v>
      </c>
      <c r="C1341" s="4" t="b">
        <v>0</v>
      </c>
      <c r="D1341" s="4" t="b">
        <v>0</v>
      </c>
      <c r="E1341" s="4" t="b">
        <v>0</v>
      </c>
      <c r="F1341" s="4"/>
      <c r="G1341" s="4" t="b">
        <f t="shared" si="20"/>
        <v>0</v>
      </c>
      <c r="H1341" s="4"/>
      <c r="I1341" s="4"/>
      <c r="J1341" s="4" t="s">
        <v>94</v>
      </c>
      <c r="K1341"/>
    </row>
    <row r="1342" spans="1:11" ht="16" hidden="1" x14ac:dyDescent="0.2">
      <c r="A1342" s="6" t="s">
        <v>2728</v>
      </c>
      <c r="B1342" s="6" t="s">
        <v>2729</v>
      </c>
      <c r="C1342" s="4" t="b">
        <v>0</v>
      </c>
      <c r="D1342" s="4" t="b">
        <v>0</v>
      </c>
      <c r="E1342" s="4" t="b">
        <v>1</v>
      </c>
      <c r="F1342" s="4"/>
      <c r="G1342" s="4" t="b">
        <f t="shared" si="20"/>
        <v>0</v>
      </c>
      <c r="H1342" s="4"/>
      <c r="I1342" s="4"/>
      <c r="J1342" s="4" t="s">
        <v>94</v>
      </c>
      <c r="K1342"/>
    </row>
    <row r="1343" spans="1:11" ht="16" hidden="1" x14ac:dyDescent="0.2">
      <c r="A1343" s="6" t="s">
        <v>2730</v>
      </c>
      <c r="B1343" s="6" t="s">
        <v>2731</v>
      </c>
      <c r="C1343" s="4" t="b">
        <v>0</v>
      </c>
      <c r="D1343" s="4" t="b">
        <v>0</v>
      </c>
      <c r="E1343" s="4" t="b">
        <v>0</v>
      </c>
      <c r="F1343" s="4"/>
      <c r="G1343" s="4" t="b">
        <f t="shared" si="20"/>
        <v>0</v>
      </c>
      <c r="H1343" s="4"/>
      <c r="I1343" s="4"/>
      <c r="J1343" s="4" t="s">
        <v>94</v>
      </c>
      <c r="K1343"/>
    </row>
    <row r="1344" spans="1:11" ht="16" hidden="1" x14ac:dyDescent="0.2">
      <c r="A1344" s="6" t="s">
        <v>2732</v>
      </c>
      <c r="B1344" s="6" t="s">
        <v>2733</v>
      </c>
      <c r="C1344" s="4" t="b">
        <v>0</v>
      </c>
      <c r="D1344" s="4" t="b">
        <v>0</v>
      </c>
      <c r="E1344" s="4" t="b">
        <v>0</v>
      </c>
      <c r="F1344" s="4"/>
      <c r="G1344" s="4" t="b">
        <f t="shared" si="20"/>
        <v>0</v>
      </c>
      <c r="H1344" s="4"/>
      <c r="I1344" s="4"/>
      <c r="J1344" s="4" t="s">
        <v>94</v>
      </c>
      <c r="K1344"/>
    </row>
    <row r="1345" spans="1:11" ht="16" hidden="1" x14ac:dyDescent="0.2">
      <c r="A1345" s="6" t="s">
        <v>2734</v>
      </c>
      <c r="B1345" s="6" t="s">
        <v>2735</v>
      </c>
      <c r="C1345" s="4" t="b">
        <v>0</v>
      </c>
      <c r="D1345" s="4" t="b">
        <v>0</v>
      </c>
      <c r="E1345" s="4" t="b">
        <v>0</v>
      </c>
      <c r="F1345" s="4"/>
      <c r="G1345" s="4" t="b">
        <f t="shared" si="20"/>
        <v>0</v>
      </c>
      <c r="H1345" s="4"/>
      <c r="I1345" s="4"/>
      <c r="J1345" s="4" t="s">
        <v>94</v>
      </c>
      <c r="K1345"/>
    </row>
    <row r="1346" spans="1:11" ht="16" hidden="1" x14ac:dyDescent="0.2">
      <c r="A1346" s="6" t="s">
        <v>2736</v>
      </c>
      <c r="B1346" s="6" t="s">
        <v>2737</v>
      </c>
      <c r="C1346" s="4" t="b">
        <v>0</v>
      </c>
      <c r="D1346" s="4" t="b">
        <v>0</v>
      </c>
      <c r="E1346" s="4" t="b">
        <v>0</v>
      </c>
      <c r="F1346" s="4"/>
      <c r="G1346" s="4" t="b">
        <f t="shared" ref="G1346:G1402" si="21">IF(F1346="✔", TRUE, FALSE)</f>
        <v>0</v>
      </c>
      <c r="H1346" s="4"/>
      <c r="I1346" s="4"/>
      <c r="J1346" s="4" t="s">
        <v>94</v>
      </c>
      <c r="K1346"/>
    </row>
    <row r="1347" spans="1:11" ht="16" hidden="1" x14ac:dyDescent="0.2">
      <c r="A1347" s="6" t="s">
        <v>2738</v>
      </c>
      <c r="B1347" s="6" t="s">
        <v>2739</v>
      </c>
      <c r="C1347" s="4" t="b">
        <v>0</v>
      </c>
      <c r="D1347" s="4" t="b">
        <v>0</v>
      </c>
      <c r="E1347" s="4" t="b">
        <v>1</v>
      </c>
      <c r="F1347" s="4"/>
      <c r="G1347" s="4" t="b">
        <f t="shared" si="21"/>
        <v>0</v>
      </c>
      <c r="H1347" s="4"/>
      <c r="I1347" s="4"/>
      <c r="J1347" s="4" t="s">
        <v>94</v>
      </c>
      <c r="K1347"/>
    </row>
    <row r="1348" spans="1:11" ht="16" hidden="1" x14ac:dyDescent="0.2">
      <c r="A1348" s="6" t="s">
        <v>2740</v>
      </c>
      <c r="B1348" s="6" t="s">
        <v>2741</v>
      </c>
      <c r="C1348" s="4" t="b">
        <v>0</v>
      </c>
      <c r="D1348" s="4" t="b">
        <v>0</v>
      </c>
      <c r="E1348" s="4" t="b">
        <v>1</v>
      </c>
      <c r="F1348" s="4"/>
      <c r="G1348" s="4" t="b">
        <f t="shared" si="21"/>
        <v>0</v>
      </c>
      <c r="H1348" s="4"/>
      <c r="I1348" s="4"/>
      <c r="J1348" s="4" t="s">
        <v>94</v>
      </c>
      <c r="K1348"/>
    </row>
    <row r="1349" spans="1:11" ht="32" x14ac:dyDescent="0.2">
      <c r="A1349" s="6" t="s">
        <v>2742</v>
      </c>
      <c r="B1349" s="6" t="s">
        <v>2743</v>
      </c>
      <c r="C1349" s="4" t="b">
        <v>1</v>
      </c>
      <c r="D1349" s="4" t="b">
        <v>0</v>
      </c>
      <c r="E1349" s="4" t="b">
        <v>1</v>
      </c>
      <c r="F1349" s="4" t="s">
        <v>12</v>
      </c>
      <c r="G1349" s="4" t="b">
        <f t="shared" si="21"/>
        <v>1</v>
      </c>
      <c r="H1349" s="4" t="s">
        <v>2926</v>
      </c>
      <c r="I1349" s="4"/>
      <c r="J1349" s="4" t="s">
        <v>94</v>
      </c>
    </row>
    <row r="1350" spans="1:11" ht="48" x14ac:dyDescent="0.2">
      <c r="A1350" s="6" t="s">
        <v>2744</v>
      </c>
      <c r="B1350" s="6" t="s">
        <v>2745</v>
      </c>
      <c r="C1350" s="4" t="b">
        <v>1</v>
      </c>
      <c r="D1350" s="4" t="b">
        <v>0</v>
      </c>
      <c r="E1350" s="4" t="b">
        <v>1</v>
      </c>
      <c r="F1350" s="4" t="s">
        <v>12</v>
      </c>
      <c r="G1350" s="4" t="b">
        <f t="shared" si="21"/>
        <v>1</v>
      </c>
      <c r="H1350" s="4" t="s">
        <v>2925</v>
      </c>
      <c r="I1350" s="4"/>
      <c r="J1350" s="4" t="s">
        <v>94</v>
      </c>
    </row>
    <row r="1351" spans="1:11" ht="16" hidden="1" x14ac:dyDescent="0.2">
      <c r="A1351" s="6" t="s">
        <v>2746</v>
      </c>
      <c r="B1351" s="6" t="s">
        <v>2747</v>
      </c>
      <c r="C1351" s="4" t="b">
        <v>0</v>
      </c>
      <c r="D1351" s="4" t="b">
        <v>0</v>
      </c>
      <c r="E1351" s="4" t="b">
        <v>0</v>
      </c>
      <c r="F1351" s="4"/>
      <c r="G1351" s="4" t="b">
        <f t="shared" si="21"/>
        <v>0</v>
      </c>
      <c r="H1351" s="4"/>
      <c r="I1351" s="4"/>
      <c r="J1351" s="4" t="s">
        <v>94</v>
      </c>
      <c r="K1351"/>
    </row>
    <row r="1352" spans="1:11" ht="16" hidden="1" x14ac:dyDescent="0.2">
      <c r="A1352" s="6" t="s">
        <v>2748</v>
      </c>
      <c r="B1352" s="6" t="s">
        <v>2749</v>
      </c>
      <c r="C1352" s="4" t="b">
        <v>0</v>
      </c>
      <c r="D1352" s="4" t="b">
        <v>0</v>
      </c>
      <c r="E1352" s="4" t="b">
        <v>0</v>
      </c>
      <c r="F1352" s="4"/>
      <c r="G1352" s="4" t="b">
        <f t="shared" si="21"/>
        <v>0</v>
      </c>
      <c r="H1352" s="4"/>
      <c r="I1352" s="4"/>
      <c r="J1352" s="4" t="s">
        <v>94</v>
      </c>
      <c r="K1352"/>
    </row>
    <row r="1353" spans="1:11" ht="16" hidden="1" x14ac:dyDescent="0.2">
      <c r="A1353" s="6" t="s">
        <v>2750</v>
      </c>
      <c r="B1353" s="6" t="s">
        <v>2751</v>
      </c>
      <c r="C1353" s="4" t="b">
        <v>0</v>
      </c>
      <c r="D1353" s="4" t="b">
        <v>0</v>
      </c>
      <c r="E1353" s="4" t="b">
        <v>0</v>
      </c>
      <c r="F1353" s="4"/>
      <c r="G1353" s="4" t="b">
        <f t="shared" si="21"/>
        <v>0</v>
      </c>
      <c r="H1353" s="4"/>
      <c r="I1353" s="4"/>
      <c r="J1353" s="4" t="s">
        <v>94</v>
      </c>
      <c r="K1353"/>
    </row>
    <row r="1354" spans="1:11" ht="16" hidden="1" x14ac:dyDescent="0.2">
      <c r="A1354" s="6" t="s">
        <v>2752</v>
      </c>
      <c r="B1354" s="6" t="s">
        <v>2753</v>
      </c>
      <c r="C1354" s="4" t="b">
        <v>0</v>
      </c>
      <c r="D1354" s="4" t="b">
        <v>0</v>
      </c>
      <c r="E1354" s="4" t="b">
        <v>0</v>
      </c>
      <c r="F1354" s="4"/>
      <c r="G1354" s="4" t="b">
        <f t="shared" si="21"/>
        <v>0</v>
      </c>
      <c r="H1354" s="4"/>
      <c r="I1354" s="4"/>
      <c r="J1354" s="4" t="s">
        <v>94</v>
      </c>
      <c r="K1354"/>
    </row>
    <row r="1355" spans="1:11" ht="16" x14ac:dyDescent="0.2">
      <c r="A1355" s="6" t="s">
        <v>2754</v>
      </c>
      <c r="B1355" s="6" t="s">
        <v>2755</v>
      </c>
      <c r="C1355" s="4" t="b">
        <v>1</v>
      </c>
      <c r="D1355" s="4" t="b">
        <v>0</v>
      </c>
      <c r="E1355" s="4" t="b">
        <v>1</v>
      </c>
      <c r="F1355" s="4" t="s">
        <v>12</v>
      </c>
      <c r="G1355" s="4" t="b">
        <f t="shared" si="21"/>
        <v>1</v>
      </c>
      <c r="H1355" s="4" t="s">
        <v>2924</v>
      </c>
      <c r="I1355" s="4"/>
      <c r="J1355" s="4" t="s">
        <v>94</v>
      </c>
    </row>
    <row r="1356" spans="1:11" ht="16" hidden="1" x14ac:dyDescent="0.2">
      <c r="A1356" s="6" t="s">
        <v>2756</v>
      </c>
      <c r="B1356" s="6" t="s">
        <v>2757</v>
      </c>
      <c r="C1356" s="4" t="b">
        <v>0</v>
      </c>
      <c r="D1356" s="4" t="b">
        <v>0</v>
      </c>
      <c r="E1356" s="4" t="b">
        <v>0</v>
      </c>
      <c r="F1356" s="4"/>
      <c r="G1356" s="4" t="b">
        <f t="shared" si="21"/>
        <v>0</v>
      </c>
      <c r="H1356" s="4"/>
      <c r="I1356" s="4"/>
      <c r="J1356" s="4" t="s">
        <v>20</v>
      </c>
      <c r="K1356"/>
    </row>
    <row r="1357" spans="1:11" ht="16" hidden="1" x14ac:dyDescent="0.2">
      <c r="A1357" s="6" t="s">
        <v>2758</v>
      </c>
      <c r="B1357" s="6" t="s">
        <v>2759</v>
      </c>
      <c r="C1357" s="4" t="b">
        <v>0</v>
      </c>
      <c r="D1357" s="4" t="b">
        <v>0</v>
      </c>
      <c r="E1357" s="4" t="b">
        <v>0</v>
      </c>
      <c r="F1357" s="4"/>
      <c r="G1357" s="4" t="b">
        <f t="shared" si="21"/>
        <v>0</v>
      </c>
      <c r="H1357" s="4"/>
      <c r="I1357" s="4"/>
      <c r="J1357" s="4" t="s">
        <v>20</v>
      </c>
      <c r="K1357"/>
    </row>
    <row r="1358" spans="1:11" ht="16" hidden="1" x14ac:dyDescent="0.2">
      <c r="A1358" s="6" t="s">
        <v>2760</v>
      </c>
      <c r="B1358" s="6" t="s">
        <v>2761</v>
      </c>
      <c r="C1358" s="4" t="b">
        <v>0</v>
      </c>
      <c r="D1358" s="4" t="b">
        <v>0</v>
      </c>
      <c r="E1358" s="4" t="b">
        <v>0</v>
      </c>
      <c r="F1358" s="4"/>
      <c r="G1358" s="4" t="b">
        <f t="shared" si="21"/>
        <v>0</v>
      </c>
      <c r="H1358" s="4"/>
      <c r="I1358" s="4"/>
      <c r="J1358" s="4" t="s">
        <v>20</v>
      </c>
      <c r="K1358"/>
    </row>
    <row r="1359" spans="1:11" ht="16" hidden="1" x14ac:dyDescent="0.2">
      <c r="A1359" s="6" t="s">
        <v>2762</v>
      </c>
      <c r="B1359" s="6" t="s">
        <v>2763</v>
      </c>
      <c r="C1359" s="4" t="b">
        <v>0</v>
      </c>
      <c r="D1359" s="4" t="b">
        <v>0</v>
      </c>
      <c r="E1359" s="4" t="b">
        <v>1</v>
      </c>
      <c r="F1359" s="4"/>
      <c r="G1359" s="4" t="b">
        <f t="shared" si="21"/>
        <v>0</v>
      </c>
      <c r="H1359" s="4"/>
      <c r="I1359" s="4"/>
      <c r="J1359" s="4" t="s">
        <v>20</v>
      </c>
      <c r="K1359"/>
    </row>
    <row r="1360" spans="1:11" ht="16" hidden="1" x14ac:dyDescent="0.2">
      <c r="A1360" s="6" t="s">
        <v>2764</v>
      </c>
      <c r="B1360" s="6" t="s">
        <v>2765</v>
      </c>
      <c r="C1360" s="4" t="b">
        <v>0</v>
      </c>
      <c r="D1360" s="4" t="b">
        <v>0</v>
      </c>
      <c r="E1360" s="4" t="b">
        <v>1</v>
      </c>
      <c r="F1360" s="4"/>
      <c r="G1360" s="4" t="b">
        <f t="shared" si="21"/>
        <v>0</v>
      </c>
      <c r="H1360" s="4"/>
      <c r="I1360" s="4"/>
      <c r="J1360" s="4" t="s">
        <v>20</v>
      </c>
      <c r="K1360"/>
    </row>
    <row r="1361" spans="1:11" ht="16" hidden="1" x14ac:dyDescent="0.2">
      <c r="A1361" s="6" t="s">
        <v>2766</v>
      </c>
      <c r="B1361" s="6" t="s">
        <v>2767</v>
      </c>
      <c r="C1361" s="4" t="b">
        <v>0</v>
      </c>
      <c r="D1361" s="4" t="b">
        <v>0</v>
      </c>
      <c r="E1361" s="4" t="b">
        <v>1</v>
      </c>
      <c r="F1361" s="4"/>
      <c r="G1361" s="4" t="b">
        <f t="shared" si="21"/>
        <v>0</v>
      </c>
      <c r="H1361" s="4"/>
      <c r="I1361" s="4"/>
      <c r="J1361" s="4" t="s">
        <v>20</v>
      </c>
      <c r="K1361"/>
    </row>
    <row r="1362" spans="1:11" ht="16" hidden="1" x14ac:dyDescent="0.2">
      <c r="A1362" s="6" t="s">
        <v>2768</v>
      </c>
      <c r="B1362" s="6" t="s">
        <v>2769</v>
      </c>
      <c r="C1362" s="4" t="b">
        <v>0</v>
      </c>
      <c r="D1362" s="4" t="b">
        <v>0</v>
      </c>
      <c r="E1362" s="4" t="b">
        <v>0</v>
      </c>
      <c r="F1362" s="4"/>
      <c r="G1362" s="4" t="b">
        <f t="shared" si="21"/>
        <v>0</v>
      </c>
      <c r="H1362" s="4"/>
      <c r="I1362" s="4"/>
      <c r="J1362" s="4" t="s">
        <v>20</v>
      </c>
      <c r="K1362"/>
    </row>
    <row r="1363" spans="1:11" ht="16" hidden="1" x14ac:dyDescent="0.2">
      <c r="A1363" s="6" t="s">
        <v>2770</v>
      </c>
      <c r="B1363" s="6" t="s">
        <v>2771</v>
      </c>
      <c r="C1363" s="4" t="b">
        <v>0</v>
      </c>
      <c r="D1363" s="4" t="b">
        <v>0</v>
      </c>
      <c r="E1363" s="4" t="b">
        <v>0</v>
      </c>
      <c r="F1363" s="4"/>
      <c r="G1363" s="4" t="b">
        <f t="shared" si="21"/>
        <v>0</v>
      </c>
      <c r="H1363" s="4"/>
      <c r="I1363" s="4"/>
      <c r="J1363" s="4" t="s">
        <v>20</v>
      </c>
      <c r="K1363"/>
    </row>
    <row r="1364" spans="1:11" ht="16" hidden="1" x14ac:dyDescent="0.2">
      <c r="A1364" s="6" t="s">
        <v>2772</v>
      </c>
      <c r="B1364" s="6" t="s">
        <v>2773</v>
      </c>
      <c r="C1364" s="4" t="b">
        <v>0</v>
      </c>
      <c r="D1364" s="4" t="b">
        <v>0</v>
      </c>
      <c r="E1364" s="4" t="b">
        <v>0</v>
      </c>
      <c r="F1364" s="4"/>
      <c r="G1364" s="4" t="b">
        <f t="shared" si="21"/>
        <v>0</v>
      </c>
      <c r="H1364" s="4"/>
      <c r="I1364" s="4"/>
      <c r="J1364" s="4" t="s">
        <v>20</v>
      </c>
      <c r="K1364"/>
    </row>
    <row r="1365" spans="1:11" ht="16" hidden="1" x14ac:dyDescent="0.2">
      <c r="A1365" s="6" t="s">
        <v>2774</v>
      </c>
      <c r="B1365" s="6" t="s">
        <v>2775</v>
      </c>
      <c r="C1365" s="4" t="b">
        <v>0</v>
      </c>
      <c r="D1365" s="4" t="b">
        <v>0</v>
      </c>
      <c r="E1365" s="4" t="b">
        <v>1</v>
      </c>
      <c r="F1365" s="4"/>
      <c r="G1365" s="4" t="b">
        <f t="shared" si="21"/>
        <v>0</v>
      </c>
      <c r="H1365" s="4"/>
      <c r="I1365" s="4"/>
      <c r="J1365" s="4" t="s">
        <v>20</v>
      </c>
      <c r="K1365"/>
    </row>
    <row r="1366" spans="1:11" ht="16" hidden="1" x14ac:dyDescent="0.2">
      <c r="A1366" s="6" t="s">
        <v>2776</v>
      </c>
      <c r="B1366" s="6" t="s">
        <v>2777</v>
      </c>
      <c r="C1366" s="4" t="b">
        <v>0</v>
      </c>
      <c r="D1366" s="4" t="b">
        <v>0</v>
      </c>
      <c r="E1366" s="4" t="b">
        <v>1</v>
      </c>
      <c r="F1366" s="4" t="s">
        <v>12</v>
      </c>
      <c r="G1366" s="4" t="b">
        <f t="shared" si="21"/>
        <v>1</v>
      </c>
      <c r="H1366" s="4" t="s">
        <v>2923</v>
      </c>
      <c r="I1366" s="4"/>
      <c r="J1366" s="4" t="s">
        <v>20</v>
      </c>
      <c r="K1366"/>
    </row>
    <row r="1367" spans="1:11" ht="16" hidden="1" x14ac:dyDescent="0.2">
      <c r="A1367" s="6" t="s">
        <v>2778</v>
      </c>
      <c r="B1367" s="6" t="s">
        <v>2779</v>
      </c>
      <c r="C1367" s="4" t="b">
        <v>0</v>
      </c>
      <c r="D1367" s="4" t="b">
        <v>0</v>
      </c>
      <c r="E1367" s="4" t="b">
        <v>0</v>
      </c>
      <c r="F1367" s="4"/>
      <c r="G1367" s="4" t="b">
        <f t="shared" si="21"/>
        <v>0</v>
      </c>
      <c r="H1367" s="4"/>
      <c r="I1367" s="4"/>
      <c r="J1367" s="4" t="s">
        <v>20</v>
      </c>
      <c r="K1367"/>
    </row>
    <row r="1368" spans="1:11" ht="240" x14ac:dyDescent="0.2">
      <c r="A1368" s="6" t="s">
        <v>2780</v>
      </c>
      <c r="B1368" s="6" t="s">
        <v>2781</v>
      </c>
      <c r="C1368" s="4" t="b">
        <v>1</v>
      </c>
      <c r="D1368" s="4" t="b">
        <v>1</v>
      </c>
      <c r="E1368" s="4" t="b">
        <v>1</v>
      </c>
      <c r="F1368" s="4" t="s">
        <v>12</v>
      </c>
      <c r="G1368" s="4" t="b">
        <f t="shared" si="21"/>
        <v>1</v>
      </c>
      <c r="H1368" s="4" t="s">
        <v>2922</v>
      </c>
      <c r="I1368" s="4"/>
      <c r="J1368" s="4" t="s">
        <v>20</v>
      </c>
    </row>
    <row r="1369" spans="1:11" ht="16" hidden="1" x14ac:dyDescent="0.2">
      <c r="A1369" s="6" t="s">
        <v>2782</v>
      </c>
      <c r="B1369" s="6" t="s">
        <v>2783</v>
      </c>
      <c r="C1369" s="4" t="b">
        <v>0</v>
      </c>
      <c r="D1369" s="4" t="b">
        <v>0</v>
      </c>
      <c r="E1369" s="4" t="b">
        <v>1</v>
      </c>
      <c r="F1369" s="4"/>
      <c r="G1369" s="4" t="b">
        <f t="shared" si="21"/>
        <v>0</v>
      </c>
      <c r="H1369" s="4"/>
      <c r="I1369" s="4"/>
      <c r="J1369" s="4" t="s">
        <v>20</v>
      </c>
      <c r="K1369"/>
    </row>
    <row r="1370" spans="1:11" ht="16" hidden="1" x14ac:dyDescent="0.2">
      <c r="A1370" s="6" t="s">
        <v>2784</v>
      </c>
      <c r="B1370" s="6" t="s">
        <v>2785</v>
      </c>
      <c r="C1370" s="4" t="b">
        <v>0</v>
      </c>
      <c r="D1370" s="4" t="b">
        <v>0</v>
      </c>
      <c r="E1370" s="4" t="b">
        <v>0</v>
      </c>
      <c r="F1370" s="4"/>
      <c r="G1370" s="4" t="b">
        <f t="shared" si="21"/>
        <v>0</v>
      </c>
      <c r="H1370" s="4"/>
      <c r="I1370" s="4"/>
      <c r="J1370" s="4" t="s">
        <v>20</v>
      </c>
      <c r="K1370"/>
    </row>
    <row r="1371" spans="1:11" ht="16" hidden="1" x14ac:dyDescent="0.2">
      <c r="A1371" s="6" t="s">
        <v>2786</v>
      </c>
      <c r="B1371" s="6" t="s">
        <v>2787</v>
      </c>
      <c r="C1371" s="4" t="b">
        <v>0</v>
      </c>
      <c r="D1371" s="4" t="b">
        <v>0</v>
      </c>
      <c r="E1371" s="4" t="b">
        <v>0</v>
      </c>
      <c r="F1371" s="4"/>
      <c r="G1371" s="4" t="b">
        <f t="shared" si="21"/>
        <v>0</v>
      </c>
      <c r="H1371" s="4"/>
      <c r="I1371" s="4"/>
      <c r="J1371" s="4" t="s">
        <v>20</v>
      </c>
      <c r="K1371"/>
    </row>
    <row r="1372" spans="1:11" ht="16" hidden="1" x14ac:dyDescent="0.2">
      <c r="A1372" s="6" t="s">
        <v>2788</v>
      </c>
      <c r="B1372" s="6" t="s">
        <v>2789</v>
      </c>
      <c r="C1372" s="4" t="b">
        <v>0</v>
      </c>
      <c r="D1372" s="4" t="b">
        <v>0</v>
      </c>
      <c r="E1372" s="4" t="b">
        <v>0</v>
      </c>
      <c r="F1372" s="4"/>
      <c r="G1372" s="4" t="b">
        <f t="shared" si="21"/>
        <v>0</v>
      </c>
      <c r="H1372" s="4"/>
      <c r="I1372" s="4"/>
      <c r="J1372" s="4" t="s">
        <v>20</v>
      </c>
      <c r="K1372"/>
    </row>
    <row r="1373" spans="1:11" ht="16" hidden="1" x14ac:dyDescent="0.2">
      <c r="A1373" s="6" t="s">
        <v>2790</v>
      </c>
      <c r="B1373" s="6" t="s">
        <v>2791</v>
      </c>
      <c r="C1373" s="4" t="b">
        <v>0</v>
      </c>
      <c r="D1373" s="4" t="b">
        <v>0</v>
      </c>
      <c r="E1373" s="4" t="b">
        <v>1</v>
      </c>
      <c r="F1373" s="4"/>
      <c r="G1373" s="4" t="b">
        <f t="shared" si="21"/>
        <v>0</v>
      </c>
      <c r="H1373" s="4"/>
      <c r="I1373" s="4"/>
      <c r="J1373" s="4" t="s">
        <v>20</v>
      </c>
      <c r="K1373"/>
    </row>
    <row r="1374" spans="1:11" ht="16" hidden="1" x14ac:dyDescent="0.2">
      <c r="A1374" s="6" t="s">
        <v>2792</v>
      </c>
      <c r="B1374" s="6" t="s">
        <v>2793</v>
      </c>
      <c r="C1374" s="4" t="b">
        <v>0</v>
      </c>
      <c r="D1374" s="4" t="b">
        <v>0</v>
      </c>
      <c r="E1374" s="4" t="b">
        <v>1</v>
      </c>
      <c r="F1374" s="4"/>
      <c r="G1374" s="4" t="b">
        <f t="shared" si="21"/>
        <v>0</v>
      </c>
      <c r="H1374" s="4"/>
      <c r="I1374" s="4"/>
      <c r="J1374" s="4" t="s">
        <v>621</v>
      </c>
      <c r="K1374"/>
    </row>
    <row r="1375" spans="1:11" ht="16" hidden="1" x14ac:dyDescent="0.2">
      <c r="A1375" s="6" t="s">
        <v>2794</v>
      </c>
      <c r="B1375" s="6" t="s">
        <v>2795</v>
      </c>
      <c r="C1375" s="4" t="b">
        <v>0</v>
      </c>
      <c r="D1375" s="4" t="b">
        <v>0</v>
      </c>
      <c r="E1375" s="4" t="b">
        <v>1</v>
      </c>
      <c r="F1375" s="4"/>
      <c r="G1375" s="4" t="b">
        <f t="shared" si="21"/>
        <v>0</v>
      </c>
      <c r="H1375" s="4"/>
      <c r="I1375" s="4"/>
      <c r="J1375" s="4" t="s">
        <v>621</v>
      </c>
      <c r="K1375"/>
    </row>
    <row r="1376" spans="1:11" ht="16" hidden="1" x14ac:dyDescent="0.2">
      <c r="A1376" s="6" t="s">
        <v>2796</v>
      </c>
      <c r="B1376" s="6" t="s">
        <v>2797</v>
      </c>
      <c r="C1376" s="4" t="b">
        <v>0</v>
      </c>
      <c r="D1376" s="4" t="b">
        <v>0</v>
      </c>
      <c r="E1376" s="4" t="b">
        <v>1</v>
      </c>
      <c r="F1376" s="4"/>
      <c r="G1376" s="4" t="b">
        <f t="shared" si="21"/>
        <v>0</v>
      </c>
      <c r="H1376" s="4"/>
      <c r="I1376" s="4"/>
      <c r="J1376" s="4" t="s">
        <v>621</v>
      </c>
      <c r="K1376"/>
    </row>
    <row r="1377" spans="1:11" ht="16" hidden="1" x14ac:dyDescent="0.2">
      <c r="A1377" s="6" t="s">
        <v>2798</v>
      </c>
      <c r="B1377" s="6" t="s">
        <v>2799</v>
      </c>
      <c r="C1377" s="4" t="b">
        <v>0</v>
      </c>
      <c r="D1377" s="4" t="b">
        <v>0</v>
      </c>
      <c r="E1377" s="4" t="b">
        <v>1</v>
      </c>
      <c r="F1377" s="4"/>
      <c r="G1377" s="4" t="b">
        <f t="shared" si="21"/>
        <v>0</v>
      </c>
      <c r="H1377" s="4"/>
      <c r="I1377" s="4"/>
      <c r="J1377" s="4" t="s">
        <v>621</v>
      </c>
      <c r="K1377"/>
    </row>
    <row r="1378" spans="1:11" ht="16" hidden="1" x14ac:dyDescent="0.2">
      <c r="A1378" s="6" t="s">
        <v>2800</v>
      </c>
      <c r="B1378" s="6" t="s">
        <v>2801</v>
      </c>
      <c r="C1378" s="4" t="b">
        <v>0</v>
      </c>
      <c r="D1378" s="4" t="b">
        <v>0</v>
      </c>
      <c r="E1378" s="4" t="b">
        <v>1</v>
      </c>
      <c r="F1378" s="4"/>
      <c r="G1378" s="4" t="b">
        <f t="shared" si="21"/>
        <v>0</v>
      </c>
      <c r="H1378" s="4"/>
      <c r="I1378" s="4"/>
      <c r="J1378" s="4" t="s">
        <v>621</v>
      </c>
      <c r="K1378"/>
    </row>
    <row r="1379" spans="1:11" ht="32" x14ac:dyDescent="0.2">
      <c r="A1379" s="6" t="s">
        <v>2802</v>
      </c>
      <c r="B1379" s="6" t="s">
        <v>2803</v>
      </c>
      <c r="C1379" s="4" t="b">
        <v>1</v>
      </c>
      <c r="D1379" s="4" t="b">
        <v>0</v>
      </c>
      <c r="E1379" s="4" t="b">
        <v>1</v>
      </c>
      <c r="F1379" s="4" t="s">
        <v>12</v>
      </c>
      <c r="G1379" s="4" t="b">
        <f t="shared" si="21"/>
        <v>1</v>
      </c>
      <c r="H1379" s="4" t="s">
        <v>2921</v>
      </c>
      <c r="I1379" s="4"/>
      <c r="J1379" s="4" t="s">
        <v>621</v>
      </c>
    </row>
    <row r="1380" spans="1:11" ht="16" hidden="1" x14ac:dyDescent="0.2">
      <c r="A1380" s="6" t="s">
        <v>2804</v>
      </c>
      <c r="B1380" s="6" t="s">
        <v>2805</v>
      </c>
      <c r="C1380" s="4" t="b">
        <v>1</v>
      </c>
      <c r="D1380" s="4" t="b">
        <v>0</v>
      </c>
      <c r="E1380" s="4" t="b">
        <v>0</v>
      </c>
      <c r="F1380" s="4"/>
      <c r="G1380" s="4" t="b">
        <f t="shared" si="21"/>
        <v>0</v>
      </c>
      <c r="H1380" s="4"/>
      <c r="I1380" s="4"/>
      <c r="J1380" s="4" t="s">
        <v>621</v>
      </c>
      <c r="K1380"/>
    </row>
    <row r="1381" spans="1:11" ht="16" hidden="1" x14ac:dyDescent="0.2">
      <c r="A1381" s="6" t="s">
        <v>2806</v>
      </c>
      <c r="B1381" s="6" t="s">
        <v>2807</v>
      </c>
      <c r="C1381" s="4" t="b">
        <v>0</v>
      </c>
      <c r="D1381" s="4" t="b">
        <v>0</v>
      </c>
      <c r="E1381" s="4" t="b">
        <v>1</v>
      </c>
      <c r="F1381" s="4" t="s">
        <v>12</v>
      </c>
      <c r="G1381" s="4" t="b">
        <f t="shared" si="21"/>
        <v>1</v>
      </c>
      <c r="H1381" s="4"/>
      <c r="I1381" s="4"/>
      <c r="J1381" s="4" t="s">
        <v>621</v>
      </c>
      <c r="K1381"/>
    </row>
    <row r="1382" spans="1:11" ht="16" hidden="1" x14ac:dyDescent="0.2">
      <c r="A1382" s="6" t="s">
        <v>2808</v>
      </c>
      <c r="B1382" s="6" t="s">
        <v>2809</v>
      </c>
      <c r="C1382" s="4" t="b">
        <v>0</v>
      </c>
      <c r="D1382" s="4" t="b">
        <v>0</v>
      </c>
      <c r="E1382" s="4" t="b">
        <v>0</v>
      </c>
      <c r="F1382" s="4"/>
      <c r="G1382" s="4" t="b">
        <f t="shared" si="21"/>
        <v>0</v>
      </c>
      <c r="H1382" s="4"/>
      <c r="I1382" s="4"/>
      <c r="J1382" s="4" t="s">
        <v>621</v>
      </c>
      <c r="K1382"/>
    </row>
    <row r="1383" spans="1:11" ht="16" x14ac:dyDescent="0.2">
      <c r="A1383" s="6" t="s">
        <v>2810</v>
      </c>
      <c r="B1383" s="6" t="s">
        <v>2811</v>
      </c>
      <c r="C1383" s="4" t="b">
        <v>1</v>
      </c>
      <c r="D1383" s="4" t="b">
        <v>0</v>
      </c>
      <c r="E1383" s="4" t="b">
        <v>1</v>
      </c>
      <c r="F1383" s="4" t="s">
        <v>12</v>
      </c>
      <c r="G1383" s="4" t="b">
        <f t="shared" si="21"/>
        <v>1</v>
      </c>
      <c r="H1383" s="4" t="s">
        <v>2920</v>
      </c>
      <c r="I1383" s="4"/>
      <c r="J1383" s="4" t="s">
        <v>621</v>
      </c>
    </row>
    <row r="1384" spans="1:11" ht="16" hidden="1" x14ac:dyDescent="0.2">
      <c r="A1384" s="6" t="s">
        <v>2812</v>
      </c>
      <c r="B1384" s="6" t="s">
        <v>2813</v>
      </c>
      <c r="C1384" s="4" t="b">
        <v>0</v>
      </c>
      <c r="D1384" s="4" t="b">
        <v>0</v>
      </c>
      <c r="E1384" s="4" t="b">
        <v>1</v>
      </c>
      <c r="F1384" s="4" t="s">
        <v>12</v>
      </c>
      <c r="G1384" s="4" t="b">
        <f t="shared" si="21"/>
        <v>1</v>
      </c>
      <c r="H1384" s="4" t="s">
        <v>2919</v>
      </c>
      <c r="I1384" s="4"/>
      <c r="J1384" s="4" t="s">
        <v>621</v>
      </c>
      <c r="K1384"/>
    </row>
    <row r="1385" spans="1:11" ht="48" x14ac:dyDescent="0.2">
      <c r="A1385" s="6" t="s">
        <v>2814</v>
      </c>
      <c r="B1385" s="6" t="s">
        <v>2815</v>
      </c>
      <c r="C1385" s="4" t="b">
        <v>1</v>
      </c>
      <c r="D1385" s="4" t="b">
        <v>0</v>
      </c>
      <c r="E1385" s="4" t="b">
        <v>1</v>
      </c>
      <c r="F1385" s="4" t="s">
        <v>12</v>
      </c>
      <c r="G1385" s="4" t="b">
        <f t="shared" si="21"/>
        <v>1</v>
      </c>
      <c r="H1385" s="4" t="s">
        <v>2917</v>
      </c>
      <c r="I1385" s="4"/>
      <c r="J1385" s="4" t="s">
        <v>621</v>
      </c>
    </row>
    <row r="1386" spans="1:11" ht="32" x14ac:dyDescent="0.2">
      <c r="A1386" s="6" t="s">
        <v>2816</v>
      </c>
      <c r="B1386" s="6" t="s">
        <v>2817</v>
      </c>
      <c r="C1386" s="4" t="b">
        <v>1</v>
      </c>
      <c r="D1386" s="4" t="b">
        <v>0</v>
      </c>
      <c r="E1386" s="4" t="b">
        <v>1</v>
      </c>
      <c r="F1386" s="4" t="s">
        <v>12</v>
      </c>
      <c r="G1386" s="4" t="b">
        <f t="shared" si="21"/>
        <v>1</v>
      </c>
      <c r="H1386" s="4" t="s">
        <v>2916</v>
      </c>
      <c r="I1386" s="4"/>
      <c r="J1386" s="4" t="s">
        <v>621</v>
      </c>
    </row>
    <row r="1387" spans="1:11" ht="64" x14ac:dyDescent="0.2">
      <c r="A1387" s="6" t="s">
        <v>2818</v>
      </c>
      <c r="B1387" s="6" t="s">
        <v>2819</v>
      </c>
      <c r="C1387" s="4" t="b">
        <v>1</v>
      </c>
      <c r="D1387" s="4" t="b">
        <v>1</v>
      </c>
      <c r="E1387" s="4" t="b">
        <v>1</v>
      </c>
      <c r="F1387" s="4" t="s">
        <v>12</v>
      </c>
      <c r="G1387" s="4" t="b">
        <f t="shared" si="21"/>
        <v>1</v>
      </c>
      <c r="H1387" s="4" t="s">
        <v>2915</v>
      </c>
      <c r="I1387" s="4"/>
      <c r="J1387" s="4" t="s">
        <v>621</v>
      </c>
    </row>
    <row r="1388" spans="1:11" ht="112" x14ac:dyDescent="0.2">
      <c r="A1388" s="6" t="s">
        <v>2820</v>
      </c>
      <c r="B1388" s="6" t="s">
        <v>2821</v>
      </c>
      <c r="C1388" s="4" t="b">
        <v>1</v>
      </c>
      <c r="D1388" s="4" t="b">
        <v>1</v>
      </c>
      <c r="E1388" s="4" t="b">
        <v>1</v>
      </c>
      <c r="F1388" s="4" t="s">
        <v>12</v>
      </c>
      <c r="G1388" s="4" t="b">
        <f t="shared" si="21"/>
        <v>1</v>
      </c>
      <c r="H1388" s="4" t="s">
        <v>2914</v>
      </c>
      <c r="I1388" s="4"/>
      <c r="J1388" s="4" t="s">
        <v>621</v>
      </c>
    </row>
    <row r="1389" spans="1:11" ht="16" hidden="1" x14ac:dyDescent="0.2">
      <c r="A1389" s="6" t="s">
        <v>2822</v>
      </c>
      <c r="B1389" s="6" t="s">
        <v>2823</v>
      </c>
      <c r="C1389" s="4" t="b">
        <v>0</v>
      </c>
      <c r="D1389" s="4" t="b">
        <v>0</v>
      </c>
      <c r="E1389" s="4" t="b">
        <v>1</v>
      </c>
      <c r="F1389" s="4"/>
      <c r="G1389" s="4" t="b">
        <f t="shared" si="21"/>
        <v>0</v>
      </c>
      <c r="H1389" s="4"/>
      <c r="I1389" s="4"/>
      <c r="J1389" s="4" t="s">
        <v>621</v>
      </c>
      <c r="K1389"/>
    </row>
    <row r="1390" spans="1:11" ht="16" x14ac:dyDescent="0.2">
      <c r="A1390" s="6" t="s">
        <v>2824</v>
      </c>
      <c r="B1390" s="6" t="s">
        <v>2825</v>
      </c>
      <c r="C1390" s="4" t="b">
        <v>1</v>
      </c>
      <c r="D1390" s="4" t="b">
        <v>1</v>
      </c>
      <c r="E1390" s="4" t="b">
        <v>1</v>
      </c>
      <c r="F1390" s="4" t="s">
        <v>12</v>
      </c>
      <c r="G1390" s="4" t="b">
        <f t="shared" si="21"/>
        <v>1</v>
      </c>
      <c r="H1390" s="4" t="s">
        <v>2913</v>
      </c>
      <c r="I1390" s="4"/>
      <c r="J1390" s="4" t="s">
        <v>621</v>
      </c>
    </row>
    <row r="1391" spans="1:11" ht="16" x14ac:dyDescent="0.2">
      <c r="A1391" s="6" t="s">
        <v>2826</v>
      </c>
      <c r="B1391" s="6" t="s">
        <v>2827</v>
      </c>
      <c r="C1391" s="4" t="b">
        <v>1</v>
      </c>
      <c r="D1391" s="4" t="b">
        <v>0</v>
      </c>
      <c r="E1391" s="4" t="b">
        <v>1</v>
      </c>
      <c r="F1391" s="4" t="s">
        <v>12</v>
      </c>
      <c r="G1391" s="4" t="b">
        <f t="shared" si="21"/>
        <v>1</v>
      </c>
      <c r="H1391" s="4" t="s">
        <v>2912</v>
      </c>
      <c r="I1391" s="4"/>
      <c r="J1391" s="4" t="s">
        <v>621</v>
      </c>
    </row>
    <row r="1392" spans="1:11" ht="80" x14ac:dyDescent="0.2">
      <c r="A1392" s="6" t="s">
        <v>2828</v>
      </c>
      <c r="B1392" s="6" t="s">
        <v>2829</v>
      </c>
      <c r="C1392" s="4" t="b">
        <v>1</v>
      </c>
      <c r="D1392" s="4" t="b">
        <v>1</v>
      </c>
      <c r="E1392" s="4" t="b">
        <v>1</v>
      </c>
      <c r="F1392" s="4" t="s">
        <v>12</v>
      </c>
      <c r="G1392" s="4" t="b">
        <f t="shared" si="21"/>
        <v>1</v>
      </c>
      <c r="H1392" s="4" t="s">
        <v>2911</v>
      </c>
      <c r="I1392" s="4"/>
      <c r="J1392" s="4" t="s">
        <v>621</v>
      </c>
    </row>
    <row r="1393" spans="1:11" ht="16" x14ac:dyDescent="0.2">
      <c r="A1393" s="6" t="s">
        <v>2830</v>
      </c>
      <c r="B1393" s="6" t="s">
        <v>2831</v>
      </c>
      <c r="C1393" s="4" t="b">
        <v>1</v>
      </c>
      <c r="D1393" s="4" t="b">
        <v>0</v>
      </c>
      <c r="E1393" s="4" t="b">
        <v>1</v>
      </c>
      <c r="F1393" s="4" t="s">
        <v>12</v>
      </c>
      <c r="G1393" s="4" t="b">
        <f t="shared" si="21"/>
        <v>1</v>
      </c>
      <c r="H1393" s="4" t="s">
        <v>2910</v>
      </c>
      <c r="I1393" s="4"/>
      <c r="J1393" s="4" t="s">
        <v>621</v>
      </c>
    </row>
    <row r="1394" spans="1:11" ht="16" hidden="1" x14ac:dyDescent="0.2">
      <c r="A1394" s="6" t="s">
        <v>2832</v>
      </c>
      <c r="B1394" s="6" t="s">
        <v>2833</v>
      </c>
      <c r="C1394" s="4" t="b">
        <v>0</v>
      </c>
      <c r="D1394" s="4" t="b">
        <v>0</v>
      </c>
      <c r="E1394" s="4" t="b">
        <v>1</v>
      </c>
      <c r="F1394" s="4"/>
      <c r="G1394" s="4" t="b">
        <f t="shared" si="21"/>
        <v>0</v>
      </c>
      <c r="H1394" s="4"/>
      <c r="I1394" s="4"/>
      <c r="J1394" s="4" t="s">
        <v>621</v>
      </c>
      <c r="K1394"/>
    </row>
    <row r="1395" spans="1:11" ht="16" x14ac:dyDescent="0.2">
      <c r="A1395" s="6" t="s">
        <v>2834</v>
      </c>
      <c r="B1395" s="6" t="s">
        <v>2835</v>
      </c>
      <c r="C1395" s="4" t="b">
        <v>1</v>
      </c>
      <c r="D1395" s="4" t="b">
        <v>0</v>
      </c>
      <c r="E1395" s="4" t="b">
        <v>1</v>
      </c>
      <c r="F1395" s="4" t="s">
        <v>12</v>
      </c>
      <c r="G1395" s="4" t="b">
        <f t="shared" si="21"/>
        <v>1</v>
      </c>
      <c r="H1395" s="4" t="s">
        <v>2909</v>
      </c>
      <c r="I1395" s="4"/>
      <c r="J1395" s="4" t="s">
        <v>621</v>
      </c>
    </row>
    <row r="1396" spans="1:11" ht="16" hidden="1" x14ac:dyDescent="0.2">
      <c r="A1396" s="6" t="s">
        <v>2836</v>
      </c>
      <c r="B1396" s="6" t="s">
        <v>2837</v>
      </c>
      <c r="C1396" s="4" t="b">
        <v>0</v>
      </c>
      <c r="D1396" s="4" t="b">
        <v>0</v>
      </c>
      <c r="E1396" s="4" t="b">
        <v>1</v>
      </c>
      <c r="F1396" s="4"/>
      <c r="G1396" s="4" t="b">
        <f t="shared" si="21"/>
        <v>0</v>
      </c>
      <c r="H1396" s="4"/>
      <c r="I1396" s="4"/>
      <c r="J1396" s="4" t="s">
        <v>621</v>
      </c>
      <c r="K1396"/>
    </row>
    <row r="1397" spans="1:11" ht="16" x14ac:dyDescent="0.2">
      <c r="A1397" s="6" t="s">
        <v>2838</v>
      </c>
      <c r="B1397" s="6" t="s">
        <v>2839</v>
      </c>
      <c r="C1397" s="4" t="b">
        <v>1</v>
      </c>
      <c r="D1397" s="4" t="b">
        <v>0</v>
      </c>
      <c r="E1397" s="4" t="b">
        <v>1</v>
      </c>
      <c r="F1397" s="4" t="s">
        <v>12</v>
      </c>
      <c r="G1397" s="4" t="b">
        <f t="shared" si="21"/>
        <v>1</v>
      </c>
      <c r="H1397" s="4" t="s">
        <v>2907</v>
      </c>
      <c r="I1397" s="4"/>
      <c r="J1397" s="4" t="s">
        <v>621</v>
      </c>
    </row>
    <row r="1398" spans="1:11" ht="32" x14ac:dyDescent="0.2">
      <c r="A1398" s="6" t="s">
        <v>2840</v>
      </c>
      <c r="B1398" s="6" t="s">
        <v>2841</v>
      </c>
      <c r="C1398" s="4" t="b">
        <v>1</v>
      </c>
      <c r="D1398" s="4" t="b">
        <v>0</v>
      </c>
      <c r="E1398" s="4" t="b">
        <v>1</v>
      </c>
      <c r="F1398" s="4" t="s">
        <v>12</v>
      </c>
      <c r="G1398" s="4" t="b">
        <f t="shared" si="21"/>
        <v>1</v>
      </c>
      <c r="H1398" s="4" t="s">
        <v>2908</v>
      </c>
      <c r="I1398" s="4"/>
      <c r="J1398" s="4" t="s">
        <v>621</v>
      </c>
    </row>
    <row r="1399" spans="1:11" ht="16" hidden="1" x14ac:dyDescent="0.2">
      <c r="A1399" s="6" t="s">
        <v>2842</v>
      </c>
      <c r="B1399" s="6" t="s">
        <v>2843</v>
      </c>
      <c r="C1399" s="4" t="b">
        <v>0</v>
      </c>
      <c r="D1399" s="4" t="b">
        <v>0</v>
      </c>
      <c r="E1399" s="4" t="b">
        <v>0</v>
      </c>
      <c r="F1399" s="4"/>
      <c r="G1399" s="4" t="b">
        <f t="shared" si="21"/>
        <v>0</v>
      </c>
      <c r="H1399" s="4"/>
      <c r="I1399" s="4"/>
      <c r="J1399" s="4" t="s">
        <v>1451</v>
      </c>
      <c r="K1399"/>
    </row>
    <row r="1400" spans="1:11" ht="16" hidden="1" x14ac:dyDescent="0.2">
      <c r="A1400" s="6" t="s">
        <v>2844</v>
      </c>
      <c r="B1400" s="6" t="s">
        <v>2845</v>
      </c>
      <c r="C1400" s="4" t="b">
        <v>0</v>
      </c>
      <c r="D1400" s="4" t="b">
        <v>0</v>
      </c>
      <c r="E1400" s="4" t="b">
        <v>1</v>
      </c>
      <c r="F1400" s="4"/>
      <c r="G1400" s="4" t="b">
        <f t="shared" si="21"/>
        <v>0</v>
      </c>
      <c r="H1400" s="4"/>
      <c r="I1400" s="4"/>
      <c r="J1400" s="4" t="s">
        <v>1451</v>
      </c>
      <c r="K1400"/>
    </row>
    <row r="1401" spans="1:11" ht="16" hidden="1" x14ac:dyDescent="0.2">
      <c r="A1401" s="6" t="s">
        <v>2846</v>
      </c>
      <c r="B1401" s="6" t="s">
        <v>2847</v>
      </c>
      <c r="C1401" s="4" t="b">
        <v>0</v>
      </c>
      <c r="D1401" s="4" t="b">
        <v>0</v>
      </c>
      <c r="E1401" s="4" t="b">
        <v>1</v>
      </c>
      <c r="F1401" s="4"/>
      <c r="G1401" s="4" t="b">
        <f t="shared" si="21"/>
        <v>0</v>
      </c>
      <c r="H1401" s="4"/>
      <c r="I1401" s="4"/>
      <c r="J1401" s="4" t="s">
        <v>1451</v>
      </c>
      <c r="K1401"/>
    </row>
    <row r="1402" spans="1:11" ht="16" hidden="1" x14ac:dyDescent="0.2">
      <c r="A1402" s="6" t="s">
        <v>2848</v>
      </c>
      <c r="B1402" s="6" t="s">
        <v>2849</v>
      </c>
      <c r="C1402" s="4" t="b">
        <v>0</v>
      </c>
      <c r="D1402" s="4" t="b">
        <v>0</v>
      </c>
      <c r="E1402" s="4" t="b">
        <v>1</v>
      </c>
      <c r="F1402" s="4"/>
      <c r="G1402" s="4" t="b">
        <f t="shared" si="21"/>
        <v>0</v>
      </c>
      <c r="H1402" s="4"/>
      <c r="I1402" s="4"/>
      <c r="J1402" s="4" t="s">
        <v>1451</v>
      </c>
      <c r="K1402"/>
    </row>
    <row r="1404" spans="1:11" s="3" customFormat="1" ht="32" x14ac:dyDescent="0.2">
      <c r="B1404" s="3" t="s">
        <v>2882</v>
      </c>
      <c r="C1404" s="4" t="s">
        <v>2878</v>
      </c>
      <c r="D1404" s="4" t="s">
        <v>2879</v>
      </c>
      <c r="E1404" s="4" t="s">
        <v>2880</v>
      </c>
      <c r="F1404" s="4"/>
      <c r="G1404" s="4" t="s">
        <v>2881</v>
      </c>
      <c r="H1404" s="4"/>
      <c r="I1404" s="4"/>
      <c r="J1404" s="4"/>
      <c r="K1404" s="4"/>
    </row>
    <row r="1405" spans="1:11" s="3" customFormat="1" ht="16" x14ac:dyDescent="0.2">
      <c r="B1405" s="9">
        <f>COUNTIFS(C2:C1402, TRUE, E2:E1402, TRUE)</f>
        <v>495</v>
      </c>
      <c r="C1405" s="4">
        <f>COUNTIF(C2:C1402, TRUE)</f>
        <v>497</v>
      </c>
      <c r="D1405" s="4">
        <f>COUNTIFS(C2:C1402, TRUE, D2:D1402, TRUE, G2:G1402, TRUE, E2:E1402, TRUE)</f>
        <v>125</v>
      </c>
      <c r="E1405" s="4">
        <f>COUNTIF(E2:E1402, TRUE)</f>
        <v>818</v>
      </c>
      <c r="F1405" s="4">
        <f>COUNTIF(F2:F1402, TRUE)</f>
        <v>0</v>
      </c>
      <c r="G1405" s="4">
        <f>COUNTIF(G2:G1402, TRUE)</f>
        <v>593</v>
      </c>
      <c r="H1405" s="4"/>
      <c r="I1405" s="4" t="s">
        <v>2903</v>
      </c>
      <c r="J1405" s="13">
        <f>COUNTIFS(C2:C1402, TRUE, E2:E1402, TRUE, J2:J1402, "Findings")</f>
        <v>165</v>
      </c>
      <c r="K1405" s="4">
        <f>COUNTIFS(C2:C1402, TRUE, E2:E1402, TRUE, G2:G1402, TRUE,  J2:J1402, "Findings")</f>
        <v>165</v>
      </c>
    </row>
    <row r="1406" spans="1:11" s="3" customFormat="1" ht="16" x14ac:dyDescent="0.2">
      <c r="C1406" s="4"/>
      <c r="D1406" s="4">
        <f>D1405/(J1406+K1405)</f>
        <v>0.25252525252525254</v>
      </c>
      <c r="E1406" s="4"/>
      <c r="F1406" s="4"/>
      <c r="G1406" s="4"/>
      <c r="H1406" s="4"/>
      <c r="I1406" s="4" t="s">
        <v>2904</v>
      </c>
      <c r="J1406" s="14">
        <f>B1405-J1405</f>
        <v>330</v>
      </c>
      <c r="K1406" s="4">
        <f>COUNTIFS(C2:C1402, TRUE, E2:E1402, TRUE, J2:J1402, "&lt;&gt;Findings")</f>
        <v>330</v>
      </c>
    </row>
    <row r="1407" spans="1:11" ht="16" x14ac:dyDescent="0.2">
      <c r="I1407" s="11" t="s">
        <v>621</v>
      </c>
      <c r="J1407" s="13">
        <f>COUNTIFS(C2:C1402, TRUE, E2:E1402, TRUE, J2:J1402, "ACL")</f>
        <v>105</v>
      </c>
    </row>
    <row r="1408" spans="1:11" ht="16" x14ac:dyDescent="0.2">
      <c r="I1408" s="11" t="s">
        <v>26</v>
      </c>
      <c r="J1408" s="14">
        <f>COUNTIFS(C2:C1402, TRUE, E2:E1402, TRUE, J2:J1402, "NAACL")</f>
        <v>36</v>
      </c>
    </row>
    <row r="1409" spans="2:10" ht="16" x14ac:dyDescent="0.2">
      <c r="I1409" s="12" t="s">
        <v>94</v>
      </c>
      <c r="J1409" s="15">
        <f>COUNTIFS(C2:C1402, TRUE, E2:E1402, TRUE, J2:J1402, "EMNLP")</f>
        <v>129</v>
      </c>
    </row>
    <row r="1410" spans="2:10" ht="16" x14ac:dyDescent="0.2">
      <c r="B1410" s="3" t="s">
        <v>3019</v>
      </c>
      <c r="C1410" s="4">
        <f>COUNTIFS(C2:C1402, TRUE, E2:E1402, TRUE, G2:G1402, TRUE)</f>
        <v>494</v>
      </c>
      <c r="D1410" s="4">
        <f>C1405/E1405</f>
        <v>0.60757946210268954</v>
      </c>
      <c r="I1410" s="12" t="s">
        <v>1309</v>
      </c>
      <c r="J1410" s="15">
        <f>COUNTIFS(C2:C1402, TRUE, E2:E1402, TRUE, J2:J1402, "EACL")</f>
        <v>9</v>
      </c>
    </row>
    <row r="1411" spans="2:10" ht="16" x14ac:dyDescent="0.2">
      <c r="B1411" s="3" t="s">
        <v>3018</v>
      </c>
      <c r="C1411" s="4">
        <f>COUNTIFS(C2:C1402, TRUE, D2:D1402, TRUE)</f>
        <v>125</v>
      </c>
      <c r="D1411" s="4">
        <f>C1411/C1410</f>
        <v>0.25303643724696356</v>
      </c>
      <c r="I1411" s="12" t="s">
        <v>2005</v>
      </c>
      <c r="J1411" s="15">
        <f>COUNTIFS(C2:C1402, TRUE, E2:E1402, TRUE, J2:J1402, "LREC")</f>
        <v>2</v>
      </c>
    </row>
    <row r="1412" spans="2:10" ht="16" x14ac:dyDescent="0.2">
      <c r="C1412" s="4">
        <f>COUNTIFS(C2:C1402, TRUE, D2:D1402, FALSE, E2:E1402, TRUE, G2:G1402, TRUE)</f>
        <v>369</v>
      </c>
      <c r="I1412" s="12" t="s">
        <v>20</v>
      </c>
      <c r="J1412" s="15">
        <f>COUNTIFS(C2:C1402, TRUE, E2:E1402, TRUE, J2:J1402, "COLING")</f>
        <v>29</v>
      </c>
    </row>
    <row r="1413" spans="2:10" ht="16" x14ac:dyDescent="0.2">
      <c r="I1413" s="12" t="s">
        <v>1336</v>
      </c>
      <c r="J1413" s="15">
        <f>COUNTIFS(C2:C1402, TRUE, E2:E1402, TRUE, J2:J1402, "*Computational Linguistics (CL)*")</f>
        <v>5</v>
      </c>
    </row>
    <row r="1414" spans="2:10" ht="16" x14ac:dyDescent="0.2">
      <c r="C1414" s="4"/>
      <c r="D1414" s="4"/>
      <c r="E1414" s="4"/>
      <c r="I1414" s="12" t="s">
        <v>14</v>
      </c>
      <c r="J1414" s="15">
        <f>COUNTIFS(C2:C1402,TRUE,E2:E1402,TRUE,J2:J1402,"TACL")</f>
        <v>12</v>
      </c>
    </row>
    <row r="1415" spans="2:10" ht="16" x14ac:dyDescent="0.2">
      <c r="I1415" s="12" t="s">
        <v>1451</v>
      </c>
      <c r="J1415" s="15">
        <f>COUNTIFS(C2:C1402,TRUE,E2:E1402,TRUE,J2:J1402,"*AACL/IJCNLP*")</f>
        <v>2</v>
      </c>
    </row>
    <row r="1416" spans="2:10" ht="32" x14ac:dyDescent="0.2">
      <c r="B1416" s="7" t="s">
        <v>3178</v>
      </c>
      <c r="C1416" s="1" t="s">
        <v>3179</v>
      </c>
      <c r="D1416" s="1" t="s">
        <v>3180</v>
      </c>
      <c r="J1416" s="15">
        <f>SUM(J1407:J1415)</f>
        <v>329</v>
      </c>
    </row>
    <row r="1417" spans="2:10" x14ac:dyDescent="0.2">
      <c r="B1417" s="7">
        <v>2020</v>
      </c>
      <c r="C1417" s="8">
        <f>COUNTIFS(C2:C1402, TRUE, E2:E1402, TRUE, G2:G1402, TRUE, A2:A1402,  "*2020*")</f>
        <v>31</v>
      </c>
      <c r="D1417" s="1">
        <f>COUNTIFS(C2:C1402, TRUE, E2:E1402, TRUE, D2:D1402, TRUE, G2:G1402, TRUE,  A2:A1402,  "*2020*")</f>
        <v>7</v>
      </c>
      <c r="E1417" s="1">
        <f>D1417/C1417</f>
        <v>0.22580645161290322</v>
      </c>
    </row>
    <row r="1418" spans="2:10" x14ac:dyDescent="0.2">
      <c r="B1418" s="7">
        <v>2021</v>
      </c>
      <c r="C1418" s="1">
        <f>COUNTIFS(C2:C1402, TRUE, E2:E1402, TRUE, G2:G1402, TRUE, A2:A1402,  "*2021*")</f>
        <v>53</v>
      </c>
      <c r="D1418" s="1">
        <f>COUNTIFS(C2:C1402, TRUE, E2:E1402, TRUE, D2:D1402, TRUE, G2:G1402, TRUE, A2:A1402,  "*2021*")</f>
        <v>18</v>
      </c>
      <c r="E1418" s="1">
        <f t="shared" ref="E1418:E1422" si="22">D1418/C1418</f>
        <v>0.33962264150943394</v>
      </c>
    </row>
    <row r="1419" spans="2:10" ht="16" x14ac:dyDescent="0.2">
      <c r="B1419" s="7">
        <v>2022</v>
      </c>
      <c r="C1419" s="1">
        <f>COUNTIFS(C2:C1402, TRUE, E2:E1402, TRUE, G2:G1402, TRUE, A2:A1402,  "*2022*")</f>
        <v>65</v>
      </c>
      <c r="D1419" s="1">
        <f>COUNTIFS(C2:C1402, TRUE, E2:E1402, TRUE, D2:D1402, TRUE, G2:G1402, TRUE, A2:A1402,  "*2022*")</f>
        <v>17</v>
      </c>
      <c r="E1419" s="1">
        <f t="shared" si="22"/>
        <v>0.26153846153846155</v>
      </c>
      <c r="I1419" s="1" t="s">
        <v>3182</v>
      </c>
      <c r="J1419" s="1">
        <f>COUNTIFS(C2:C1402, TRUE, E2:E1402, TRUE, D2:D1402, TRUE, K2:K1402, "High Risk Domain")</f>
        <v>2</v>
      </c>
    </row>
    <row r="1420" spans="2:10" ht="16" x14ac:dyDescent="0.2">
      <c r="B1420" s="7">
        <v>2023</v>
      </c>
      <c r="C1420" s="1">
        <f>COUNTIFS(C2:C1402, TRUE, E2:E1402, TRUE, G2:G1402, TRUE,  A2:A1402,  "*2023*")</f>
        <v>91</v>
      </c>
      <c r="D1420" s="1">
        <f>COUNTIFS(C2:C1402, TRUE, E2:E1402, TRUE, D2:D1402, TRUE, A2:A1402,  "*2023*")</f>
        <v>20</v>
      </c>
      <c r="E1420" s="1">
        <f t="shared" si="22"/>
        <v>0.21978021978021978</v>
      </c>
      <c r="I1420" s="1" t="s">
        <v>3181</v>
      </c>
      <c r="J1420" s="1">
        <f>COUNTIFS(C2:C1402, TRUE, E2:E1402, TRUE, D2:D1402, FALSE, K2:K1402, "High Risk Domain")</f>
        <v>13</v>
      </c>
    </row>
    <row r="1421" spans="2:10" x14ac:dyDescent="0.2">
      <c r="B1421" s="7">
        <v>2024</v>
      </c>
      <c r="C1421" s="1">
        <f>COUNTIFS(C2:C1402, TRUE, E2:E1402, TRUE,G2:G1402, TRUE,  A2:A1402,  "*2024*")</f>
        <v>106</v>
      </c>
      <c r="D1421" s="1">
        <f>COUNTIFS(C2:C1402, TRUE, E2:E1402, TRUE, D2:D1402, TRUE, A2:A1402,  "*2024*")</f>
        <v>27</v>
      </c>
      <c r="E1421" s="1">
        <f t="shared" si="22"/>
        <v>0.25471698113207547</v>
      </c>
    </row>
    <row r="1422" spans="2:10" x14ac:dyDescent="0.2">
      <c r="B1422" s="7">
        <v>2025</v>
      </c>
      <c r="C1422" s="1">
        <f>COUNTIFS(C2:C1402, TRUE, E2:E1402, TRUE, G2:G1402, TRUE, A2:A1402,  "*2025*")</f>
        <v>148</v>
      </c>
      <c r="D1422" s="1">
        <f>COUNTIFS(C2:C1402, TRUE, E2:E1402, TRUE, D2:D1402, TRUE, A2:A1402,  "*2025*")</f>
        <v>36</v>
      </c>
      <c r="E1422" s="1">
        <f t="shared" si="22"/>
        <v>0.24324324324324326</v>
      </c>
    </row>
    <row r="1423" spans="2:10" x14ac:dyDescent="0.2">
      <c r="C1423" s="1">
        <f>SUM(C1417:C1422)</f>
        <v>494</v>
      </c>
    </row>
    <row r="1453" spans="2:9" x14ac:dyDescent="0.2">
      <c r="B1453" s="7" t="s">
        <v>3348</v>
      </c>
    </row>
    <row r="1454" spans="2:9" ht="32" x14ac:dyDescent="0.2">
      <c r="B1454" s="7" t="s">
        <v>3178</v>
      </c>
      <c r="C1454" s="1" t="s">
        <v>3179</v>
      </c>
      <c r="D1454" s="1" t="s">
        <v>3180</v>
      </c>
    </row>
    <row r="1455" spans="2:9" x14ac:dyDescent="0.2">
      <c r="B1455" s="7">
        <v>2020</v>
      </c>
      <c r="C1455" s="1">
        <f>C1417-C1464</f>
        <v>27</v>
      </c>
      <c r="D1455" s="1">
        <f>D1417-D1464</f>
        <v>7</v>
      </c>
      <c r="E1455" s="1">
        <f>D1455/C1455</f>
        <v>0.25925925925925924</v>
      </c>
      <c r="G1455" s="8">
        <v>27</v>
      </c>
      <c r="H1455" s="1">
        <f>COUNTIFS(C2:C1402, TRUE, E2:E1402, TRUE, G2:G1402, TRUE, A2:A1402,  "*2020*", J2:J1402, "&lt;&gt;Findings")</f>
        <v>27</v>
      </c>
      <c r="I1455" s="1">
        <f>COUNTIFS(C2:C1402, TRUE, E2:E1402, TRUE, D2:D1402, TRUE, G2:G1402, TRUE,  A2:A1402,  "*2020*",  J2:J1402, "&lt;&gt;Findings")</f>
        <v>7</v>
      </c>
    </row>
    <row r="1456" spans="2:9" x14ac:dyDescent="0.2">
      <c r="B1456" s="7">
        <v>2021</v>
      </c>
      <c r="C1456" s="1">
        <f t="shared" ref="C1456:D1460" si="23">C1418-C1465</f>
        <v>48</v>
      </c>
      <c r="D1456" s="1">
        <f t="shared" si="23"/>
        <v>16</v>
      </c>
      <c r="E1456" s="1">
        <f t="shared" ref="E1456:E1461" si="24">D1456/C1456</f>
        <v>0.33333333333333331</v>
      </c>
      <c r="G1456" s="1">
        <v>49</v>
      </c>
      <c r="H1456" s="1">
        <f>COUNTIFS(C2:C1402, TRUE, E2:E1402, TRUE, G2:G1402, TRUE, A2:A1402,  "*2021*", J2:J1402, "&lt;&gt;Findings")</f>
        <v>48</v>
      </c>
      <c r="I1456" s="1">
        <f>COUNTIFS(C2:C1402, TRUE, E2:E1402, TRUE, D2:D1402, TRUE, G2:G1402, TRUE,  A2:A1402,  "*2021*",  J2:J1402, "&lt;&gt;Findings")</f>
        <v>16</v>
      </c>
    </row>
    <row r="1457" spans="2:9" x14ac:dyDescent="0.2">
      <c r="B1457" s="7">
        <v>2022</v>
      </c>
      <c r="C1457" s="1">
        <f t="shared" si="23"/>
        <v>45</v>
      </c>
      <c r="D1457" s="1">
        <f t="shared" si="23"/>
        <v>15</v>
      </c>
      <c r="E1457" s="1">
        <f t="shared" si="24"/>
        <v>0.33333333333333331</v>
      </c>
      <c r="G1457" s="1">
        <v>45</v>
      </c>
      <c r="H1457" s="1">
        <f>COUNTIFS(C2:C1402, TRUE, E2:E1402, TRUE, G2:G1402, TRUE, A2:A1402,  "*2022*", J2:J1402, "&lt;&gt;Findings")</f>
        <v>45</v>
      </c>
      <c r="I1457" s="1">
        <f>COUNTIFS(C2:C1402, TRUE, E2:E1402, TRUE, D2:D1402, TRUE, G2:G1402, TRUE,  A2:A1402,  "*2022*",  J2:J1402, "&lt;&gt;Findings")</f>
        <v>15</v>
      </c>
    </row>
    <row r="1458" spans="2:9" x14ac:dyDescent="0.2">
      <c r="B1458" s="7">
        <v>2023</v>
      </c>
      <c r="C1458" s="1">
        <f t="shared" si="23"/>
        <v>55</v>
      </c>
      <c r="D1458" s="1">
        <f t="shared" si="23"/>
        <v>14</v>
      </c>
      <c r="E1458" s="1">
        <f t="shared" si="24"/>
        <v>0.25454545454545452</v>
      </c>
      <c r="G1458" s="1">
        <v>54</v>
      </c>
      <c r="H1458" s="1">
        <f>COUNTIFS(C2:C1402, TRUE, E2:E1402, TRUE, G2:G1402, TRUE, A2:A1402,  "*2023*", J2:J1402, "&lt;&gt;Findings")</f>
        <v>55</v>
      </c>
      <c r="I1458" s="1">
        <f>COUNTIFS(C2:C1402, TRUE, E2:E1402, TRUE, D2:D1402, TRUE, G2:G1402, TRUE,  A2:A1402,  "*2023*",  J2:J1402, "&lt;&gt;Findings")</f>
        <v>14</v>
      </c>
    </row>
    <row r="1459" spans="2:9" x14ac:dyDescent="0.2">
      <c r="B1459" s="7">
        <v>2024</v>
      </c>
      <c r="C1459" s="1">
        <f t="shared" si="23"/>
        <v>65</v>
      </c>
      <c r="D1459" s="1">
        <f t="shared" si="23"/>
        <v>18</v>
      </c>
      <c r="E1459" s="1">
        <f t="shared" si="24"/>
        <v>0.27692307692307694</v>
      </c>
      <c r="G1459" s="1">
        <v>64</v>
      </c>
      <c r="H1459" s="1">
        <f>COUNTIFS(C2:C1402, TRUE, E2:E1402, TRUE, G2:G1402, TRUE, A2:A1402,  "*2024*", J2:J1402, "&lt;&gt;Findings")</f>
        <v>65</v>
      </c>
      <c r="I1459" s="1">
        <f>COUNTIFS(C2:C1402, TRUE, E2:E1402, TRUE, D2:D1402, TRUE, G2:G1402, TRUE,  A2:A1402,  "*2024*",  J2:J1402, "&lt;&gt;Findings")</f>
        <v>18</v>
      </c>
    </row>
    <row r="1460" spans="2:9" x14ac:dyDescent="0.2">
      <c r="B1460" s="7">
        <v>2025</v>
      </c>
      <c r="C1460" s="1">
        <f t="shared" si="23"/>
        <v>89</v>
      </c>
      <c r="D1460" s="1">
        <f t="shared" si="23"/>
        <v>22</v>
      </c>
      <c r="E1460" s="1">
        <f t="shared" si="24"/>
        <v>0.24719101123595505</v>
      </c>
      <c r="G1460" s="1">
        <v>102</v>
      </c>
      <c r="H1460" s="1">
        <f>COUNTIFS(C2:C1402, TRUE, E2:E1402, TRUE, G2:G1402, TRUE, A2:A1402,  "*2025*", J2:J1402, "&lt;&gt;Findings")</f>
        <v>89</v>
      </c>
      <c r="I1460" s="1">
        <f>COUNTIFS(C2:C1402, TRUE, E2:E1402, TRUE, D2:D1402, TRUE, G2:G1402, TRUE,  A2:A1402,  "*2025*",  J2:J1402, "&lt;&gt;Findings")</f>
        <v>22</v>
      </c>
    </row>
    <row r="1461" spans="2:9" x14ac:dyDescent="0.2">
      <c r="C1461" s="1">
        <f>SUM(C1455:C1460)</f>
        <v>329</v>
      </c>
      <c r="D1461" s="1">
        <f>SUM(D1455:D1460)</f>
        <v>92</v>
      </c>
      <c r="E1461" s="1">
        <f t="shared" si="24"/>
        <v>0.2796352583586626</v>
      </c>
      <c r="G1461" s="1">
        <f>SUM(G1455:G1460)</f>
        <v>341</v>
      </c>
    </row>
    <row r="1462" spans="2:9" x14ac:dyDescent="0.2">
      <c r="B1462" s="7" t="s">
        <v>98</v>
      </c>
    </row>
    <row r="1463" spans="2:9" ht="32" x14ac:dyDescent="0.2">
      <c r="B1463" s="7" t="s">
        <v>3178</v>
      </c>
      <c r="C1463" s="1" t="s">
        <v>3179</v>
      </c>
      <c r="D1463" s="1" t="s">
        <v>3180</v>
      </c>
    </row>
    <row r="1464" spans="2:9" x14ac:dyDescent="0.2">
      <c r="B1464" s="7">
        <v>2020</v>
      </c>
      <c r="C1464" s="8">
        <f>COUNTIFS(C2:C1402, TRUE, E2:E1402, TRUE, G2:G1402, TRUE, A2:A1402,  "*2020*", J2:J1402, "Findings")</f>
        <v>4</v>
      </c>
      <c r="D1464" s="1">
        <f>COUNTIFS(C2:C1402, TRUE, E2:E1402, TRUE, D2:D1402, TRUE, G2:G1402, TRUE,  A2:A1402,  "*2020*", J2:J1402, "Findings")</f>
        <v>0</v>
      </c>
      <c r="E1464" s="1">
        <f>D1464/C1464</f>
        <v>0</v>
      </c>
    </row>
    <row r="1465" spans="2:9" x14ac:dyDescent="0.2">
      <c r="B1465" s="7">
        <v>2021</v>
      </c>
      <c r="C1465" s="1">
        <f>COUNTIFS(C2:C1402, TRUE, E2:E1402, TRUE, G2:G1402, TRUE, A2:A1402,  "*2021*", J2:J1402, "Findings")</f>
        <v>5</v>
      </c>
      <c r="D1465" s="1">
        <f>COUNTIFS(C2:C1402, TRUE, E2:E1402, TRUE, D2:D1402, TRUE, G2:G1402, TRUE, A2:A1402,  "*2021*", J2:J1402, "Findings")</f>
        <v>2</v>
      </c>
      <c r="E1465" s="1">
        <f t="shared" ref="E1465:E1469" si="25">D1465/C1465</f>
        <v>0.4</v>
      </c>
    </row>
    <row r="1466" spans="2:9" x14ac:dyDescent="0.2">
      <c r="B1466" s="7">
        <v>2022</v>
      </c>
      <c r="C1466" s="1">
        <f>COUNTIFS(C2:C1402, TRUE, E2:E1402, TRUE, G2:G1402, TRUE, A2:A1402,  "*2022*", J2:J1402, "Findings")</f>
        <v>20</v>
      </c>
      <c r="D1466" s="1">
        <f>COUNTIFS(C2:C1402, TRUE, E2:E1402, TRUE, D2:D1402, TRUE, G2:G1402, TRUE, A2:A1402,  "*2022*", J2:J1402, "Findings")</f>
        <v>2</v>
      </c>
      <c r="E1466" s="1">
        <f t="shared" si="25"/>
        <v>0.1</v>
      </c>
    </row>
    <row r="1467" spans="2:9" x14ac:dyDescent="0.2">
      <c r="B1467" s="7">
        <v>2023</v>
      </c>
      <c r="C1467" s="1">
        <f>COUNTIFS(C2:C1402, TRUE, E2:E1402, TRUE, G2:G1402, TRUE,  A2:A1402,  "*2023*", J2:J1402, "Findings")</f>
        <v>36</v>
      </c>
      <c r="D1467" s="1">
        <f>COUNTIFS(C2:C1402, TRUE, E2:E1402, TRUE, D2:D1402, TRUE, A2:A1402,  "*2023*", J2:J1402, "Findings")</f>
        <v>6</v>
      </c>
      <c r="E1467" s="1">
        <f t="shared" si="25"/>
        <v>0.16666666666666666</v>
      </c>
    </row>
    <row r="1468" spans="2:9" x14ac:dyDescent="0.2">
      <c r="B1468" s="7">
        <v>2024</v>
      </c>
      <c r="C1468" s="1">
        <f>COUNTIFS(C2:C1402, TRUE, E2:E1402, TRUE,G2:G1402, TRUE,  A2:A1402,  "*2024*", J2:J1402, "Findings")</f>
        <v>41</v>
      </c>
      <c r="D1468" s="1">
        <f>COUNTIFS(C2:C1402, TRUE, E2:E1402, TRUE, D2:D1402, TRUE, A2:A1402,  "*2024*", J2:J1402, "Findings")</f>
        <v>9</v>
      </c>
      <c r="E1468" s="1">
        <f t="shared" si="25"/>
        <v>0.21951219512195122</v>
      </c>
    </row>
    <row r="1469" spans="2:9" x14ac:dyDescent="0.2">
      <c r="B1469" s="7">
        <v>2025</v>
      </c>
      <c r="C1469" s="1">
        <f>COUNTIFS(C2:C1402, TRUE, E2:E1402, TRUE, G2:G1402, TRUE, A2:A1402,  "*2025*", J2:J1402, "Findings")</f>
        <v>59</v>
      </c>
      <c r="D1469" s="1">
        <f>COUNTIFS(C2:C1402, TRUE, E2:E1402, TRUE, D2:D1402, TRUE, A2:A1402,  "*2025*", J2:J1402, "Findings")</f>
        <v>14</v>
      </c>
      <c r="E1469" s="1">
        <f t="shared" si="25"/>
        <v>0.23728813559322035</v>
      </c>
    </row>
    <row r="1470" spans="2:9" x14ac:dyDescent="0.2">
      <c r="C1470" s="1">
        <f>SUM(C1464:C1469)</f>
        <v>165</v>
      </c>
      <c r="D1470" s="1">
        <f>SUM(D1464:D1469)</f>
        <v>33</v>
      </c>
      <c r="E1470" s="1">
        <f>D1470/C1470</f>
        <v>0.2</v>
      </c>
    </row>
    <row r="1472" spans="2:9" ht="16" x14ac:dyDescent="0.2">
      <c r="B1472" s="1" t="s">
        <v>3351</v>
      </c>
      <c r="C1472" s="1">
        <f>C1461+C1470</f>
        <v>494</v>
      </c>
      <c r="D1472" s="1">
        <f>D1461+D1470</f>
        <v>125</v>
      </c>
      <c r="E1472" s="1">
        <f>D1472/C1472</f>
        <v>0.25303643724696356</v>
      </c>
    </row>
  </sheetData>
  <autoFilter ref="A1:J1402" xr:uid="{00000000-0001-0000-0000-000000000000}">
    <filterColumn colId="2">
      <filters>
        <filter val="TRUE"/>
      </filters>
    </filterColumn>
    <filterColumn colId="4">
      <filters>
        <filter val="TRUE"/>
      </filters>
    </filterColumn>
  </autoFilter>
  <pageMargins left="0.75" right="0.75" top="1" bottom="1" header="0.5" footer="0.5"/>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8AFC-4511-3845-9B94-E193A145D724}">
  <dimension ref="A1:L130"/>
  <sheetViews>
    <sheetView topLeftCell="A123" workbookViewId="0">
      <selection activeCell="K131" sqref="K131"/>
    </sheetView>
  </sheetViews>
  <sheetFormatPr baseColWidth="10" defaultRowHeight="15" x14ac:dyDescent="0.2"/>
  <cols>
    <col min="1" max="1" width="30.33203125" customWidth="1"/>
    <col min="2" max="2" width="39.83203125" style="1" customWidth="1"/>
    <col min="8" max="8" width="37.6640625" style="1" customWidth="1"/>
  </cols>
  <sheetData>
    <row r="1" spans="1:12" ht="48" x14ac:dyDescent="0.2">
      <c r="A1" s="5" t="s">
        <v>0</v>
      </c>
      <c r="B1" s="18" t="s">
        <v>1</v>
      </c>
      <c r="C1" s="2" t="s">
        <v>2</v>
      </c>
      <c r="D1" s="2" t="s">
        <v>3</v>
      </c>
      <c r="E1" s="2" t="s">
        <v>4</v>
      </c>
      <c r="F1" s="2" t="s">
        <v>5</v>
      </c>
      <c r="G1" s="2" t="s">
        <v>6</v>
      </c>
      <c r="H1" s="2" t="s">
        <v>7</v>
      </c>
      <c r="I1" s="10" t="s">
        <v>3184</v>
      </c>
      <c r="J1" s="10" t="s">
        <v>3185</v>
      </c>
      <c r="K1" s="10" t="s">
        <v>3188</v>
      </c>
      <c r="L1" s="10" t="s">
        <v>3186</v>
      </c>
    </row>
    <row r="2" spans="1:12" ht="32" x14ac:dyDescent="0.2">
      <c r="A2" s="6" t="s">
        <v>10</v>
      </c>
      <c r="B2" s="11" t="s">
        <v>11</v>
      </c>
      <c r="C2" s="4" t="b">
        <v>1</v>
      </c>
      <c r="D2" s="4" t="b">
        <v>1</v>
      </c>
      <c r="E2" s="4" t="b">
        <v>1</v>
      </c>
      <c r="F2" s="4" t="s">
        <v>12</v>
      </c>
      <c r="G2" s="4" t="b">
        <v>1</v>
      </c>
      <c r="H2" s="4" t="s">
        <v>13</v>
      </c>
      <c r="I2" s="4" t="b">
        <v>0</v>
      </c>
      <c r="J2" s="4" t="b">
        <v>1</v>
      </c>
      <c r="K2" s="4" t="b">
        <v>0</v>
      </c>
    </row>
    <row r="3" spans="1:12" ht="96" x14ac:dyDescent="0.2">
      <c r="A3" s="6" t="s">
        <v>23</v>
      </c>
      <c r="B3" s="11" t="s">
        <v>24</v>
      </c>
      <c r="C3" s="4" t="b">
        <v>1</v>
      </c>
      <c r="D3" s="4" t="b">
        <v>1</v>
      </c>
      <c r="E3" s="4" t="b">
        <v>1</v>
      </c>
      <c r="F3" s="4" t="s">
        <v>12</v>
      </c>
      <c r="G3" s="4" t="b">
        <v>1</v>
      </c>
      <c r="H3" s="4" t="s">
        <v>25</v>
      </c>
      <c r="I3" s="4" t="b">
        <v>0</v>
      </c>
      <c r="J3" s="4" t="b">
        <v>1</v>
      </c>
      <c r="K3" s="4" t="b">
        <v>0</v>
      </c>
    </row>
    <row r="4" spans="1:12" ht="32" x14ac:dyDescent="0.2">
      <c r="A4" s="6" t="s">
        <v>29</v>
      </c>
      <c r="B4" s="11" t="s">
        <v>30</v>
      </c>
      <c r="C4" s="4" t="b">
        <v>1</v>
      </c>
      <c r="D4" s="4" t="b">
        <v>1</v>
      </c>
      <c r="E4" s="4" t="b">
        <v>1</v>
      </c>
      <c r="F4" s="4" t="s">
        <v>12</v>
      </c>
      <c r="G4" s="4" t="b">
        <v>1</v>
      </c>
      <c r="H4" s="1" t="s">
        <v>2941</v>
      </c>
      <c r="I4" s="4" t="b">
        <v>0</v>
      </c>
      <c r="J4" s="4" t="b">
        <v>1</v>
      </c>
      <c r="K4" s="4" t="b">
        <v>0</v>
      </c>
    </row>
    <row r="5" spans="1:12" ht="32" x14ac:dyDescent="0.2">
      <c r="A5" s="6" t="s">
        <v>50</v>
      </c>
      <c r="B5" s="11" t="s">
        <v>51</v>
      </c>
      <c r="C5" s="4" t="b">
        <v>1</v>
      </c>
      <c r="D5" s="4" t="b">
        <v>1</v>
      </c>
      <c r="E5" s="4" t="b">
        <v>1</v>
      </c>
      <c r="F5" s="4" t="s">
        <v>12</v>
      </c>
      <c r="G5" s="4" t="b">
        <v>1</v>
      </c>
      <c r="H5" s="4" t="s">
        <v>52</v>
      </c>
      <c r="I5" s="4" t="b">
        <v>0</v>
      </c>
      <c r="J5" s="4" t="b">
        <v>1</v>
      </c>
      <c r="K5" s="4" t="b">
        <v>0</v>
      </c>
    </row>
    <row r="6" spans="1:12" ht="144" x14ac:dyDescent="0.2">
      <c r="A6" s="6" t="s">
        <v>60</v>
      </c>
      <c r="B6" s="11" t="s">
        <v>61</v>
      </c>
      <c r="C6" s="4" t="b">
        <v>1</v>
      </c>
      <c r="D6" s="4" t="b">
        <v>1</v>
      </c>
      <c r="E6" s="4" t="b">
        <v>1</v>
      </c>
      <c r="F6" s="4" t="s">
        <v>12</v>
      </c>
      <c r="G6" s="4" t="b">
        <v>1</v>
      </c>
      <c r="H6" s="4" t="s">
        <v>62</v>
      </c>
      <c r="I6" s="4" t="b">
        <v>1</v>
      </c>
      <c r="J6" s="4" t="b">
        <v>0</v>
      </c>
      <c r="K6" s="4" t="b">
        <v>1</v>
      </c>
    </row>
    <row r="7" spans="1:12" ht="48" x14ac:dyDescent="0.2">
      <c r="A7" s="6" t="s">
        <v>85</v>
      </c>
      <c r="B7" s="11" t="s">
        <v>86</v>
      </c>
      <c r="C7" s="4" t="b">
        <v>1</v>
      </c>
      <c r="D7" s="4" t="b">
        <v>1</v>
      </c>
      <c r="E7" s="4" t="b">
        <v>1</v>
      </c>
      <c r="F7" s="4" t="s">
        <v>12</v>
      </c>
      <c r="G7" s="4" t="b">
        <v>1</v>
      </c>
      <c r="H7" s="4" t="s">
        <v>87</v>
      </c>
      <c r="I7" s="4" t="b">
        <v>1</v>
      </c>
      <c r="J7" s="4" t="b">
        <v>0</v>
      </c>
      <c r="K7" s="4" t="b">
        <v>0</v>
      </c>
    </row>
    <row r="8" spans="1:12" ht="48" x14ac:dyDescent="0.2">
      <c r="A8" s="6" t="s">
        <v>95</v>
      </c>
      <c r="B8" s="11" t="s">
        <v>96</v>
      </c>
      <c r="C8" s="4" t="b">
        <v>1</v>
      </c>
      <c r="D8" s="4" t="b">
        <v>1</v>
      </c>
      <c r="E8" s="4" t="b">
        <v>1</v>
      </c>
      <c r="F8" s="4" t="s">
        <v>12</v>
      </c>
      <c r="G8" s="4" t="b">
        <v>1</v>
      </c>
      <c r="H8" s="4" t="s">
        <v>97</v>
      </c>
      <c r="I8" s="4" t="b">
        <v>0</v>
      </c>
      <c r="J8" s="4" t="b">
        <v>1</v>
      </c>
      <c r="K8" s="4" t="b">
        <v>0</v>
      </c>
    </row>
    <row r="9" spans="1:12" ht="32" x14ac:dyDescent="0.2">
      <c r="A9" s="6" t="s">
        <v>101</v>
      </c>
      <c r="B9" s="11" t="s">
        <v>102</v>
      </c>
      <c r="C9" s="4" t="b">
        <v>1</v>
      </c>
      <c r="D9" s="4" t="b">
        <v>1</v>
      </c>
      <c r="E9" s="4" t="b">
        <v>1</v>
      </c>
      <c r="F9" s="4" t="s">
        <v>12</v>
      </c>
      <c r="G9" s="4" t="b">
        <v>1</v>
      </c>
      <c r="H9" s="4" t="s">
        <v>103</v>
      </c>
      <c r="I9" s="4" t="b">
        <v>0</v>
      </c>
      <c r="J9" s="4" t="b">
        <v>0</v>
      </c>
      <c r="K9" s="4" t="b">
        <v>1</v>
      </c>
    </row>
    <row r="10" spans="1:12" ht="288" x14ac:dyDescent="0.2">
      <c r="A10" s="6" t="s">
        <v>118</v>
      </c>
      <c r="B10" s="11" t="s">
        <v>119</v>
      </c>
      <c r="C10" s="4" t="b">
        <v>1</v>
      </c>
      <c r="D10" s="4" t="b">
        <v>1</v>
      </c>
      <c r="E10" s="4" t="b">
        <v>1</v>
      </c>
      <c r="F10" s="4" t="s">
        <v>12</v>
      </c>
      <c r="G10" s="4" t="b">
        <v>1</v>
      </c>
      <c r="H10" s="4" t="s">
        <v>120</v>
      </c>
      <c r="I10" s="4" t="b">
        <v>1</v>
      </c>
      <c r="J10" s="4" t="b">
        <v>0</v>
      </c>
      <c r="K10" s="4" t="b">
        <v>0</v>
      </c>
    </row>
    <row r="11" spans="1:12" ht="48" x14ac:dyDescent="0.2">
      <c r="A11" s="6" t="s">
        <v>158</v>
      </c>
      <c r="B11" s="11" t="s">
        <v>159</v>
      </c>
      <c r="C11" s="4" t="b">
        <v>1</v>
      </c>
      <c r="D11" s="4" t="b">
        <v>1</v>
      </c>
      <c r="E11" s="4" t="b">
        <v>1</v>
      </c>
      <c r="F11" s="4" t="s">
        <v>12</v>
      </c>
      <c r="G11" s="4" t="b">
        <v>1</v>
      </c>
      <c r="H11" s="4" t="s">
        <v>3191</v>
      </c>
      <c r="I11" s="4" t="b">
        <v>0</v>
      </c>
      <c r="J11" s="4" t="b">
        <v>1</v>
      </c>
      <c r="K11" s="4" t="b">
        <v>1</v>
      </c>
    </row>
    <row r="12" spans="1:12" ht="48" x14ac:dyDescent="0.2">
      <c r="A12" s="6" t="s">
        <v>174</v>
      </c>
      <c r="B12" s="11" t="s">
        <v>175</v>
      </c>
      <c r="C12" s="4" t="b">
        <v>1</v>
      </c>
      <c r="D12" s="4" t="b">
        <v>1</v>
      </c>
      <c r="E12" s="4" t="b">
        <v>1</v>
      </c>
      <c r="F12" s="4" t="s">
        <v>12</v>
      </c>
      <c r="G12" s="4" t="b">
        <v>1</v>
      </c>
      <c r="H12" s="4" t="s">
        <v>3192</v>
      </c>
      <c r="I12" s="4" t="b">
        <v>0</v>
      </c>
      <c r="J12" s="4" t="b">
        <v>0</v>
      </c>
      <c r="K12" s="4" t="b">
        <v>1</v>
      </c>
    </row>
    <row r="13" spans="1:12" ht="64" x14ac:dyDescent="0.2">
      <c r="A13" s="6" t="s">
        <v>180</v>
      </c>
      <c r="B13" s="11" t="s">
        <v>181</v>
      </c>
      <c r="C13" s="4" t="b">
        <v>1</v>
      </c>
      <c r="D13" s="4" t="b">
        <v>1</v>
      </c>
      <c r="E13" s="4" t="b">
        <v>1</v>
      </c>
      <c r="F13" s="4" t="s">
        <v>12</v>
      </c>
      <c r="G13" s="4" t="b">
        <v>1</v>
      </c>
      <c r="H13" s="4" t="s">
        <v>3193</v>
      </c>
      <c r="I13" s="4" t="b">
        <v>1</v>
      </c>
      <c r="J13" s="4" t="b">
        <v>0</v>
      </c>
      <c r="K13" s="4" t="b">
        <v>1</v>
      </c>
    </row>
    <row r="14" spans="1:12" ht="96" x14ac:dyDescent="0.2">
      <c r="A14" s="6" t="s">
        <v>190</v>
      </c>
      <c r="B14" s="11" t="s">
        <v>191</v>
      </c>
      <c r="C14" s="4" t="b">
        <v>1</v>
      </c>
      <c r="D14" s="4" t="b">
        <v>1</v>
      </c>
      <c r="E14" s="4" t="b">
        <v>1</v>
      </c>
      <c r="F14" s="4" t="s">
        <v>12</v>
      </c>
      <c r="G14" s="4" t="b">
        <v>1</v>
      </c>
      <c r="H14" s="4" t="s">
        <v>3195</v>
      </c>
      <c r="I14" s="4" t="b">
        <v>0</v>
      </c>
      <c r="J14" s="4" t="b">
        <v>1</v>
      </c>
      <c r="K14" s="4" t="b">
        <v>0</v>
      </c>
    </row>
    <row r="15" spans="1:12" ht="96" x14ac:dyDescent="0.2">
      <c r="A15" s="6" t="s">
        <v>204</v>
      </c>
      <c r="B15" s="11" t="s">
        <v>205</v>
      </c>
      <c r="C15" s="4" t="b">
        <v>1</v>
      </c>
      <c r="D15" s="4" t="b">
        <v>1</v>
      </c>
      <c r="E15" s="4" t="b">
        <v>1</v>
      </c>
      <c r="F15" s="4" t="s">
        <v>12</v>
      </c>
      <c r="G15" s="4" t="b">
        <v>1</v>
      </c>
      <c r="H15" s="4" t="s">
        <v>3199</v>
      </c>
      <c r="I15" s="4" t="b">
        <v>0</v>
      </c>
      <c r="J15" s="4" t="b">
        <v>1</v>
      </c>
      <c r="K15" s="4" t="b">
        <v>0</v>
      </c>
    </row>
    <row r="16" spans="1:12" ht="112" x14ac:dyDescent="0.2">
      <c r="A16" s="6" t="s">
        <v>218</v>
      </c>
      <c r="B16" s="11" t="s">
        <v>219</v>
      </c>
      <c r="C16" s="4" t="b">
        <v>1</v>
      </c>
      <c r="D16" s="4" t="b">
        <v>1</v>
      </c>
      <c r="E16" s="4" t="b">
        <v>1</v>
      </c>
      <c r="F16" s="4" t="s">
        <v>12</v>
      </c>
      <c r="G16" s="4" t="b">
        <v>1</v>
      </c>
      <c r="H16" s="4" t="s">
        <v>3202</v>
      </c>
      <c r="I16" s="4" t="b">
        <v>0</v>
      </c>
      <c r="J16" s="4" t="b">
        <v>1</v>
      </c>
      <c r="K16" s="4" t="b">
        <v>0</v>
      </c>
    </row>
    <row r="17" spans="1:11" ht="48" x14ac:dyDescent="0.2">
      <c r="A17" s="6" t="s">
        <v>244</v>
      </c>
      <c r="B17" s="11" t="s">
        <v>245</v>
      </c>
      <c r="C17" s="4" t="b">
        <v>1</v>
      </c>
      <c r="D17" s="4" t="b">
        <v>1</v>
      </c>
      <c r="E17" s="4" t="b">
        <v>1</v>
      </c>
      <c r="F17" s="4" t="s">
        <v>12</v>
      </c>
      <c r="G17" s="4" t="b">
        <v>1</v>
      </c>
      <c r="H17" s="4" t="s">
        <v>3209</v>
      </c>
      <c r="I17" s="4" t="b">
        <v>0</v>
      </c>
      <c r="J17" s="4" t="b">
        <v>1</v>
      </c>
      <c r="K17" s="4" t="b">
        <v>0</v>
      </c>
    </row>
    <row r="18" spans="1:11" ht="80" x14ac:dyDescent="0.2">
      <c r="A18" s="6" t="s">
        <v>304</v>
      </c>
      <c r="B18" s="11" t="s">
        <v>305</v>
      </c>
      <c r="C18" s="4" t="b">
        <v>1</v>
      </c>
      <c r="D18" s="4" t="b">
        <v>1</v>
      </c>
      <c r="E18" s="4" t="b">
        <v>1</v>
      </c>
      <c r="F18" s="4" t="s">
        <v>12</v>
      </c>
      <c r="G18" s="4" t="b">
        <v>1</v>
      </c>
      <c r="H18" s="4" t="s">
        <v>3219</v>
      </c>
      <c r="I18" s="4" t="b">
        <v>0</v>
      </c>
      <c r="J18" s="4" t="b">
        <v>1</v>
      </c>
      <c r="K18" s="4" t="b">
        <v>0</v>
      </c>
    </row>
    <row r="19" spans="1:11" ht="112" x14ac:dyDescent="0.2">
      <c r="A19" s="6" t="s">
        <v>308</v>
      </c>
      <c r="B19" s="11" t="s">
        <v>309</v>
      </c>
      <c r="C19" s="4" t="b">
        <v>1</v>
      </c>
      <c r="D19" s="4" t="b">
        <v>1</v>
      </c>
      <c r="E19" s="4" t="b">
        <v>1</v>
      </c>
      <c r="F19" s="4" t="s">
        <v>12</v>
      </c>
      <c r="G19" s="4" t="b">
        <v>1</v>
      </c>
      <c r="H19" s="4" t="s">
        <v>3220</v>
      </c>
      <c r="I19" s="4" t="b">
        <v>0</v>
      </c>
      <c r="J19" s="4" t="b">
        <v>1</v>
      </c>
      <c r="K19" s="4" t="b">
        <v>1</v>
      </c>
    </row>
    <row r="20" spans="1:11" ht="32" x14ac:dyDescent="0.2">
      <c r="A20" s="6" t="s">
        <v>378</v>
      </c>
      <c r="B20" s="11" t="s">
        <v>379</v>
      </c>
      <c r="C20" s="4" t="b">
        <v>1</v>
      </c>
      <c r="D20" s="4" t="b">
        <v>1</v>
      </c>
      <c r="E20" s="4" t="b">
        <v>1</v>
      </c>
      <c r="F20" s="4" t="s">
        <v>12</v>
      </c>
      <c r="G20" s="4" t="b">
        <v>1</v>
      </c>
      <c r="H20" s="4" t="s">
        <v>3234</v>
      </c>
      <c r="I20" s="4" t="b">
        <v>1</v>
      </c>
      <c r="J20" s="4" t="b">
        <v>0</v>
      </c>
      <c r="K20" s="4" t="b">
        <v>0</v>
      </c>
    </row>
    <row r="21" spans="1:11" ht="64" x14ac:dyDescent="0.2">
      <c r="A21" s="6" t="s">
        <v>384</v>
      </c>
      <c r="B21" s="11" t="s">
        <v>385</v>
      </c>
      <c r="C21" s="4" t="b">
        <v>1</v>
      </c>
      <c r="D21" s="4" t="b">
        <v>1</v>
      </c>
      <c r="E21" s="4" t="b">
        <v>1</v>
      </c>
      <c r="F21" s="4" t="s">
        <v>12</v>
      </c>
      <c r="G21" s="4" t="b">
        <v>1</v>
      </c>
      <c r="H21" s="4" t="s">
        <v>3237</v>
      </c>
      <c r="I21" s="4" t="b">
        <v>0</v>
      </c>
      <c r="J21" s="4" t="b">
        <v>1</v>
      </c>
      <c r="K21" s="4" t="b">
        <v>0</v>
      </c>
    </row>
    <row r="22" spans="1:11" ht="80" x14ac:dyDescent="0.2">
      <c r="A22" s="6" t="s">
        <v>416</v>
      </c>
      <c r="B22" s="11" t="s">
        <v>417</v>
      </c>
      <c r="C22" s="4" t="b">
        <v>1</v>
      </c>
      <c r="D22" s="4" t="b">
        <v>1</v>
      </c>
      <c r="E22" s="4" t="b">
        <v>1</v>
      </c>
      <c r="F22" s="4" t="s">
        <v>12</v>
      </c>
      <c r="G22" s="4" t="b">
        <v>1</v>
      </c>
      <c r="H22" s="4" t="s">
        <v>2863</v>
      </c>
      <c r="I22" s="4" t="b">
        <v>0</v>
      </c>
      <c r="J22" s="4" t="b">
        <v>1</v>
      </c>
      <c r="K22" s="4" t="b">
        <v>0</v>
      </c>
    </row>
    <row r="23" spans="1:11" ht="144" x14ac:dyDescent="0.2">
      <c r="A23" s="6" t="s">
        <v>424</v>
      </c>
      <c r="B23" s="11" t="s">
        <v>425</v>
      </c>
      <c r="C23" s="4" t="b">
        <v>1</v>
      </c>
      <c r="D23" s="4" t="b">
        <v>1</v>
      </c>
      <c r="E23" s="4" t="b">
        <v>1</v>
      </c>
      <c r="F23" s="4" t="s">
        <v>12</v>
      </c>
      <c r="G23" s="4" t="b">
        <v>1</v>
      </c>
      <c r="H23" s="4" t="s">
        <v>2864</v>
      </c>
      <c r="I23" s="4" t="b">
        <v>0</v>
      </c>
      <c r="J23" s="4" t="b">
        <v>1</v>
      </c>
      <c r="K23" s="4" t="b">
        <v>0</v>
      </c>
    </row>
    <row r="24" spans="1:11" ht="112" x14ac:dyDescent="0.2">
      <c r="A24" s="6" t="s">
        <v>430</v>
      </c>
      <c r="B24" s="11" t="s">
        <v>431</v>
      </c>
      <c r="C24" s="4" t="b">
        <v>1</v>
      </c>
      <c r="D24" s="4" t="b">
        <v>1</v>
      </c>
      <c r="E24" s="4" t="b">
        <v>1</v>
      </c>
      <c r="F24" s="4" t="s">
        <v>12</v>
      </c>
      <c r="G24" s="4" t="b">
        <v>1</v>
      </c>
      <c r="H24" s="4" t="s">
        <v>3353</v>
      </c>
      <c r="I24" s="4" t="b">
        <v>1</v>
      </c>
      <c r="J24" s="4" t="b">
        <v>0</v>
      </c>
      <c r="K24" s="4" t="b">
        <v>0</v>
      </c>
    </row>
    <row r="25" spans="1:11" ht="335" x14ac:dyDescent="0.2">
      <c r="A25" s="6" t="s">
        <v>448</v>
      </c>
      <c r="B25" s="11" t="s">
        <v>449</v>
      </c>
      <c r="C25" s="4" t="b">
        <v>1</v>
      </c>
      <c r="D25" s="4" t="b">
        <v>1</v>
      </c>
      <c r="E25" s="4" t="b">
        <v>1</v>
      </c>
      <c r="F25" s="4" t="s">
        <v>12</v>
      </c>
      <c r="G25" s="4" t="b">
        <v>1</v>
      </c>
      <c r="H25" s="4" t="s">
        <v>2883</v>
      </c>
      <c r="I25" s="4" t="b">
        <v>0</v>
      </c>
      <c r="J25" s="4" t="b">
        <v>1</v>
      </c>
      <c r="K25" s="4" t="b">
        <v>0</v>
      </c>
    </row>
    <row r="26" spans="1:11" ht="160" x14ac:dyDescent="0.2">
      <c r="A26" s="6" t="s">
        <v>450</v>
      </c>
      <c r="B26" s="11" t="s">
        <v>451</v>
      </c>
      <c r="C26" s="4" t="b">
        <v>1</v>
      </c>
      <c r="D26" s="4" t="b">
        <v>1</v>
      </c>
      <c r="E26" s="4" t="b">
        <v>1</v>
      </c>
      <c r="F26" s="4" t="s">
        <v>12</v>
      </c>
      <c r="G26" s="4" t="b">
        <v>1</v>
      </c>
      <c r="H26" s="4" t="s">
        <v>2884</v>
      </c>
      <c r="I26" s="4" t="b">
        <v>1</v>
      </c>
      <c r="J26" s="4" t="b">
        <v>0</v>
      </c>
      <c r="K26" s="4" t="b">
        <v>0</v>
      </c>
    </row>
    <row r="27" spans="1:11" ht="128" x14ac:dyDescent="0.2">
      <c r="A27" s="6" t="s">
        <v>456</v>
      </c>
      <c r="B27" s="11" t="s">
        <v>457</v>
      </c>
      <c r="C27" s="4" t="b">
        <v>1</v>
      </c>
      <c r="D27" s="4" t="b">
        <v>1</v>
      </c>
      <c r="E27" s="4" t="b">
        <v>1</v>
      </c>
      <c r="F27" s="4" t="s">
        <v>12</v>
      </c>
      <c r="G27" s="4" t="b">
        <v>1</v>
      </c>
      <c r="H27" s="4" t="s">
        <v>2885</v>
      </c>
      <c r="I27" s="4" t="b">
        <v>1</v>
      </c>
      <c r="J27" s="4" t="b">
        <v>0</v>
      </c>
      <c r="K27" s="4" t="b">
        <v>0</v>
      </c>
    </row>
    <row r="28" spans="1:11" ht="48" x14ac:dyDescent="0.2">
      <c r="A28" s="6" t="s">
        <v>521</v>
      </c>
      <c r="B28" s="11" t="s">
        <v>522</v>
      </c>
      <c r="C28" s="4" t="b">
        <v>1</v>
      </c>
      <c r="D28" s="4" t="b">
        <v>1</v>
      </c>
      <c r="E28" s="4" t="b">
        <v>1</v>
      </c>
      <c r="F28" s="4" t="s">
        <v>12</v>
      </c>
      <c r="G28" s="4" t="b">
        <v>1</v>
      </c>
      <c r="H28" s="4" t="s">
        <v>2894</v>
      </c>
      <c r="I28" s="4" t="b">
        <v>1</v>
      </c>
      <c r="J28" s="4" t="b">
        <v>0</v>
      </c>
      <c r="K28" s="4" t="b">
        <v>0</v>
      </c>
    </row>
    <row r="29" spans="1:11" ht="160" x14ac:dyDescent="0.2">
      <c r="A29" s="6" t="s">
        <v>531</v>
      </c>
      <c r="B29" s="11" t="s">
        <v>532</v>
      </c>
      <c r="C29" s="4" t="b">
        <v>1</v>
      </c>
      <c r="D29" s="4" t="b">
        <v>1</v>
      </c>
      <c r="E29" s="4" t="b">
        <v>1</v>
      </c>
      <c r="F29" s="4" t="s">
        <v>12</v>
      </c>
      <c r="G29" s="4" t="b">
        <v>1</v>
      </c>
      <c r="H29" s="4" t="s">
        <v>2897</v>
      </c>
      <c r="I29" s="4" t="b">
        <v>1</v>
      </c>
      <c r="J29" s="4" t="b">
        <v>0</v>
      </c>
      <c r="K29" s="4" t="b">
        <v>0</v>
      </c>
    </row>
    <row r="30" spans="1:11" ht="272" x14ac:dyDescent="0.2">
      <c r="A30" s="6" t="s">
        <v>533</v>
      </c>
      <c r="B30" s="11" t="s">
        <v>534</v>
      </c>
      <c r="C30" s="4" t="b">
        <v>1</v>
      </c>
      <c r="D30" s="4" t="b">
        <v>1</v>
      </c>
      <c r="E30" s="4" t="b">
        <v>1</v>
      </c>
      <c r="F30" s="4" t="s">
        <v>12</v>
      </c>
      <c r="G30" s="4" t="b">
        <v>1</v>
      </c>
      <c r="H30" s="4" t="s">
        <v>2898</v>
      </c>
      <c r="I30" s="4" t="b">
        <v>0</v>
      </c>
      <c r="J30" s="4" t="b">
        <v>1</v>
      </c>
      <c r="K30" s="4" t="b">
        <v>0</v>
      </c>
    </row>
    <row r="31" spans="1:11" ht="80" x14ac:dyDescent="0.2">
      <c r="A31" s="6" t="s">
        <v>609</v>
      </c>
      <c r="B31" s="11" t="s">
        <v>610</v>
      </c>
      <c r="C31" s="4" t="b">
        <v>1</v>
      </c>
      <c r="D31" s="4" t="b">
        <v>1</v>
      </c>
      <c r="E31" s="4" t="b">
        <v>1</v>
      </c>
      <c r="F31" s="4" t="s">
        <v>12</v>
      </c>
      <c r="G31" s="4" t="b">
        <v>1</v>
      </c>
      <c r="H31" s="4" t="s">
        <v>2942</v>
      </c>
      <c r="I31" s="4" t="b">
        <v>0</v>
      </c>
      <c r="J31" s="4" t="b">
        <v>1</v>
      </c>
      <c r="K31" s="4" t="b">
        <v>0</v>
      </c>
    </row>
    <row r="32" spans="1:11" ht="32" x14ac:dyDescent="0.2">
      <c r="A32" s="6" t="s">
        <v>636</v>
      </c>
      <c r="B32" s="11" t="s">
        <v>637</v>
      </c>
      <c r="C32" s="4" t="b">
        <v>1</v>
      </c>
      <c r="D32" s="4" t="b">
        <v>1</v>
      </c>
      <c r="E32" s="4" t="b">
        <v>1</v>
      </c>
      <c r="F32" s="4" t="s">
        <v>12</v>
      </c>
      <c r="G32" s="4" t="b">
        <v>1</v>
      </c>
      <c r="H32" s="4" t="s">
        <v>2947</v>
      </c>
      <c r="I32" s="4" t="b">
        <v>1</v>
      </c>
      <c r="J32" s="4" t="b">
        <v>0</v>
      </c>
      <c r="K32" s="4" t="b">
        <v>1</v>
      </c>
    </row>
    <row r="33" spans="1:11" ht="80" x14ac:dyDescent="0.2">
      <c r="A33" s="6" t="s">
        <v>650</v>
      </c>
      <c r="B33" s="11" t="s">
        <v>651</v>
      </c>
      <c r="C33" s="4" t="b">
        <v>1</v>
      </c>
      <c r="D33" s="4" t="b">
        <v>1</v>
      </c>
      <c r="E33" s="4" t="b">
        <v>1</v>
      </c>
      <c r="F33" s="4" t="s">
        <v>12</v>
      </c>
      <c r="G33" s="4" t="b">
        <v>1</v>
      </c>
      <c r="H33" s="4" t="s">
        <v>2949</v>
      </c>
      <c r="I33" s="4" t="b">
        <v>1</v>
      </c>
      <c r="J33" s="4" t="b">
        <v>0</v>
      </c>
      <c r="K33" s="4" t="b">
        <v>0</v>
      </c>
    </row>
    <row r="34" spans="1:11" ht="176" x14ac:dyDescent="0.2">
      <c r="A34" s="6" t="s">
        <v>702</v>
      </c>
      <c r="B34" s="11" t="s">
        <v>703</v>
      </c>
      <c r="C34" s="4" t="b">
        <v>1</v>
      </c>
      <c r="D34" s="4" t="b">
        <v>1</v>
      </c>
      <c r="E34" s="4" t="b">
        <v>1</v>
      </c>
      <c r="F34" s="4" t="s">
        <v>12</v>
      </c>
      <c r="G34" s="4" t="b">
        <v>1</v>
      </c>
      <c r="H34" s="4" t="s">
        <v>3133</v>
      </c>
      <c r="I34" s="4" t="b">
        <v>1</v>
      </c>
      <c r="J34" s="4" t="b">
        <v>0</v>
      </c>
      <c r="K34" s="4" t="b">
        <v>0</v>
      </c>
    </row>
    <row r="35" spans="1:11" ht="144" x14ac:dyDescent="0.2">
      <c r="A35" s="6" t="s">
        <v>720</v>
      </c>
      <c r="B35" s="11" t="s">
        <v>721</v>
      </c>
      <c r="C35" s="4" t="b">
        <v>1</v>
      </c>
      <c r="D35" s="4" t="b">
        <v>1</v>
      </c>
      <c r="E35" s="4" t="b">
        <v>1</v>
      </c>
      <c r="F35" s="4" t="s">
        <v>12</v>
      </c>
      <c r="G35" s="4" t="b">
        <v>1</v>
      </c>
      <c r="H35" s="4" t="s">
        <v>3354</v>
      </c>
      <c r="I35" s="4" t="b">
        <v>1</v>
      </c>
      <c r="J35" s="4" t="b">
        <v>0</v>
      </c>
      <c r="K35" s="4" t="b">
        <v>0</v>
      </c>
    </row>
    <row r="36" spans="1:11" ht="350" x14ac:dyDescent="0.2">
      <c r="A36" s="6" t="s">
        <v>736</v>
      </c>
      <c r="B36" s="11" t="s">
        <v>737</v>
      </c>
      <c r="C36" s="4" t="b">
        <v>1</v>
      </c>
      <c r="D36" s="4" t="b">
        <v>1</v>
      </c>
      <c r="E36" s="4" t="b">
        <v>1</v>
      </c>
      <c r="F36" s="4" t="s">
        <v>12</v>
      </c>
      <c r="G36" s="4" t="b">
        <v>1</v>
      </c>
      <c r="H36" s="4" t="s">
        <v>3355</v>
      </c>
      <c r="I36" s="4" t="b">
        <v>0</v>
      </c>
      <c r="J36" s="4" t="b">
        <v>1</v>
      </c>
      <c r="K36" s="4" t="b">
        <v>1</v>
      </c>
    </row>
    <row r="37" spans="1:11" ht="48" x14ac:dyDescent="0.2">
      <c r="A37" s="6" t="s">
        <v>758</v>
      </c>
      <c r="B37" s="11" t="s">
        <v>759</v>
      </c>
      <c r="C37" s="4" t="b">
        <v>1</v>
      </c>
      <c r="D37" s="4" t="b">
        <v>1</v>
      </c>
      <c r="E37" s="4" t="b">
        <v>1</v>
      </c>
      <c r="F37" s="4" t="s">
        <v>12</v>
      </c>
      <c r="G37" s="4" t="b">
        <v>1</v>
      </c>
      <c r="H37" s="4" t="s">
        <v>3123</v>
      </c>
      <c r="I37" s="4" t="b">
        <v>0</v>
      </c>
      <c r="J37" s="4" t="b">
        <v>1</v>
      </c>
      <c r="K37" s="4" t="b">
        <v>1</v>
      </c>
    </row>
    <row r="38" spans="1:11" ht="32" x14ac:dyDescent="0.2">
      <c r="A38" s="6" t="s">
        <v>778</v>
      </c>
      <c r="B38" s="11" t="s">
        <v>779</v>
      </c>
      <c r="C38" s="4" t="b">
        <v>1</v>
      </c>
      <c r="D38" s="4" t="b">
        <v>1</v>
      </c>
      <c r="E38" s="4" t="b">
        <v>1</v>
      </c>
      <c r="F38" s="4" t="s">
        <v>12</v>
      </c>
      <c r="G38" s="4" t="b">
        <v>1</v>
      </c>
      <c r="H38" s="4" t="s">
        <v>780</v>
      </c>
      <c r="I38" s="4" t="b">
        <v>0</v>
      </c>
      <c r="J38" s="4" t="b">
        <v>0</v>
      </c>
      <c r="K38" s="4" t="b">
        <v>1</v>
      </c>
    </row>
    <row r="39" spans="1:11" ht="96" x14ac:dyDescent="0.2">
      <c r="A39" s="6" t="s">
        <v>795</v>
      </c>
      <c r="B39" s="11" t="s">
        <v>796</v>
      </c>
      <c r="C39" s="4" t="b">
        <v>1</v>
      </c>
      <c r="D39" s="4" t="b">
        <v>1</v>
      </c>
      <c r="E39" s="4" t="b">
        <v>1</v>
      </c>
      <c r="F39" s="4" t="s">
        <v>12</v>
      </c>
      <c r="G39" s="4" t="b">
        <v>1</v>
      </c>
      <c r="H39" s="4" t="s">
        <v>3177</v>
      </c>
      <c r="I39" s="4" t="b">
        <v>0</v>
      </c>
      <c r="J39" s="4" t="b">
        <v>1</v>
      </c>
      <c r="K39" s="4" t="b">
        <v>0</v>
      </c>
    </row>
    <row r="40" spans="1:11" ht="80" x14ac:dyDescent="0.2">
      <c r="A40" s="6" t="s">
        <v>801</v>
      </c>
      <c r="B40" s="11" t="s">
        <v>802</v>
      </c>
      <c r="C40" s="4" t="b">
        <v>1</v>
      </c>
      <c r="D40" s="4" t="b">
        <v>1</v>
      </c>
      <c r="E40" s="4" t="b">
        <v>1</v>
      </c>
      <c r="F40" s="4" t="s">
        <v>12</v>
      </c>
      <c r="G40" s="4" t="b">
        <v>1</v>
      </c>
      <c r="H40" s="4" t="s">
        <v>3176</v>
      </c>
      <c r="I40" s="4" t="b">
        <v>1</v>
      </c>
      <c r="J40" s="4" t="b">
        <v>0</v>
      </c>
      <c r="K40" s="4" t="b">
        <v>0</v>
      </c>
    </row>
    <row r="41" spans="1:11" ht="160" x14ac:dyDescent="0.2">
      <c r="A41" s="6" t="s">
        <v>821</v>
      </c>
      <c r="B41" s="11" t="s">
        <v>822</v>
      </c>
      <c r="C41" s="4" t="b">
        <v>1</v>
      </c>
      <c r="D41" s="4" t="b">
        <v>1</v>
      </c>
      <c r="E41" s="4" t="b">
        <v>1</v>
      </c>
      <c r="F41" s="4" t="s">
        <v>12</v>
      </c>
      <c r="G41" s="4" t="b">
        <v>1</v>
      </c>
      <c r="H41" s="4" t="s">
        <v>3173</v>
      </c>
      <c r="I41" s="4" t="b">
        <v>1</v>
      </c>
      <c r="J41" s="4" t="b">
        <v>0</v>
      </c>
      <c r="K41" s="4" t="b">
        <v>0</v>
      </c>
    </row>
    <row r="42" spans="1:11" ht="112" x14ac:dyDescent="0.2">
      <c r="A42" s="6" t="s">
        <v>825</v>
      </c>
      <c r="B42" s="11" t="s">
        <v>826</v>
      </c>
      <c r="C42" s="4" t="b">
        <v>1</v>
      </c>
      <c r="D42" s="4" t="b">
        <v>1</v>
      </c>
      <c r="E42" s="4" t="b">
        <v>1</v>
      </c>
      <c r="F42" s="4" t="s">
        <v>12</v>
      </c>
      <c r="G42" s="4" t="b">
        <v>1</v>
      </c>
      <c r="H42" s="4" t="s">
        <v>3172</v>
      </c>
      <c r="I42" s="4" t="b">
        <v>0</v>
      </c>
      <c r="J42" s="4" t="b">
        <v>1</v>
      </c>
      <c r="K42" s="4" t="b">
        <v>0</v>
      </c>
    </row>
    <row r="43" spans="1:11" ht="208" x14ac:dyDescent="0.2">
      <c r="A43" s="6" t="s">
        <v>855</v>
      </c>
      <c r="B43" s="11" t="s">
        <v>856</v>
      </c>
      <c r="C43" s="4" t="b">
        <v>1</v>
      </c>
      <c r="D43" s="4" t="b">
        <v>1</v>
      </c>
      <c r="E43" s="4" t="b">
        <v>1</v>
      </c>
      <c r="F43" s="4" t="s">
        <v>12</v>
      </c>
      <c r="G43" s="4" t="b">
        <v>1</v>
      </c>
      <c r="H43" s="4" t="s">
        <v>3170</v>
      </c>
      <c r="I43" s="4" t="b">
        <v>0</v>
      </c>
      <c r="J43" s="4" t="b">
        <v>1</v>
      </c>
      <c r="K43" s="4" t="b">
        <v>0</v>
      </c>
    </row>
    <row r="44" spans="1:11" ht="80" x14ac:dyDescent="0.2">
      <c r="A44" s="6" t="s">
        <v>859</v>
      </c>
      <c r="B44" s="11" t="s">
        <v>860</v>
      </c>
      <c r="C44" s="4" t="b">
        <v>1</v>
      </c>
      <c r="D44" s="4" t="b">
        <v>1</v>
      </c>
      <c r="E44" s="4" t="b">
        <v>1</v>
      </c>
      <c r="F44" s="4" t="s">
        <v>12</v>
      </c>
      <c r="G44" s="4" t="b">
        <v>1</v>
      </c>
      <c r="H44" s="4" t="s">
        <v>3169</v>
      </c>
      <c r="I44" s="4" t="b">
        <v>1</v>
      </c>
      <c r="J44" s="4" t="b">
        <v>1</v>
      </c>
      <c r="K44" s="4" t="b">
        <v>0</v>
      </c>
    </row>
    <row r="45" spans="1:11" ht="176" x14ac:dyDescent="0.2">
      <c r="A45" s="6" t="s">
        <v>919</v>
      </c>
      <c r="B45" s="11" t="s">
        <v>920</v>
      </c>
      <c r="C45" s="4" t="b">
        <v>1</v>
      </c>
      <c r="D45" s="4" t="b">
        <v>1</v>
      </c>
      <c r="E45" s="4" t="b">
        <v>1</v>
      </c>
      <c r="F45" s="4" t="s">
        <v>12</v>
      </c>
      <c r="G45" s="4" t="b">
        <v>1</v>
      </c>
      <c r="H45" s="4" t="s">
        <v>3166</v>
      </c>
      <c r="I45" s="4" t="b">
        <v>0</v>
      </c>
      <c r="J45" s="4" t="b">
        <v>1</v>
      </c>
      <c r="K45" s="4" t="b">
        <v>0</v>
      </c>
    </row>
    <row r="46" spans="1:11" ht="240" x14ac:dyDescent="0.2">
      <c r="A46" s="6" t="s">
        <v>967</v>
      </c>
      <c r="B46" s="11" t="s">
        <v>968</v>
      </c>
      <c r="C46" s="4" t="b">
        <v>1</v>
      </c>
      <c r="D46" s="4" t="b">
        <v>1</v>
      </c>
      <c r="E46" s="4" t="b">
        <v>1</v>
      </c>
      <c r="F46" s="4" t="s">
        <v>12</v>
      </c>
      <c r="G46" s="4" t="b">
        <v>1</v>
      </c>
      <c r="H46" s="4" t="s">
        <v>3343</v>
      </c>
      <c r="I46" s="4" t="b">
        <v>1</v>
      </c>
      <c r="J46" s="4" t="b">
        <v>1</v>
      </c>
      <c r="K46" s="4" t="b">
        <v>0</v>
      </c>
    </row>
    <row r="47" spans="1:11" ht="176" x14ac:dyDescent="0.2">
      <c r="A47" s="6" t="s">
        <v>1003</v>
      </c>
      <c r="B47" s="11" t="s">
        <v>1004</v>
      </c>
      <c r="C47" s="4" t="b">
        <v>1</v>
      </c>
      <c r="D47" s="4" t="b">
        <v>1</v>
      </c>
      <c r="E47" s="4" t="b">
        <v>1</v>
      </c>
      <c r="F47" s="4" t="s">
        <v>12</v>
      </c>
      <c r="G47" s="4" t="b">
        <v>1</v>
      </c>
      <c r="H47" s="4" t="s">
        <v>3335</v>
      </c>
      <c r="I47" s="4" t="b">
        <v>1</v>
      </c>
      <c r="J47" s="4" t="b">
        <v>1</v>
      </c>
      <c r="K47" s="4" t="b">
        <v>0</v>
      </c>
    </row>
    <row r="48" spans="1:11" ht="240" x14ac:dyDescent="0.2">
      <c r="A48" s="6" t="s">
        <v>1017</v>
      </c>
      <c r="B48" s="11" t="s">
        <v>1018</v>
      </c>
      <c r="C48" s="4" t="b">
        <v>1</v>
      </c>
      <c r="D48" s="4" t="b">
        <v>1</v>
      </c>
      <c r="E48" s="4" t="b">
        <v>1</v>
      </c>
      <c r="F48" s="4" t="s">
        <v>12</v>
      </c>
      <c r="G48" s="4" t="b">
        <v>1</v>
      </c>
      <c r="H48" s="4" t="s">
        <v>3332</v>
      </c>
      <c r="I48" s="4" t="b">
        <v>1</v>
      </c>
      <c r="J48" s="4" t="b">
        <v>1</v>
      </c>
      <c r="K48" s="4" t="b">
        <v>0</v>
      </c>
    </row>
    <row r="49" spans="1:11" ht="128" x14ac:dyDescent="0.2">
      <c r="A49" s="6" t="s">
        <v>1057</v>
      </c>
      <c r="B49" s="11" t="s">
        <v>1058</v>
      </c>
      <c r="C49" s="4" t="b">
        <v>1</v>
      </c>
      <c r="D49" s="4" t="b">
        <v>1</v>
      </c>
      <c r="E49" s="4" t="b">
        <v>1</v>
      </c>
      <c r="F49" s="4" t="s">
        <v>12</v>
      </c>
      <c r="G49" s="4" t="b">
        <v>1</v>
      </c>
      <c r="H49" s="4" t="s">
        <v>3328</v>
      </c>
      <c r="I49" s="4" t="b">
        <v>1</v>
      </c>
      <c r="J49" s="4" t="b">
        <v>0</v>
      </c>
      <c r="K49" s="4" t="b">
        <v>0</v>
      </c>
    </row>
    <row r="50" spans="1:11" ht="96" x14ac:dyDescent="0.2">
      <c r="A50" s="6" t="s">
        <v>1087</v>
      </c>
      <c r="B50" s="11" t="s">
        <v>1088</v>
      </c>
      <c r="C50" s="4" t="b">
        <v>1</v>
      </c>
      <c r="D50" s="4" t="b">
        <v>1</v>
      </c>
      <c r="E50" s="4" t="b">
        <v>1</v>
      </c>
      <c r="F50" s="4" t="s">
        <v>12</v>
      </c>
      <c r="G50" s="4" t="b">
        <v>1</v>
      </c>
      <c r="H50" s="4" t="s">
        <v>3323</v>
      </c>
      <c r="I50" s="4" t="b">
        <v>1</v>
      </c>
      <c r="J50" s="4" t="b">
        <v>0</v>
      </c>
      <c r="K50" s="4" t="b">
        <v>1</v>
      </c>
    </row>
    <row r="51" spans="1:11" ht="144" x14ac:dyDescent="0.2">
      <c r="A51" s="6" t="s">
        <v>1091</v>
      </c>
      <c r="B51" s="11" t="s">
        <v>1092</v>
      </c>
      <c r="C51" s="4" t="b">
        <v>1</v>
      </c>
      <c r="D51" s="4" t="b">
        <v>1</v>
      </c>
      <c r="E51" s="4" t="b">
        <v>1</v>
      </c>
      <c r="F51" s="4" t="s">
        <v>12</v>
      </c>
      <c r="G51" s="4" t="b">
        <v>1</v>
      </c>
      <c r="H51" s="4" t="s">
        <v>3322</v>
      </c>
      <c r="I51" s="4" t="b">
        <v>0</v>
      </c>
      <c r="J51" s="4" t="b">
        <v>1</v>
      </c>
      <c r="K51" s="4" t="b">
        <v>1</v>
      </c>
    </row>
    <row r="52" spans="1:11" ht="96" x14ac:dyDescent="0.2">
      <c r="A52" s="6" t="s">
        <v>1119</v>
      </c>
      <c r="B52" s="11" t="s">
        <v>1120</v>
      </c>
      <c r="C52" s="4" t="b">
        <v>1</v>
      </c>
      <c r="D52" s="4" t="b">
        <v>1</v>
      </c>
      <c r="E52" s="4" t="b">
        <v>1</v>
      </c>
      <c r="F52" s="4" t="s">
        <v>12</v>
      </c>
      <c r="G52" s="4" t="b">
        <v>1</v>
      </c>
      <c r="H52" s="4" t="s">
        <v>3318</v>
      </c>
      <c r="I52" s="4" t="b">
        <v>0</v>
      </c>
      <c r="J52" s="4" t="b">
        <v>1</v>
      </c>
      <c r="K52" s="4" t="b">
        <v>1</v>
      </c>
    </row>
    <row r="53" spans="1:11" ht="128" x14ac:dyDescent="0.2">
      <c r="A53" s="6" t="s">
        <v>1141</v>
      </c>
      <c r="B53" s="11" t="s">
        <v>1142</v>
      </c>
      <c r="C53" s="4" t="b">
        <v>1</v>
      </c>
      <c r="D53" s="4" t="b">
        <v>1</v>
      </c>
      <c r="E53" s="4" t="b">
        <v>1</v>
      </c>
      <c r="F53" s="4" t="s">
        <v>12</v>
      </c>
      <c r="G53" s="4" t="b">
        <v>1</v>
      </c>
      <c r="H53" s="4" t="s">
        <v>3313</v>
      </c>
      <c r="I53" s="4" t="b">
        <v>0</v>
      </c>
      <c r="J53" s="4" t="b">
        <v>1</v>
      </c>
      <c r="K53" s="4" t="b">
        <v>0</v>
      </c>
    </row>
    <row r="54" spans="1:11" ht="192" x14ac:dyDescent="0.2">
      <c r="A54" s="6" t="s">
        <v>1169</v>
      </c>
      <c r="B54" s="11" t="s">
        <v>1170</v>
      </c>
      <c r="C54" s="4" t="b">
        <v>1</v>
      </c>
      <c r="D54" s="4" t="b">
        <v>1</v>
      </c>
      <c r="E54" s="4" t="b">
        <v>1</v>
      </c>
      <c r="F54" s="4" t="s">
        <v>12</v>
      </c>
      <c r="G54" s="4" t="b">
        <v>1</v>
      </c>
      <c r="H54" s="4" t="s">
        <v>3309</v>
      </c>
      <c r="I54" s="4" t="b">
        <v>0</v>
      </c>
      <c r="J54" s="4" t="b">
        <v>1</v>
      </c>
      <c r="K54" s="4" t="b">
        <v>1</v>
      </c>
    </row>
    <row r="55" spans="1:11" ht="112" x14ac:dyDescent="0.2">
      <c r="A55" s="6" t="s">
        <v>1187</v>
      </c>
      <c r="B55" s="11" t="s">
        <v>1188</v>
      </c>
      <c r="C55" s="4" t="b">
        <v>1</v>
      </c>
      <c r="D55" s="4" t="b">
        <v>1</v>
      </c>
      <c r="E55" s="4" t="b">
        <v>1</v>
      </c>
      <c r="F55" s="4" t="s">
        <v>12</v>
      </c>
      <c r="G55" s="4" t="b">
        <v>1</v>
      </c>
      <c r="H55" s="4" t="s">
        <v>3159</v>
      </c>
      <c r="I55" s="4" t="b">
        <v>0</v>
      </c>
      <c r="J55" s="4" t="b">
        <v>1</v>
      </c>
      <c r="K55" s="4" t="b">
        <v>0</v>
      </c>
    </row>
    <row r="56" spans="1:11" ht="144" x14ac:dyDescent="0.2">
      <c r="A56" s="6" t="s">
        <v>1227</v>
      </c>
      <c r="B56" s="11" t="s">
        <v>1228</v>
      </c>
      <c r="C56" s="4" t="b">
        <v>1</v>
      </c>
      <c r="D56" s="4" t="b">
        <v>1</v>
      </c>
      <c r="E56" s="4" t="b">
        <v>1</v>
      </c>
      <c r="F56" s="4" t="s">
        <v>12</v>
      </c>
      <c r="G56" s="4" t="b">
        <v>1</v>
      </c>
      <c r="H56" s="4" t="s">
        <v>3152</v>
      </c>
      <c r="I56" s="4" t="b">
        <v>0</v>
      </c>
      <c r="J56" s="4" t="b">
        <v>1</v>
      </c>
      <c r="K56" s="4" t="b">
        <v>0</v>
      </c>
    </row>
    <row r="57" spans="1:11" ht="176" x14ac:dyDescent="0.2">
      <c r="A57" s="6" t="s">
        <v>1281</v>
      </c>
      <c r="B57" s="11" t="s">
        <v>1282</v>
      </c>
      <c r="C57" s="4" t="b">
        <v>1</v>
      </c>
      <c r="D57" s="4" t="b">
        <v>1</v>
      </c>
      <c r="E57" s="4" t="b">
        <v>1</v>
      </c>
      <c r="F57" s="4" t="s">
        <v>12</v>
      </c>
      <c r="G57" s="4" t="b">
        <v>1</v>
      </c>
      <c r="H57" s="4" t="s">
        <v>3157</v>
      </c>
      <c r="I57" s="4" t="b">
        <v>0</v>
      </c>
      <c r="J57" s="4" t="b">
        <v>1</v>
      </c>
      <c r="K57" s="4" t="b">
        <v>0</v>
      </c>
    </row>
    <row r="58" spans="1:11" ht="48" x14ac:dyDescent="0.2">
      <c r="A58" s="6" t="s">
        <v>1283</v>
      </c>
      <c r="B58" s="11" t="s">
        <v>1284</v>
      </c>
      <c r="C58" s="4" t="b">
        <v>1</v>
      </c>
      <c r="D58" s="4" t="b">
        <v>1</v>
      </c>
      <c r="E58" s="4" t="b">
        <v>1</v>
      </c>
      <c r="F58" s="4" t="s">
        <v>12</v>
      </c>
      <c r="G58" s="4" t="b">
        <v>1</v>
      </c>
      <c r="H58" s="4" t="s">
        <v>3146</v>
      </c>
      <c r="I58" s="4" t="b">
        <v>1</v>
      </c>
      <c r="J58" s="4" t="b">
        <v>0</v>
      </c>
      <c r="K58" s="4" t="b">
        <v>0</v>
      </c>
    </row>
    <row r="59" spans="1:11" ht="128" x14ac:dyDescent="0.2">
      <c r="A59" s="6" t="s">
        <v>1312</v>
      </c>
      <c r="B59" s="11" t="s">
        <v>1313</v>
      </c>
      <c r="C59" s="4" t="b">
        <v>1</v>
      </c>
      <c r="D59" s="4" t="b">
        <v>1</v>
      </c>
      <c r="E59" s="4" t="b">
        <v>1</v>
      </c>
      <c r="F59" s="4" t="s">
        <v>12</v>
      </c>
      <c r="G59" s="4" t="b">
        <v>1</v>
      </c>
      <c r="H59" s="4" t="s">
        <v>3095</v>
      </c>
      <c r="I59" s="4" t="b">
        <v>0</v>
      </c>
      <c r="J59" s="4" t="b">
        <v>1</v>
      </c>
      <c r="K59" s="4" t="b">
        <v>0</v>
      </c>
    </row>
    <row r="60" spans="1:11" ht="80" x14ac:dyDescent="0.2">
      <c r="A60" s="6" t="s">
        <v>1322</v>
      </c>
      <c r="B60" s="11" t="s">
        <v>1323</v>
      </c>
      <c r="C60" s="4" t="b">
        <v>1</v>
      </c>
      <c r="D60" s="4" t="b">
        <v>1</v>
      </c>
      <c r="E60" s="4" t="b">
        <v>1</v>
      </c>
      <c r="F60" s="4" t="s">
        <v>12</v>
      </c>
      <c r="G60" s="4" t="b">
        <v>1</v>
      </c>
      <c r="H60" s="4" t="s">
        <v>3091</v>
      </c>
      <c r="I60" s="4" t="b">
        <v>0</v>
      </c>
      <c r="J60" s="4" t="b">
        <v>1</v>
      </c>
      <c r="K60" s="4" t="b">
        <v>0</v>
      </c>
    </row>
    <row r="61" spans="1:11" ht="96" x14ac:dyDescent="0.2">
      <c r="A61" s="6" t="s">
        <v>1347</v>
      </c>
      <c r="B61" s="11" t="s">
        <v>1348</v>
      </c>
      <c r="C61" s="4" t="b">
        <v>1</v>
      </c>
      <c r="D61" s="4" t="b">
        <v>1</v>
      </c>
      <c r="E61" s="4" t="b">
        <v>1</v>
      </c>
      <c r="F61" s="4" t="s">
        <v>12</v>
      </c>
      <c r="G61" s="4" t="b">
        <v>1</v>
      </c>
      <c r="H61" s="4" t="s">
        <v>3088</v>
      </c>
      <c r="I61" s="4" t="b">
        <v>0</v>
      </c>
      <c r="J61" s="4" t="b">
        <v>1</v>
      </c>
      <c r="K61" s="4" t="b">
        <v>1</v>
      </c>
    </row>
    <row r="62" spans="1:11" ht="64" x14ac:dyDescent="0.2">
      <c r="A62" s="6" t="s">
        <v>1361</v>
      </c>
      <c r="B62" s="11" t="s">
        <v>1362</v>
      </c>
      <c r="C62" s="4" t="b">
        <v>1</v>
      </c>
      <c r="D62" s="4" t="b">
        <v>1</v>
      </c>
      <c r="E62" s="4" t="b">
        <v>1</v>
      </c>
      <c r="F62" s="4" t="s">
        <v>12</v>
      </c>
      <c r="G62" s="4" t="b">
        <v>1</v>
      </c>
      <c r="H62" s="4" t="s">
        <v>3356</v>
      </c>
      <c r="I62" s="4" t="b">
        <v>0</v>
      </c>
      <c r="J62" s="4" t="b">
        <v>1</v>
      </c>
      <c r="K62" s="4" t="b">
        <v>0</v>
      </c>
    </row>
    <row r="63" spans="1:11" ht="160" x14ac:dyDescent="0.2">
      <c r="A63" s="6" t="s">
        <v>1363</v>
      </c>
      <c r="B63" s="11" t="s">
        <v>1364</v>
      </c>
      <c r="C63" s="4" t="b">
        <v>1</v>
      </c>
      <c r="D63" s="4" t="b">
        <v>1</v>
      </c>
      <c r="E63" s="4" t="b">
        <v>1</v>
      </c>
      <c r="F63" s="4" t="s">
        <v>12</v>
      </c>
      <c r="G63" s="4" t="b">
        <v>1</v>
      </c>
      <c r="H63" s="4" t="s">
        <v>3187</v>
      </c>
      <c r="I63" s="4" t="b">
        <v>0</v>
      </c>
      <c r="J63" s="4" t="b">
        <v>1</v>
      </c>
      <c r="K63" s="4" t="b">
        <v>0</v>
      </c>
    </row>
    <row r="64" spans="1:11" ht="64" x14ac:dyDescent="0.2">
      <c r="A64" s="6" t="s">
        <v>1367</v>
      </c>
      <c r="B64" s="11" t="s">
        <v>1368</v>
      </c>
      <c r="C64" s="4" t="b">
        <v>1</v>
      </c>
      <c r="D64" s="4" t="b">
        <v>1</v>
      </c>
      <c r="E64" s="4" t="b">
        <v>1</v>
      </c>
      <c r="F64" s="4" t="s">
        <v>12</v>
      </c>
      <c r="G64" s="4" t="b">
        <v>1</v>
      </c>
      <c r="H64" s="4" t="s">
        <v>3084</v>
      </c>
      <c r="I64" s="4" t="b">
        <v>0</v>
      </c>
      <c r="J64" s="4" t="b">
        <v>1</v>
      </c>
      <c r="K64" s="4" t="b">
        <v>0</v>
      </c>
    </row>
    <row r="65" spans="1:11" ht="224" x14ac:dyDescent="0.2">
      <c r="A65" s="6" t="s">
        <v>1462</v>
      </c>
      <c r="B65" s="11" t="s">
        <v>1463</v>
      </c>
      <c r="C65" s="4" t="b">
        <v>1</v>
      </c>
      <c r="D65" s="4" t="b">
        <v>1</v>
      </c>
      <c r="E65" s="4" t="b">
        <v>1</v>
      </c>
      <c r="F65" s="4" t="s">
        <v>12</v>
      </c>
      <c r="G65" s="4" t="b">
        <v>1</v>
      </c>
      <c r="H65" s="4" t="s">
        <v>3307</v>
      </c>
      <c r="I65" s="4" t="b">
        <v>1</v>
      </c>
      <c r="J65" s="4" t="b">
        <v>1</v>
      </c>
      <c r="K65" s="4" t="b">
        <v>0</v>
      </c>
    </row>
    <row r="66" spans="1:11" ht="48" x14ac:dyDescent="0.2">
      <c r="A66" s="6" t="s">
        <v>1563</v>
      </c>
      <c r="B66" s="11" t="s">
        <v>1564</v>
      </c>
      <c r="C66" s="4" t="b">
        <v>1</v>
      </c>
      <c r="D66" s="4" t="b">
        <v>1</v>
      </c>
      <c r="E66" s="4" t="b">
        <v>1</v>
      </c>
      <c r="F66" s="4" t="s">
        <v>12</v>
      </c>
      <c r="G66" s="4" t="b">
        <v>1</v>
      </c>
      <c r="H66" s="4" t="s">
        <v>3288</v>
      </c>
      <c r="I66" s="4" t="b">
        <v>1</v>
      </c>
      <c r="J66" s="4" t="b">
        <v>0</v>
      </c>
      <c r="K66" s="4" t="b">
        <v>0</v>
      </c>
    </row>
    <row r="67" spans="1:11" ht="80" x14ac:dyDescent="0.2">
      <c r="A67" s="6" t="s">
        <v>1569</v>
      </c>
      <c r="B67" s="11" t="s">
        <v>1570</v>
      </c>
      <c r="C67" s="4" t="b">
        <v>1</v>
      </c>
      <c r="D67" s="4" t="b">
        <v>1</v>
      </c>
      <c r="E67" s="4" t="b">
        <v>1</v>
      </c>
      <c r="F67" s="4" t="s">
        <v>12</v>
      </c>
      <c r="G67" s="4" t="b">
        <v>1</v>
      </c>
      <c r="H67" s="4" t="s">
        <v>3287</v>
      </c>
      <c r="I67" s="4" t="b">
        <v>0</v>
      </c>
      <c r="J67" s="4" t="b">
        <v>1</v>
      </c>
      <c r="K67" s="4" t="b">
        <v>0</v>
      </c>
    </row>
    <row r="68" spans="1:11" ht="48" x14ac:dyDescent="0.2">
      <c r="A68" s="6" t="s">
        <v>1623</v>
      </c>
      <c r="B68" s="11" t="s">
        <v>1624</v>
      </c>
      <c r="C68" s="4" t="b">
        <v>1</v>
      </c>
      <c r="D68" s="4" t="b">
        <v>1</v>
      </c>
      <c r="E68" s="4" t="b">
        <v>1</v>
      </c>
      <c r="F68" s="4" t="s">
        <v>12</v>
      </c>
      <c r="G68" s="4" t="b">
        <v>1</v>
      </c>
      <c r="H68" s="4" t="s">
        <v>3277</v>
      </c>
      <c r="I68" s="4" t="b">
        <v>1</v>
      </c>
      <c r="J68" s="4" t="b">
        <v>1</v>
      </c>
      <c r="K68" s="4" t="b">
        <v>0</v>
      </c>
    </row>
    <row r="69" spans="1:11" ht="80" x14ac:dyDescent="0.2">
      <c r="A69" s="6" t="s">
        <v>1635</v>
      </c>
      <c r="B69" s="11" t="s">
        <v>1636</v>
      </c>
      <c r="C69" s="4" t="b">
        <v>1</v>
      </c>
      <c r="D69" s="4" t="b">
        <v>1</v>
      </c>
      <c r="E69" s="4" t="b">
        <v>1</v>
      </c>
      <c r="F69" s="4" t="s">
        <v>12</v>
      </c>
      <c r="G69" s="4" t="b">
        <v>1</v>
      </c>
      <c r="H69" s="4" t="s">
        <v>3275</v>
      </c>
      <c r="I69" s="4" t="b">
        <v>0</v>
      </c>
      <c r="J69" s="4" t="b">
        <v>1</v>
      </c>
      <c r="K69" s="4" t="b">
        <v>0</v>
      </c>
    </row>
    <row r="70" spans="1:11" ht="128" x14ac:dyDescent="0.2">
      <c r="A70" s="6" t="s">
        <v>1643</v>
      </c>
      <c r="B70" s="11" t="s">
        <v>1644</v>
      </c>
      <c r="C70" s="4" t="b">
        <v>1</v>
      </c>
      <c r="D70" s="4" t="b">
        <v>1</v>
      </c>
      <c r="E70" s="4" t="b">
        <v>1</v>
      </c>
      <c r="F70" s="4" t="s">
        <v>12</v>
      </c>
      <c r="G70" s="4" t="b">
        <v>1</v>
      </c>
      <c r="H70" s="4" t="s">
        <v>3273</v>
      </c>
      <c r="I70" s="4" t="b">
        <v>0</v>
      </c>
      <c r="J70" s="4" t="b">
        <v>1</v>
      </c>
      <c r="K70" s="4" t="b">
        <v>0</v>
      </c>
    </row>
    <row r="71" spans="1:11" ht="64" x14ac:dyDescent="0.2">
      <c r="A71" s="6" t="s">
        <v>1675</v>
      </c>
      <c r="B71" s="11" t="s">
        <v>1676</v>
      </c>
      <c r="C71" s="4" t="b">
        <v>1</v>
      </c>
      <c r="D71" s="4" t="b">
        <v>1</v>
      </c>
      <c r="E71" s="4" t="b">
        <v>1</v>
      </c>
      <c r="F71" s="4" t="s">
        <v>12</v>
      </c>
      <c r="G71" s="4" t="b">
        <v>1</v>
      </c>
      <c r="H71" s="4" t="s">
        <v>3117</v>
      </c>
      <c r="I71" s="4" t="b">
        <v>0</v>
      </c>
      <c r="J71" s="4" t="b">
        <v>1</v>
      </c>
      <c r="K71" s="4" t="b">
        <v>1</v>
      </c>
    </row>
    <row r="72" spans="1:11" ht="80" x14ac:dyDescent="0.2">
      <c r="A72" s="6" t="s">
        <v>1679</v>
      </c>
      <c r="B72" s="11" t="s">
        <v>1680</v>
      </c>
      <c r="C72" s="4" t="b">
        <v>1</v>
      </c>
      <c r="D72" s="4" t="b">
        <v>1</v>
      </c>
      <c r="E72" s="4" t="b">
        <v>1</v>
      </c>
      <c r="F72" s="4" t="s">
        <v>12</v>
      </c>
      <c r="G72" s="4" t="b">
        <v>1</v>
      </c>
      <c r="H72" s="4" t="s">
        <v>3116</v>
      </c>
      <c r="I72" s="4" t="b">
        <v>1</v>
      </c>
      <c r="J72" s="4" t="b">
        <v>0</v>
      </c>
      <c r="K72" s="4" t="b">
        <v>1</v>
      </c>
    </row>
    <row r="73" spans="1:11" ht="80" x14ac:dyDescent="0.2">
      <c r="A73" s="6" t="s">
        <v>1733</v>
      </c>
      <c r="B73" s="11" t="s">
        <v>1734</v>
      </c>
      <c r="C73" s="4" t="b">
        <v>1</v>
      </c>
      <c r="D73" s="4" t="b">
        <v>1</v>
      </c>
      <c r="E73" s="4" t="b">
        <v>1</v>
      </c>
      <c r="F73" s="4" t="s">
        <v>12</v>
      </c>
      <c r="G73" s="4" t="b">
        <v>1</v>
      </c>
      <c r="H73" s="4" t="s">
        <v>3106</v>
      </c>
      <c r="I73" s="4" t="b">
        <v>0</v>
      </c>
      <c r="J73" s="4" t="b">
        <v>1</v>
      </c>
      <c r="K73" s="4" t="b">
        <v>0</v>
      </c>
    </row>
    <row r="74" spans="1:11" ht="240" x14ac:dyDescent="0.2">
      <c r="A74" s="6" t="s">
        <v>1739</v>
      </c>
      <c r="B74" s="11" t="s">
        <v>1740</v>
      </c>
      <c r="C74" s="4" t="b">
        <v>1</v>
      </c>
      <c r="D74" s="4" t="b">
        <v>1</v>
      </c>
      <c r="E74" s="4" t="b">
        <v>1</v>
      </c>
      <c r="F74" s="4" t="s">
        <v>12</v>
      </c>
      <c r="G74" s="4" t="b">
        <v>1</v>
      </c>
      <c r="H74" s="4" t="s">
        <v>3099</v>
      </c>
      <c r="I74" s="4" t="b">
        <v>1</v>
      </c>
      <c r="J74" s="4" t="b">
        <v>1</v>
      </c>
      <c r="K74" s="4" t="b">
        <v>0</v>
      </c>
    </row>
    <row r="75" spans="1:11" ht="160" x14ac:dyDescent="0.2">
      <c r="A75" s="6" t="s">
        <v>1761</v>
      </c>
      <c r="B75" s="11" t="s">
        <v>1762</v>
      </c>
      <c r="C75" s="4" t="b">
        <v>1</v>
      </c>
      <c r="D75" s="4" t="b">
        <v>1</v>
      </c>
      <c r="E75" s="4" t="b">
        <v>1</v>
      </c>
      <c r="F75" s="4" t="s">
        <v>12</v>
      </c>
      <c r="G75" s="4" t="b">
        <v>1</v>
      </c>
      <c r="H75" s="4" t="s">
        <v>3359</v>
      </c>
      <c r="I75" s="4" t="b">
        <v>1</v>
      </c>
      <c r="J75" s="4" t="b">
        <v>1</v>
      </c>
      <c r="K75" s="4" t="b">
        <v>1</v>
      </c>
    </row>
    <row r="76" spans="1:11" ht="64" x14ac:dyDescent="0.2">
      <c r="A76" s="6" t="s">
        <v>1763</v>
      </c>
      <c r="B76" s="11" t="s">
        <v>1764</v>
      </c>
      <c r="C76" s="4" t="b">
        <v>1</v>
      </c>
      <c r="D76" s="4" t="b">
        <v>1</v>
      </c>
      <c r="E76" s="4" t="b">
        <v>1</v>
      </c>
      <c r="F76" s="4" t="s">
        <v>12</v>
      </c>
      <c r="G76" s="4" t="b">
        <v>1</v>
      </c>
      <c r="H76" s="4" t="s">
        <v>3071</v>
      </c>
      <c r="I76" s="4" t="b">
        <v>1</v>
      </c>
      <c r="J76" s="4" t="b">
        <v>0</v>
      </c>
      <c r="K76" s="4" t="b">
        <v>1</v>
      </c>
    </row>
    <row r="77" spans="1:11" ht="32" x14ac:dyDescent="0.2">
      <c r="A77" s="6" t="s">
        <v>1811</v>
      </c>
      <c r="B77" s="11" t="s">
        <v>1812</v>
      </c>
      <c r="C77" s="4" t="b">
        <v>1</v>
      </c>
      <c r="D77" s="4" t="b">
        <v>1</v>
      </c>
      <c r="E77" s="4" t="b">
        <v>1</v>
      </c>
      <c r="F77" s="4" t="s">
        <v>12</v>
      </c>
      <c r="G77" s="4" t="b">
        <v>1</v>
      </c>
      <c r="H77" s="4" t="s">
        <v>3065</v>
      </c>
      <c r="I77" s="4" t="b">
        <v>0</v>
      </c>
      <c r="J77" s="4" t="b">
        <v>1</v>
      </c>
      <c r="K77" s="4" t="b">
        <v>0</v>
      </c>
    </row>
    <row r="78" spans="1:11" ht="112" x14ac:dyDescent="0.2">
      <c r="A78" s="6" t="s">
        <v>1881</v>
      </c>
      <c r="B78" s="11" t="s">
        <v>1882</v>
      </c>
      <c r="C78" s="4" t="b">
        <v>1</v>
      </c>
      <c r="D78" s="4" t="b">
        <v>1</v>
      </c>
      <c r="E78" s="4" t="b">
        <v>1</v>
      </c>
      <c r="F78" s="4" t="s">
        <v>12</v>
      </c>
      <c r="G78" s="4" t="b">
        <v>1</v>
      </c>
      <c r="H78" s="4" t="s">
        <v>3056</v>
      </c>
      <c r="I78" s="4" t="b">
        <v>0</v>
      </c>
      <c r="J78" s="4" t="b">
        <v>1</v>
      </c>
      <c r="K78" s="4" t="b">
        <v>0</v>
      </c>
    </row>
    <row r="79" spans="1:11" ht="80" x14ac:dyDescent="0.2">
      <c r="A79" s="6" t="s">
        <v>1883</v>
      </c>
      <c r="B79" s="11" t="s">
        <v>1884</v>
      </c>
      <c r="C79" s="4" t="b">
        <v>1</v>
      </c>
      <c r="D79" s="4" t="b">
        <v>1</v>
      </c>
      <c r="E79" s="4" t="b">
        <v>1</v>
      </c>
      <c r="F79" s="4" t="s">
        <v>12</v>
      </c>
      <c r="G79" s="4" t="b">
        <v>1</v>
      </c>
      <c r="H79" s="4" t="s">
        <v>3055</v>
      </c>
      <c r="I79" s="4" t="b">
        <v>0</v>
      </c>
      <c r="J79" s="4" t="b">
        <v>1</v>
      </c>
      <c r="K79" s="4" t="b">
        <v>0</v>
      </c>
    </row>
    <row r="80" spans="1:11" ht="96" x14ac:dyDescent="0.2">
      <c r="A80" s="6" t="s">
        <v>1891</v>
      </c>
      <c r="B80" s="11" t="s">
        <v>1892</v>
      </c>
      <c r="C80" s="4" t="b">
        <v>1</v>
      </c>
      <c r="D80" s="4" t="b">
        <v>1</v>
      </c>
      <c r="E80" s="4" t="b">
        <v>1</v>
      </c>
      <c r="F80" s="4" t="s">
        <v>12</v>
      </c>
      <c r="G80" s="4" t="b">
        <v>1</v>
      </c>
      <c r="H80" s="4" t="s">
        <v>3052</v>
      </c>
      <c r="I80" s="4" t="b">
        <v>0</v>
      </c>
      <c r="J80" s="4" t="b">
        <v>1</v>
      </c>
      <c r="K80" s="4" t="b">
        <v>1</v>
      </c>
    </row>
    <row r="81" spans="1:11" ht="48" x14ac:dyDescent="0.2">
      <c r="A81" s="6" t="s">
        <v>1903</v>
      </c>
      <c r="B81" s="11" t="s">
        <v>1904</v>
      </c>
      <c r="C81" s="4" t="b">
        <v>1</v>
      </c>
      <c r="D81" s="4" t="b">
        <v>1</v>
      </c>
      <c r="E81" s="4" t="b">
        <v>1</v>
      </c>
      <c r="F81" s="4" t="s">
        <v>12</v>
      </c>
      <c r="G81" s="4" t="b">
        <v>1</v>
      </c>
      <c r="H81" s="4" t="s">
        <v>3050</v>
      </c>
      <c r="I81" s="4" t="b">
        <v>0</v>
      </c>
      <c r="J81" s="4" t="b">
        <v>1</v>
      </c>
      <c r="K81" s="4" t="b">
        <v>0</v>
      </c>
    </row>
    <row r="82" spans="1:11" ht="48" x14ac:dyDescent="0.2">
      <c r="A82" s="6" t="s">
        <v>1923</v>
      </c>
      <c r="B82" s="11" t="s">
        <v>1924</v>
      </c>
      <c r="C82" s="4" t="b">
        <v>1</v>
      </c>
      <c r="D82" s="4" t="b">
        <v>1</v>
      </c>
      <c r="E82" s="4" t="b">
        <v>1</v>
      </c>
      <c r="F82" s="4" t="s">
        <v>12</v>
      </c>
      <c r="G82" s="4" t="b">
        <v>1</v>
      </c>
      <c r="H82" s="4" t="s">
        <v>3049</v>
      </c>
      <c r="I82" s="4" t="b">
        <v>0</v>
      </c>
      <c r="J82" s="4" t="b">
        <v>1</v>
      </c>
      <c r="K82" s="4" t="b">
        <v>0</v>
      </c>
    </row>
    <row r="83" spans="1:11" ht="112" x14ac:dyDescent="0.2">
      <c r="A83" s="6" t="s">
        <v>1927</v>
      </c>
      <c r="B83" s="11" t="s">
        <v>1928</v>
      </c>
      <c r="C83" s="4" t="b">
        <v>1</v>
      </c>
      <c r="D83" s="4" t="b">
        <v>1</v>
      </c>
      <c r="E83" s="4" t="b">
        <v>1</v>
      </c>
      <c r="F83" s="4" t="s">
        <v>12</v>
      </c>
      <c r="G83" s="4" t="b">
        <v>1</v>
      </c>
      <c r="H83" s="4" t="s">
        <v>3047</v>
      </c>
      <c r="I83" s="4" t="b">
        <v>0</v>
      </c>
      <c r="J83" s="4" t="b">
        <v>1</v>
      </c>
      <c r="K83" s="4" t="b">
        <v>1</v>
      </c>
    </row>
    <row r="84" spans="1:11" ht="96" x14ac:dyDescent="0.2">
      <c r="A84" s="6" t="s">
        <v>1937</v>
      </c>
      <c r="B84" s="11" t="s">
        <v>1938</v>
      </c>
      <c r="C84" s="4" t="b">
        <v>1</v>
      </c>
      <c r="D84" s="4" t="b">
        <v>1</v>
      </c>
      <c r="E84" s="4" t="b">
        <v>1</v>
      </c>
      <c r="F84" s="4" t="s">
        <v>12</v>
      </c>
      <c r="G84" s="4" t="b">
        <v>1</v>
      </c>
      <c r="H84" s="4" t="s">
        <v>3048</v>
      </c>
      <c r="I84" s="4" t="b">
        <v>0</v>
      </c>
      <c r="J84" s="4" t="b">
        <v>1</v>
      </c>
      <c r="K84" s="4" t="b">
        <v>1</v>
      </c>
    </row>
    <row r="85" spans="1:11" ht="160" x14ac:dyDescent="0.2">
      <c r="A85" s="6" t="s">
        <v>1965</v>
      </c>
      <c r="B85" s="11" t="s">
        <v>1966</v>
      </c>
      <c r="C85" s="4" t="b">
        <v>1</v>
      </c>
      <c r="D85" s="4" t="b">
        <v>1</v>
      </c>
      <c r="E85" s="4" t="b">
        <v>1</v>
      </c>
      <c r="F85" s="4" t="s">
        <v>12</v>
      </c>
      <c r="G85" s="4" t="b">
        <v>1</v>
      </c>
      <c r="H85" s="4" t="s">
        <v>3042</v>
      </c>
      <c r="I85" s="4" t="b">
        <v>0</v>
      </c>
      <c r="J85" s="4" t="b">
        <v>1</v>
      </c>
      <c r="K85" s="4" t="b">
        <v>1</v>
      </c>
    </row>
    <row r="86" spans="1:11" ht="80" x14ac:dyDescent="0.2">
      <c r="A86" s="6" t="s">
        <v>1967</v>
      </c>
      <c r="B86" s="11" t="s">
        <v>1968</v>
      </c>
      <c r="C86" s="4" t="b">
        <v>1</v>
      </c>
      <c r="D86" s="4" t="b">
        <v>1</v>
      </c>
      <c r="E86" s="4" t="b">
        <v>1</v>
      </c>
      <c r="F86" s="4" t="s">
        <v>12</v>
      </c>
      <c r="G86" s="4" t="b">
        <v>1</v>
      </c>
      <c r="H86" s="4" t="s">
        <v>3041</v>
      </c>
      <c r="I86" s="4" t="b">
        <v>1</v>
      </c>
      <c r="J86" s="4" t="b">
        <v>1</v>
      </c>
      <c r="K86" s="4" t="b">
        <v>0</v>
      </c>
    </row>
    <row r="87" spans="1:11" ht="80" x14ac:dyDescent="0.2">
      <c r="A87" s="6" t="s">
        <v>1971</v>
      </c>
      <c r="B87" s="11" t="s">
        <v>1972</v>
      </c>
      <c r="C87" s="4" t="b">
        <v>1</v>
      </c>
      <c r="D87" s="4" t="b">
        <v>1</v>
      </c>
      <c r="E87" s="4" t="b">
        <v>1</v>
      </c>
      <c r="F87" s="4" t="s">
        <v>12</v>
      </c>
      <c r="G87" s="4" t="b">
        <v>1</v>
      </c>
      <c r="H87" s="4" t="s">
        <v>3038</v>
      </c>
      <c r="I87" s="4" t="b">
        <v>0</v>
      </c>
      <c r="J87" s="4" t="b">
        <v>1</v>
      </c>
      <c r="K87" s="4" t="b">
        <v>0</v>
      </c>
    </row>
    <row r="88" spans="1:11" ht="48" x14ac:dyDescent="0.2">
      <c r="A88" s="6" t="s">
        <v>2118</v>
      </c>
      <c r="B88" s="11" t="s">
        <v>2119</v>
      </c>
      <c r="C88" s="4" t="b">
        <v>1</v>
      </c>
      <c r="D88" s="4" t="b">
        <v>1</v>
      </c>
      <c r="E88" s="4" t="b">
        <v>1</v>
      </c>
      <c r="F88" s="4" t="s">
        <v>12</v>
      </c>
      <c r="G88" s="4" t="b">
        <v>1</v>
      </c>
      <c r="H88" s="4" t="s">
        <v>3360</v>
      </c>
      <c r="I88" s="4" t="b">
        <v>0</v>
      </c>
      <c r="J88" s="4" t="b">
        <v>1</v>
      </c>
      <c r="K88" s="4" t="b">
        <v>0</v>
      </c>
    </row>
    <row r="89" spans="1:11" ht="160" x14ac:dyDescent="0.2">
      <c r="A89" s="6" t="s">
        <v>2134</v>
      </c>
      <c r="B89" s="11" t="s">
        <v>2135</v>
      </c>
      <c r="C89" s="4" t="b">
        <v>1</v>
      </c>
      <c r="D89" s="4" t="b">
        <v>1</v>
      </c>
      <c r="E89" s="4" t="b">
        <v>1</v>
      </c>
      <c r="F89" s="4" t="s">
        <v>12</v>
      </c>
      <c r="G89" s="4" t="b">
        <v>1</v>
      </c>
      <c r="H89" s="4" t="s">
        <v>3251</v>
      </c>
      <c r="I89" s="4" t="b">
        <v>1</v>
      </c>
      <c r="J89" s="4" t="b">
        <v>1</v>
      </c>
      <c r="K89" s="4" t="b">
        <v>0</v>
      </c>
    </row>
    <row r="90" spans="1:11" ht="80" x14ac:dyDescent="0.2">
      <c r="A90" s="6" t="s">
        <v>2142</v>
      </c>
      <c r="B90" s="11" t="s">
        <v>2143</v>
      </c>
      <c r="C90" s="4" t="b">
        <v>1</v>
      </c>
      <c r="D90" s="4" t="b">
        <v>1</v>
      </c>
      <c r="E90" s="4" t="b">
        <v>1</v>
      </c>
      <c r="F90" s="4" t="s">
        <v>12</v>
      </c>
      <c r="G90" s="4" t="b">
        <v>1</v>
      </c>
      <c r="H90" s="4" t="s">
        <v>3031</v>
      </c>
      <c r="I90" s="4" t="b">
        <v>1</v>
      </c>
      <c r="J90" s="4" t="b">
        <v>1</v>
      </c>
      <c r="K90" s="4" t="b">
        <v>1</v>
      </c>
    </row>
    <row r="91" spans="1:11" ht="48" x14ac:dyDescent="0.2">
      <c r="A91" s="6" t="s">
        <v>2148</v>
      </c>
      <c r="B91" s="11" t="s">
        <v>2149</v>
      </c>
      <c r="C91" s="4" t="b">
        <v>1</v>
      </c>
      <c r="D91" s="4" t="b">
        <v>1</v>
      </c>
      <c r="E91" s="4" t="b">
        <v>1</v>
      </c>
      <c r="F91" s="4" t="s">
        <v>12</v>
      </c>
      <c r="G91" s="4" t="b">
        <v>1</v>
      </c>
      <c r="H91" s="4" t="s">
        <v>3030</v>
      </c>
      <c r="I91" s="4" t="b">
        <v>1</v>
      </c>
      <c r="J91" s="4" t="b">
        <v>1</v>
      </c>
      <c r="K91" s="4" t="b">
        <v>1</v>
      </c>
    </row>
    <row r="92" spans="1:11" ht="96" x14ac:dyDescent="0.2">
      <c r="A92" s="6" t="s">
        <v>2186</v>
      </c>
      <c r="B92" s="11" t="s">
        <v>2187</v>
      </c>
      <c r="C92" s="4" t="b">
        <v>1</v>
      </c>
      <c r="D92" s="4" t="b">
        <v>1</v>
      </c>
      <c r="E92" s="4" t="b">
        <v>1</v>
      </c>
      <c r="F92" s="4" t="s">
        <v>12</v>
      </c>
      <c r="G92" s="4" t="b">
        <v>1</v>
      </c>
      <c r="H92" s="4" t="s">
        <v>3024</v>
      </c>
      <c r="I92" s="4" t="b">
        <v>1</v>
      </c>
      <c r="J92" s="4" t="b">
        <v>1</v>
      </c>
      <c r="K92" s="4" t="b">
        <v>1</v>
      </c>
    </row>
    <row r="93" spans="1:11" ht="48" x14ac:dyDescent="0.2">
      <c r="A93" s="6" t="s">
        <v>2190</v>
      </c>
      <c r="B93" s="11" t="s">
        <v>2191</v>
      </c>
      <c r="C93" s="4" t="b">
        <v>1</v>
      </c>
      <c r="D93" s="4" t="b">
        <v>1</v>
      </c>
      <c r="E93" s="4" t="b">
        <v>1</v>
      </c>
      <c r="F93" s="4" t="s">
        <v>12</v>
      </c>
      <c r="G93" s="4" t="b">
        <v>1</v>
      </c>
      <c r="H93" s="4" t="s">
        <v>3023</v>
      </c>
      <c r="I93" s="4" t="b">
        <v>1</v>
      </c>
      <c r="J93" s="4" t="b">
        <v>1</v>
      </c>
      <c r="K93" s="4" t="b">
        <v>0</v>
      </c>
    </row>
    <row r="94" spans="1:11" ht="32" x14ac:dyDescent="0.2">
      <c r="A94" s="6" t="s">
        <v>2196</v>
      </c>
      <c r="B94" s="11" t="s">
        <v>2197</v>
      </c>
      <c r="C94" s="4" t="b">
        <v>1</v>
      </c>
      <c r="D94" s="4" t="b">
        <v>1</v>
      </c>
      <c r="E94" s="4" t="b">
        <v>1</v>
      </c>
      <c r="F94" s="4" t="s">
        <v>12</v>
      </c>
      <c r="G94" s="4" t="b">
        <v>1</v>
      </c>
      <c r="H94" s="4" t="s">
        <v>3022</v>
      </c>
      <c r="I94" s="4" t="b">
        <v>0</v>
      </c>
      <c r="J94" s="4" t="b">
        <v>1</v>
      </c>
      <c r="K94" s="4" t="b">
        <v>0</v>
      </c>
    </row>
    <row r="95" spans="1:11" ht="112" x14ac:dyDescent="0.2">
      <c r="A95" s="6" t="s">
        <v>2208</v>
      </c>
      <c r="B95" s="11" t="s">
        <v>2209</v>
      </c>
      <c r="C95" s="4" t="b">
        <v>1</v>
      </c>
      <c r="D95" s="4" t="b">
        <v>1</v>
      </c>
      <c r="E95" s="4" t="b">
        <v>1</v>
      </c>
      <c r="F95" s="4" t="s">
        <v>12</v>
      </c>
      <c r="G95" s="4" t="b">
        <v>1</v>
      </c>
      <c r="H95" s="4" t="s">
        <v>3021</v>
      </c>
      <c r="I95" s="4" t="b">
        <v>1</v>
      </c>
      <c r="J95" s="4" t="b">
        <v>0</v>
      </c>
      <c r="K95" s="4" t="b">
        <v>0</v>
      </c>
    </row>
    <row r="96" spans="1:11" ht="96" x14ac:dyDescent="0.2">
      <c r="A96" s="6"/>
      <c r="B96" s="11" t="s">
        <v>2269</v>
      </c>
      <c r="C96" s="4" t="b">
        <v>1</v>
      </c>
      <c r="D96" s="4" t="b">
        <v>1</v>
      </c>
      <c r="E96" s="4" t="b">
        <v>1</v>
      </c>
      <c r="F96" s="4" t="s">
        <v>12</v>
      </c>
      <c r="G96" s="4" t="b">
        <v>1</v>
      </c>
      <c r="H96" s="4" t="s">
        <v>3009</v>
      </c>
      <c r="I96" s="4" t="b">
        <v>0</v>
      </c>
      <c r="J96" s="4" t="b">
        <v>1</v>
      </c>
      <c r="K96" s="4" t="b">
        <v>1</v>
      </c>
    </row>
    <row r="97" spans="1:11" ht="48" x14ac:dyDescent="0.2">
      <c r="A97" s="6" t="s">
        <v>2270</v>
      </c>
      <c r="B97" s="11" t="s">
        <v>2271</v>
      </c>
      <c r="C97" s="4" t="b">
        <v>1</v>
      </c>
      <c r="D97" s="4" t="b">
        <v>1</v>
      </c>
      <c r="E97" s="4" t="b">
        <v>1</v>
      </c>
      <c r="F97" s="4" t="s">
        <v>12</v>
      </c>
      <c r="G97" s="4" t="b">
        <v>1</v>
      </c>
      <c r="H97" s="4" t="s">
        <v>3008</v>
      </c>
      <c r="I97" s="4" t="b">
        <v>0</v>
      </c>
      <c r="J97" s="4" t="b">
        <v>1</v>
      </c>
      <c r="K97" s="4" t="b">
        <v>1</v>
      </c>
    </row>
    <row r="98" spans="1:11" ht="96" x14ac:dyDescent="0.2">
      <c r="A98" s="6" t="s">
        <v>2286</v>
      </c>
      <c r="B98" s="11" t="s">
        <v>2287</v>
      </c>
      <c r="C98" s="4" t="b">
        <v>1</v>
      </c>
      <c r="D98" s="4" t="b">
        <v>1</v>
      </c>
      <c r="E98" s="4" t="b">
        <v>1</v>
      </c>
      <c r="F98" s="4" t="s">
        <v>12</v>
      </c>
      <c r="G98" s="4" t="b">
        <v>1</v>
      </c>
      <c r="H98" s="4" t="s">
        <v>3183</v>
      </c>
      <c r="I98" s="4" t="b">
        <v>1</v>
      </c>
      <c r="J98" s="4" t="b">
        <v>0</v>
      </c>
      <c r="K98" s="4" t="b">
        <v>0</v>
      </c>
    </row>
    <row r="99" spans="1:11" ht="80" x14ac:dyDescent="0.2">
      <c r="A99" s="6" t="s">
        <v>2316</v>
      </c>
      <c r="B99" s="11" t="s">
        <v>2317</v>
      </c>
      <c r="C99" s="4" t="b">
        <v>1</v>
      </c>
      <c r="D99" s="4" t="b">
        <v>1</v>
      </c>
      <c r="E99" s="4" t="b">
        <v>1</v>
      </c>
      <c r="F99" s="4" t="s">
        <v>12</v>
      </c>
      <c r="G99" s="4" t="b">
        <v>1</v>
      </c>
      <c r="H99" s="4" t="s">
        <v>3001</v>
      </c>
      <c r="I99" s="4" t="b">
        <v>0</v>
      </c>
      <c r="J99" s="4" t="b">
        <v>1</v>
      </c>
      <c r="K99" s="4" t="b">
        <v>1</v>
      </c>
    </row>
    <row r="100" spans="1:11" ht="96" x14ac:dyDescent="0.2">
      <c r="A100" s="6" t="s">
        <v>2322</v>
      </c>
      <c r="B100" s="11" t="s">
        <v>2323</v>
      </c>
      <c r="C100" s="4" t="b">
        <v>1</v>
      </c>
      <c r="D100" s="4" t="b">
        <v>1</v>
      </c>
      <c r="E100" s="4" t="b">
        <v>1</v>
      </c>
      <c r="F100" s="4" t="s">
        <v>12</v>
      </c>
      <c r="G100" s="4" t="b">
        <v>1</v>
      </c>
      <c r="H100" s="4" t="s">
        <v>3003</v>
      </c>
      <c r="I100" s="4" t="b">
        <v>1</v>
      </c>
      <c r="J100" s="4" t="b">
        <v>0</v>
      </c>
      <c r="K100" s="4" t="b">
        <v>0</v>
      </c>
    </row>
    <row r="101" spans="1:11" ht="48" x14ac:dyDescent="0.2">
      <c r="A101" s="6" t="s">
        <v>2324</v>
      </c>
      <c r="B101" s="11" t="s">
        <v>2325</v>
      </c>
      <c r="C101" s="4" t="b">
        <v>1</v>
      </c>
      <c r="D101" s="4" t="b">
        <v>1</v>
      </c>
      <c r="E101" s="4" t="b">
        <v>1</v>
      </c>
      <c r="F101" s="4" t="s">
        <v>12</v>
      </c>
      <c r="G101" s="4" t="b">
        <v>1</v>
      </c>
      <c r="H101" s="4" t="s">
        <v>3000</v>
      </c>
      <c r="I101" s="4" t="b">
        <v>1</v>
      </c>
      <c r="J101" s="4" t="b">
        <v>0</v>
      </c>
      <c r="K101" s="4" t="b">
        <v>0</v>
      </c>
    </row>
    <row r="102" spans="1:11" ht="64" x14ac:dyDescent="0.2">
      <c r="A102" s="6" t="s">
        <v>2334</v>
      </c>
      <c r="B102" s="11" t="s">
        <v>2335</v>
      </c>
      <c r="C102" s="4" t="b">
        <v>1</v>
      </c>
      <c r="D102" s="4" t="b">
        <v>1</v>
      </c>
      <c r="E102" s="4" t="b">
        <v>1</v>
      </c>
      <c r="F102" s="4" t="s">
        <v>12</v>
      </c>
      <c r="G102" s="4" t="b">
        <v>1</v>
      </c>
      <c r="H102" s="4" t="s">
        <v>2997</v>
      </c>
      <c r="I102" s="4" t="b">
        <v>1</v>
      </c>
      <c r="J102" s="4" t="b">
        <v>0</v>
      </c>
      <c r="K102" s="4" t="b">
        <v>0</v>
      </c>
    </row>
    <row r="103" spans="1:11" ht="48" x14ac:dyDescent="0.2">
      <c r="A103" s="6" t="s">
        <v>2340</v>
      </c>
      <c r="B103" s="11" t="s">
        <v>2341</v>
      </c>
      <c r="C103" s="4" t="b">
        <v>1</v>
      </c>
      <c r="D103" s="4" t="b">
        <v>1</v>
      </c>
      <c r="E103" s="4" t="b">
        <v>1</v>
      </c>
      <c r="F103" s="4" t="s">
        <v>12</v>
      </c>
      <c r="G103" s="4" t="b">
        <v>1</v>
      </c>
      <c r="H103" s="4" t="s">
        <v>2995</v>
      </c>
      <c r="I103" s="4" t="b">
        <v>0</v>
      </c>
      <c r="J103" s="4" t="b">
        <v>1</v>
      </c>
      <c r="K103" s="4" t="b">
        <v>1</v>
      </c>
    </row>
    <row r="104" spans="1:11" ht="112" x14ac:dyDescent="0.2">
      <c r="A104" s="6" t="s">
        <v>2366</v>
      </c>
      <c r="B104" s="11" t="s">
        <v>2367</v>
      </c>
      <c r="C104" s="4" t="b">
        <v>1</v>
      </c>
      <c r="D104" s="4" t="b">
        <v>1</v>
      </c>
      <c r="E104" s="4" t="b">
        <v>1</v>
      </c>
      <c r="F104" s="4" t="s">
        <v>12</v>
      </c>
      <c r="G104" s="4" t="b">
        <v>1</v>
      </c>
      <c r="H104" s="4" t="s">
        <v>2988</v>
      </c>
      <c r="I104" s="4" t="b">
        <v>0</v>
      </c>
      <c r="J104" s="4" t="b">
        <v>1</v>
      </c>
      <c r="K104" s="4" t="b">
        <v>1</v>
      </c>
    </row>
    <row r="105" spans="1:11" ht="112" x14ac:dyDescent="0.2">
      <c r="A105" s="6" t="s">
        <v>2370</v>
      </c>
      <c r="B105" s="11" t="s">
        <v>2371</v>
      </c>
      <c r="C105" s="4" t="b">
        <v>1</v>
      </c>
      <c r="D105" s="4" t="b">
        <v>1</v>
      </c>
      <c r="E105" s="4" t="b">
        <v>1</v>
      </c>
      <c r="F105" s="4" t="s">
        <v>12</v>
      </c>
      <c r="G105" s="4" t="b">
        <v>1</v>
      </c>
      <c r="H105" s="4" t="s">
        <v>2987</v>
      </c>
      <c r="I105" s="4" t="b">
        <v>0</v>
      </c>
      <c r="J105" s="4" t="b">
        <v>1</v>
      </c>
      <c r="K105" s="4" t="b">
        <v>0</v>
      </c>
    </row>
    <row r="106" spans="1:11" ht="80" x14ac:dyDescent="0.2">
      <c r="A106" s="6" t="s">
        <v>2408</v>
      </c>
      <c r="B106" s="11" t="s">
        <v>2409</v>
      </c>
      <c r="C106" s="4" t="b">
        <v>1</v>
      </c>
      <c r="D106" s="4" t="b">
        <v>1</v>
      </c>
      <c r="E106" s="4" t="b">
        <v>1</v>
      </c>
      <c r="F106" s="4" t="s">
        <v>12</v>
      </c>
      <c r="G106" s="4" t="b">
        <v>1</v>
      </c>
      <c r="H106" s="4" t="s">
        <v>3247</v>
      </c>
      <c r="I106" s="4" t="b">
        <v>1</v>
      </c>
      <c r="J106" s="4" t="b">
        <v>1</v>
      </c>
      <c r="K106" s="4" t="b">
        <v>0</v>
      </c>
    </row>
    <row r="107" spans="1:11" ht="64" x14ac:dyDescent="0.2">
      <c r="A107" s="6" t="s">
        <v>2418</v>
      </c>
      <c r="B107" s="11" t="s">
        <v>2419</v>
      </c>
      <c r="C107" s="4" t="b">
        <v>1</v>
      </c>
      <c r="D107" s="4" t="b">
        <v>1</v>
      </c>
      <c r="E107" s="4" t="b">
        <v>1</v>
      </c>
      <c r="F107" s="4" t="s">
        <v>12</v>
      </c>
      <c r="G107" s="4" t="b">
        <v>1</v>
      </c>
      <c r="H107" s="4" t="s">
        <v>3245</v>
      </c>
      <c r="I107" s="4" t="b">
        <v>1</v>
      </c>
      <c r="J107" s="4" t="b">
        <v>0</v>
      </c>
      <c r="K107" s="4" t="b">
        <v>1</v>
      </c>
    </row>
    <row r="108" spans="1:11" ht="144" x14ac:dyDescent="0.2">
      <c r="A108" s="6" t="s">
        <v>2470</v>
      </c>
      <c r="B108" s="11" t="s">
        <v>2471</v>
      </c>
      <c r="C108" s="4" t="b">
        <v>1</v>
      </c>
      <c r="D108" s="4" t="b">
        <v>1</v>
      </c>
      <c r="E108" s="4" t="b">
        <v>1</v>
      </c>
      <c r="F108" s="4" t="s">
        <v>12</v>
      </c>
      <c r="G108" s="4" t="b">
        <v>1</v>
      </c>
      <c r="H108" s="4" t="s">
        <v>2980</v>
      </c>
      <c r="I108" s="4" t="b">
        <v>1</v>
      </c>
      <c r="J108" s="4" t="b">
        <v>1</v>
      </c>
      <c r="K108" s="4" t="b">
        <v>1</v>
      </c>
    </row>
    <row r="109" spans="1:11" ht="64" x14ac:dyDescent="0.2">
      <c r="A109" s="6" t="s">
        <v>2480</v>
      </c>
      <c r="B109" s="11" t="s">
        <v>2481</v>
      </c>
      <c r="C109" s="4" t="b">
        <v>1</v>
      </c>
      <c r="D109" s="4" t="b">
        <v>1</v>
      </c>
      <c r="E109" s="4" t="b">
        <v>1</v>
      </c>
      <c r="F109" s="4" t="s">
        <v>12</v>
      </c>
      <c r="G109" s="4" t="b">
        <v>1</v>
      </c>
      <c r="H109" s="4" t="s">
        <v>2977</v>
      </c>
      <c r="I109" s="4" t="b">
        <v>1</v>
      </c>
      <c r="J109" s="4" t="b">
        <v>0</v>
      </c>
      <c r="K109" s="4" t="b">
        <v>0</v>
      </c>
    </row>
    <row r="110" spans="1:11" ht="128" x14ac:dyDescent="0.2">
      <c r="A110" s="6" t="s">
        <v>2496</v>
      </c>
      <c r="B110" s="11" t="s">
        <v>2497</v>
      </c>
      <c r="C110" s="4" t="b">
        <v>1</v>
      </c>
      <c r="D110" s="4" t="b">
        <v>1</v>
      </c>
      <c r="E110" s="4" t="b">
        <v>1</v>
      </c>
      <c r="F110" s="4" t="s">
        <v>12</v>
      </c>
      <c r="G110" s="4" t="b">
        <v>1</v>
      </c>
      <c r="H110" s="4" t="s">
        <v>2974</v>
      </c>
      <c r="I110" s="4" t="b">
        <v>1</v>
      </c>
      <c r="J110" s="4" t="b">
        <v>0</v>
      </c>
      <c r="K110" s="4" t="b">
        <v>0</v>
      </c>
    </row>
    <row r="111" spans="1:11" ht="96" x14ac:dyDescent="0.2">
      <c r="A111" s="6" t="s">
        <v>2498</v>
      </c>
      <c r="B111" s="11" t="s">
        <v>2499</v>
      </c>
      <c r="C111" s="4" t="b">
        <v>1</v>
      </c>
      <c r="D111" s="4" t="b">
        <v>1</v>
      </c>
      <c r="E111" s="4" t="b">
        <v>1</v>
      </c>
      <c r="F111" s="4" t="s">
        <v>12</v>
      </c>
      <c r="G111" s="4" t="b">
        <v>1</v>
      </c>
      <c r="H111" s="4" t="s">
        <v>2973</v>
      </c>
      <c r="I111" s="4" t="b">
        <v>0</v>
      </c>
      <c r="J111" s="4" t="b">
        <v>1</v>
      </c>
      <c r="K111" s="4" t="b">
        <v>0</v>
      </c>
    </row>
    <row r="112" spans="1:11" ht="144" x14ac:dyDescent="0.2">
      <c r="A112" s="6" t="s">
        <v>2500</v>
      </c>
      <c r="B112" s="11" t="s">
        <v>2501</v>
      </c>
      <c r="C112" s="4" t="b">
        <v>1</v>
      </c>
      <c r="D112" s="4" t="b">
        <v>1</v>
      </c>
      <c r="E112" s="4" t="b">
        <v>1</v>
      </c>
      <c r="F112" s="4" t="s">
        <v>12</v>
      </c>
      <c r="G112" s="4" t="b">
        <v>1</v>
      </c>
      <c r="H112" s="4" t="s">
        <v>2972</v>
      </c>
      <c r="I112" s="4" t="b">
        <v>1</v>
      </c>
      <c r="J112" s="4" t="b">
        <v>1</v>
      </c>
      <c r="K112" s="4" t="b">
        <v>0</v>
      </c>
    </row>
    <row r="113" spans="1:12" ht="176" x14ac:dyDescent="0.2">
      <c r="A113" s="6" t="s">
        <v>2514</v>
      </c>
      <c r="B113" s="11" t="s">
        <v>2515</v>
      </c>
      <c r="C113" s="4" t="b">
        <v>1</v>
      </c>
      <c r="D113" s="4" t="b">
        <v>1</v>
      </c>
      <c r="E113" s="4" t="b">
        <v>1</v>
      </c>
      <c r="F113" s="4" t="s">
        <v>12</v>
      </c>
      <c r="G113" s="4" t="b">
        <v>1</v>
      </c>
      <c r="H113" s="4" t="s">
        <v>2970</v>
      </c>
      <c r="I113" s="4" t="b">
        <v>1</v>
      </c>
      <c r="J113" s="4" t="b">
        <v>0</v>
      </c>
      <c r="K113" s="4" t="b">
        <v>0</v>
      </c>
    </row>
    <row r="114" spans="1:12" ht="80" x14ac:dyDescent="0.2">
      <c r="A114" s="6" t="s">
        <v>2520</v>
      </c>
      <c r="B114" s="11" t="s">
        <v>2521</v>
      </c>
      <c r="C114" s="4" t="b">
        <v>1</v>
      </c>
      <c r="D114" s="4" t="b">
        <v>1</v>
      </c>
      <c r="E114" s="4" t="b">
        <v>1</v>
      </c>
      <c r="F114" s="4" t="s">
        <v>12</v>
      </c>
      <c r="G114" s="4" t="b">
        <v>1</v>
      </c>
      <c r="H114" s="4" t="s">
        <v>2969</v>
      </c>
      <c r="I114" s="4" t="b">
        <v>0</v>
      </c>
      <c r="J114" s="4" t="b">
        <v>1</v>
      </c>
      <c r="K114" s="4" t="b">
        <v>0</v>
      </c>
    </row>
    <row r="115" spans="1:12" ht="80" x14ac:dyDescent="0.2">
      <c r="A115" s="6" t="s">
        <v>2524</v>
      </c>
      <c r="B115" s="11" t="s">
        <v>2525</v>
      </c>
      <c r="C115" s="4" t="b">
        <v>1</v>
      </c>
      <c r="D115" s="4" t="b">
        <v>1</v>
      </c>
      <c r="E115" s="4" t="b">
        <v>1</v>
      </c>
      <c r="F115" s="4" t="s">
        <v>12</v>
      </c>
      <c r="G115" s="4" t="b">
        <v>1</v>
      </c>
      <c r="H115" s="4" t="s">
        <v>2968</v>
      </c>
      <c r="I115" s="4" t="b">
        <v>1</v>
      </c>
      <c r="J115" s="4" t="b">
        <v>0</v>
      </c>
      <c r="K115" s="4" t="b">
        <v>0</v>
      </c>
    </row>
    <row r="116" spans="1:12" ht="160" x14ac:dyDescent="0.2">
      <c r="A116" s="6" t="s">
        <v>2534</v>
      </c>
      <c r="B116" s="11" t="s">
        <v>2535</v>
      </c>
      <c r="C116" s="4" t="b">
        <v>1</v>
      </c>
      <c r="D116" s="4" t="b">
        <v>1</v>
      </c>
      <c r="E116" s="4" t="b">
        <v>1</v>
      </c>
      <c r="F116" s="4" t="s">
        <v>12</v>
      </c>
      <c r="G116" s="4" t="b">
        <v>1</v>
      </c>
      <c r="H116" s="4" t="s">
        <v>2964</v>
      </c>
      <c r="I116" s="4" t="b">
        <v>0</v>
      </c>
      <c r="J116" s="4" t="b">
        <v>1</v>
      </c>
      <c r="K116" s="4" t="b">
        <v>0</v>
      </c>
    </row>
    <row r="117" spans="1:12" ht="160" x14ac:dyDescent="0.2">
      <c r="A117" s="6" t="s">
        <v>2542</v>
      </c>
      <c r="B117" s="11" t="s">
        <v>2543</v>
      </c>
      <c r="C117" s="4" t="b">
        <v>1</v>
      </c>
      <c r="D117" s="4" t="b">
        <v>1</v>
      </c>
      <c r="E117" s="4" t="b">
        <v>1</v>
      </c>
      <c r="F117" s="4" t="s">
        <v>12</v>
      </c>
      <c r="G117" s="4" t="b">
        <v>1</v>
      </c>
      <c r="H117" s="4" t="s">
        <v>2963</v>
      </c>
      <c r="I117" s="4" t="b">
        <v>1</v>
      </c>
      <c r="J117" s="4" t="b">
        <v>0</v>
      </c>
      <c r="K117" s="4" t="b">
        <v>0</v>
      </c>
    </row>
    <row r="118" spans="1:12" ht="96" x14ac:dyDescent="0.2">
      <c r="A118" s="6" t="s">
        <v>2548</v>
      </c>
      <c r="B118" s="11" t="s">
        <v>2549</v>
      </c>
      <c r="C118" s="4" t="b">
        <v>1</v>
      </c>
      <c r="D118" s="4" t="b">
        <v>1</v>
      </c>
      <c r="E118" s="4" t="b">
        <v>1</v>
      </c>
      <c r="F118" s="4" t="s">
        <v>12</v>
      </c>
      <c r="G118" s="4" t="b">
        <v>1</v>
      </c>
      <c r="H118" s="4" t="s">
        <v>2962</v>
      </c>
      <c r="I118" s="4" t="b">
        <v>0</v>
      </c>
      <c r="J118" s="4" t="b">
        <v>1</v>
      </c>
      <c r="K118" s="4" t="b">
        <v>0</v>
      </c>
    </row>
    <row r="119" spans="1:12" ht="80" x14ac:dyDescent="0.2">
      <c r="A119" s="6" t="s">
        <v>2572</v>
      </c>
      <c r="B119" s="11" t="s">
        <v>2573</v>
      </c>
      <c r="C119" s="4" t="b">
        <v>1</v>
      </c>
      <c r="D119" s="4" t="b">
        <v>1</v>
      </c>
      <c r="E119" s="4" t="b">
        <v>1</v>
      </c>
      <c r="F119" s="4" t="s">
        <v>12</v>
      </c>
      <c r="G119" s="4" t="b">
        <v>1</v>
      </c>
      <c r="H119" s="4" t="s">
        <v>2957</v>
      </c>
      <c r="I119" s="4" t="b">
        <v>0</v>
      </c>
      <c r="J119" s="4" t="b">
        <v>1</v>
      </c>
      <c r="K119" s="4" t="b">
        <v>0</v>
      </c>
    </row>
    <row r="120" spans="1:12" ht="112" x14ac:dyDescent="0.2">
      <c r="A120" s="6" t="s">
        <v>2712</v>
      </c>
      <c r="B120" s="11" t="s">
        <v>2713</v>
      </c>
      <c r="C120" s="4" t="b">
        <v>1</v>
      </c>
      <c r="D120" s="4" t="b">
        <v>1</v>
      </c>
      <c r="E120" s="4" t="b">
        <v>1</v>
      </c>
      <c r="F120" s="4" t="s">
        <v>12</v>
      </c>
      <c r="G120" s="4" t="b">
        <v>1</v>
      </c>
      <c r="H120" s="4" t="s">
        <v>3358</v>
      </c>
      <c r="I120" s="4" t="b">
        <v>1</v>
      </c>
      <c r="J120" s="4" t="b">
        <v>1</v>
      </c>
      <c r="K120" s="4" t="b">
        <v>0</v>
      </c>
    </row>
    <row r="121" spans="1:12" ht="80" x14ac:dyDescent="0.2">
      <c r="A121" s="6" t="s">
        <v>2720</v>
      </c>
      <c r="B121" s="11" t="s">
        <v>2721</v>
      </c>
      <c r="C121" s="4" t="b">
        <v>1</v>
      </c>
      <c r="D121" s="4" t="b">
        <v>1</v>
      </c>
      <c r="E121" s="4" t="b">
        <v>1</v>
      </c>
      <c r="F121" s="4" t="s">
        <v>12</v>
      </c>
      <c r="G121" s="4" t="b">
        <v>1</v>
      </c>
      <c r="H121" s="4" t="s">
        <v>2927</v>
      </c>
      <c r="I121" s="4" t="b">
        <v>1</v>
      </c>
      <c r="J121" s="4" t="b">
        <v>1</v>
      </c>
      <c r="K121" s="4" t="b">
        <v>0</v>
      </c>
    </row>
    <row r="122" spans="1:12" ht="256" x14ac:dyDescent="0.2">
      <c r="A122" s="6" t="s">
        <v>2780</v>
      </c>
      <c r="B122" s="11" t="s">
        <v>2781</v>
      </c>
      <c r="C122" s="4" t="b">
        <v>1</v>
      </c>
      <c r="D122" s="4" t="b">
        <v>1</v>
      </c>
      <c r="E122" s="4" t="b">
        <v>1</v>
      </c>
      <c r="F122" s="4" t="s">
        <v>12</v>
      </c>
      <c r="G122" s="4" t="b">
        <v>1</v>
      </c>
      <c r="H122" s="4" t="s">
        <v>2922</v>
      </c>
      <c r="I122" s="4" t="b">
        <v>1</v>
      </c>
      <c r="J122" s="4" t="b">
        <v>1</v>
      </c>
      <c r="K122" s="4" t="b">
        <v>0</v>
      </c>
    </row>
    <row r="123" spans="1:12" ht="80" x14ac:dyDescent="0.2">
      <c r="A123" s="6" t="s">
        <v>2818</v>
      </c>
      <c r="B123" s="11" t="s">
        <v>2819</v>
      </c>
      <c r="C123" s="4" t="b">
        <v>1</v>
      </c>
      <c r="D123" s="4" t="b">
        <v>1</v>
      </c>
      <c r="E123" s="4" t="b">
        <v>1</v>
      </c>
      <c r="F123" s="4" t="s">
        <v>12</v>
      </c>
      <c r="G123" s="4" t="b">
        <v>1</v>
      </c>
      <c r="H123" s="4" t="s">
        <v>3357</v>
      </c>
      <c r="I123" s="4" t="b">
        <v>0</v>
      </c>
      <c r="J123" s="4" t="b">
        <v>1</v>
      </c>
      <c r="K123" s="4" t="b">
        <v>0</v>
      </c>
    </row>
    <row r="124" spans="1:12" ht="128" x14ac:dyDescent="0.2">
      <c r="A124" s="6" t="s">
        <v>2820</v>
      </c>
      <c r="B124" s="11" t="s">
        <v>2821</v>
      </c>
      <c r="C124" s="4" t="b">
        <v>1</v>
      </c>
      <c r="D124" s="4" t="b">
        <v>1</v>
      </c>
      <c r="E124" s="4" t="b">
        <v>1</v>
      </c>
      <c r="F124" s="4" t="s">
        <v>12</v>
      </c>
      <c r="G124" s="4" t="b">
        <v>1</v>
      </c>
      <c r="H124" s="4" t="s">
        <v>2914</v>
      </c>
      <c r="I124" s="4" t="b">
        <v>0</v>
      </c>
      <c r="J124" s="4" t="b">
        <v>1</v>
      </c>
      <c r="K124" s="4" t="b">
        <v>0</v>
      </c>
    </row>
    <row r="125" spans="1:12" ht="32" x14ac:dyDescent="0.2">
      <c r="A125" s="6" t="s">
        <v>2824</v>
      </c>
      <c r="B125" s="11" t="s">
        <v>2825</v>
      </c>
      <c r="C125" s="4" t="b">
        <v>1</v>
      </c>
      <c r="D125" s="4" t="b">
        <v>1</v>
      </c>
      <c r="E125" s="4" t="b">
        <v>1</v>
      </c>
      <c r="F125" s="4" t="s">
        <v>12</v>
      </c>
      <c r="G125" s="4" t="b">
        <v>1</v>
      </c>
      <c r="H125" s="4" t="s">
        <v>2913</v>
      </c>
      <c r="I125" s="4" t="b">
        <v>1</v>
      </c>
      <c r="J125" s="4" t="b">
        <v>1</v>
      </c>
      <c r="K125" s="4" t="b">
        <v>0</v>
      </c>
    </row>
    <row r="126" spans="1:12" ht="112" x14ac:dyDescent="0.2">
      <c r="A126" s="6" t="s">
        <v>2828</v>
      </c>
      <c r="B126" s="11" t="s">
        <v>2829</v>
      </c>
      <c r="C126" s="4" t="b">
        <v>1</v>
      </c>
      <c r="D126" s="4" t="b">
        <v>1</v>
      </c>
      <c r="E126" s="4" t="b">
        <v>1</v>
      </c>
      <c r="F126" s="4" t="s">
        <v>12</v>
      </c>
      <c r="G126" s="4" t="b">
        <v>1</v>
      </c>
      <c r="H126" s="4" t="s">
        <v>2911</v>
      </c>
      <c r="I126" s="4" t="b">
        <v>1</v>
      </c>
      <c r="J126" s="4" t="b">
        <v>0</v>
      </c>
      <c r="K126" s="4" t="b">
        <v>0</v>
      </c>
    </row>
    <row r="128" spans="1:12" x14ac:dyDescent="0.2">
      <c r="G128">
        <f>COUNTIF(G2:G126, TRUE)</f>
        <v>125</v>
      </c>
      <c r="I128" s="17" t="s">
        <v>3189</v>
      </c>
      <c r="J128" s="17" t="s">
        <v>3190</v>
      </c>
      <c r="K128" s="3" t="s">
        <v>3188</v>
      </c>
      <c r="L128" s="17"/>
    </row>
    <row r="129" spans="9:12" x14ac:dyDescent="0.2">
      <c r="I129" s="17">
        <f>COUNTIF(I2:I125, TRUE)</f>
        <v>54</v>
      </c>
      <c r="J129" s="17">
        <f>COUNTIF(J2:J125, TRUE)</f>
        <v>88</v>
      </c>
      <c r="K129" s="17">
        <f>COUNTIF(K2:K125, TRUE)</f>
        <v>33</v>
      </c>
      <c r="L129" s="17">
        <f>COUNTIF(L2:L125, TRUE)</f>
        <v>0</v>
      </c>
    </row>
    <row r="130" spans="9:12" x14ac:dyDescent="0.2">
      <c r="I130" s="17">
        <f>I129/G128</f>
        <v>0.432</v>
      </c>
      <c r="J130" s="17">
        <f>J129/G128</f>
        <v>0.70399999999999996</v>
      </c>
      <c r="K130" s="17">
        <f>K129/G128</f>
        <v>0.26400000000000001</v>
      </c>
      <c r="L130" s="17">
        <f t="shared" ref="L130" si="0">L129/127</f>
        <v>0</v>
      </c>
    </row>
  </sheetData>
  <dataValidations count="1">
    <dataValidation type="list" allowBlank="1" showInputMessage="1" showErrorMessage="1" sqref="I2:K126" xr:uid="{C93A3E3B-CF7C-D24F-A8DC-8F713F2C5A5A}">
      <formula1>"TRUE, FALSE"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0507-3DBB-9C4C-8E78-4C7C7F72553D}">
  <dimension ref="A1:K1275"/>
  <sheetViews>
    <sheetView topLeftCell="A367" workbookViewId="0">
      <selection activeCell="A3" sqref="A3"/>
    </sheetView>
  </sheetViews>
  <sheetFormatPr baseColWidth="10" defaultRowHeight="15" x14ac:dyDescent="0.2"/>
  <cols>
    <col min="1" max="1" width="37.5" style="1" customWidth="1"/>
    <col min="2" max="2" width="41.6640625" style="1" customWidth="1"/>
    <col min="8" max="8" width="23.6640625" customWidth="1"/>
  </cols>
  <sheetData>
    <row r="1" spans="1:11" ht="48" x14ac:dyDescent="0.2">
      <c r="A1" s="18" t="s">
        <v>0</v>
      </c>
      <c r="B1" s="18" t="s">
        <v>1</v>
      </c>
      <c r="C1" s="2" t="s">
        <v>2</v>
      </c>
      <c r="D1" s="2" t="s">
        <v>3</v>
      </c>
      <c r="E1" s="2" t="s">
        <v>4</v>
      </c>
      <c r="F1" s="2" t="s">
        <v>5</v>
      </c>
      <c r="G1" s="2" t="s">
        <v>6</v>
      </c>
      <c r="H1" s="2" t="s">
        <v>7</v>
      </c>
      <c r="I1" s="2" t="s">
        <v>9</v>
      </c>
      <c r="J1" s="10" t="s">
        <v>2991</v>
      </c>
      <c r="K1" s="10" t="s">
        <v>3352</v>
      </c>
    </row>
    <row r="2" spans="1:11" ht="48" x14ac:dyDescent="0.2">
      <c r="A2" s="11" t="s">
        <v>15</v>
      </c>
      <c r="B2" s="11" t="s">
        <v>16</v>
      </c>
      <c r="C2" s="4" t="b">
        <v>1</v>
      </c>
      <c r="D2" s="4" t="b">
        <v>0</v>
      </c>
      <c r="E2" s="4" t="b">
        <v>1</v>
      </c>
      <c r="F2" s="4" t="s">
        <v>12</v>
      </c>
      <c r="G2" s="4" t="b">
        <v>1</v>
      </c>
      <c r="H2" s="4"/>
      <c r="I2" s="4" t="s">
        <v>14</v>
      </c>
      <c r="J2" s="1"/>
    </row>
    <row r="3" spans="1:11" ht="32" x14ac:dyDescent="0.2">
      <c r="A3" s="11" t="s">
        <v>41</v>
      </c>
      <c r="B3" s="11" t="s">
        <v>42</v>
      </c>
      <c r="C3" s="4" t="b">
        <v>1</v>
      </c>
      <c r="D3" s="4" t="b">
        <v>0</v>
      </c>
      <c r="E3" s="4" t="b">
        <v>1</v>
      </c>
      <c r="F3" s="4" t="s">
        <v>12</v>
      </c>
      <c r="G3" s="4" t="b">
        <v>1</v>
      </c>
      <c r="H3" s="4" t="s">
        <v>43</v>
      </c>
      <c r="I3" s="4" t="s">
        <v>26</v>
      </c>
      <c r="J3" s="1"/>
    </row>
    <row r="4" spans="1:11" ht="64" x14ac:dyDescent="0.2">
      <c r="A4" s="11" t="s">
        <v>44</v>
      </c>
      <c r="B4" s="11" t="s">
        <v>45</v>
      </c>
      <c r="C4" s="4" t="b">
        <v>1</v>
      </c>
      <c r="D4" s="4" t="b">
        <v>0</v>
      </c>
      <c r="E4" s="4" t="b">
        <v>1</v>
      </c>
      <c r="F4" s="4" t="s">
        <v>12</v>
      </c>
      <c r="G4" s="4" t="b">
        <v>1</v>
      </c>
      <c r="H4" s="4" t="s">
        <v>46</v>
      </c>
      <c r="I4" s="4" t="s">
        <v>26</v>
      </c>
      <c r="J4" s="1"/>
    </row>
    <row r="5" spans="1:11" ht="160" x14ac:dyDescent="0.2">
      <c r="A5" s="11" t="s">
        <v>47</v>
      </c>
      <c r="B5" s="11" t="s">
        <v>48</v>
      </c>
      <c r="C5" s="4" t="b">
        <v>1</v>
      </c>
      <c r="D5" s="4" t="b">
        <v>0</v>
      </c>
      <c r="E5" s="4" t="b">
        <v>1</v>
      </c>
      <c r="F5" s="4" t="s">
        <v>12</v>
      </c>
      <c r="G5" s="4" t="b">
        <v>1</v>
      </c>
      <c r="H5" s="4" t="s">
        <v>49</v>
      </c>
      <c r="I5" s="4" t="s">
        <v>26</v>
      </c>
      <c r="J5" s="1"/>
    </row>
    <row r="6" spans="1:11" ht="32" x14ac:dyDescent="0.2">
      <c r="A6" s="11" t="s">
        <v>57</v>
      </c>
      <c r="B6" s="11" t="s">
        <v>58</v>
      </c>
      <c r="C6" s="4" t="b">
        <v>1</v>
      </c>
      <c r="D6" s="4" t="b">
        <v>0</v>
      </c>
      <c r="E6" s="4" t="b">
        <v>1</v>
      </c>
      <c r="F6" s="4" t="s">
        <v>12</v>
      </c>
      <c r="G6" s="4" t="b">
        <v>1</v>
      </c>
      <c r="H6" s="4" t="s">
        <v>59</v>
      </c>
      <c r="I6" s="4" t="s">
        <v>26</v>
      </c>
      <c r="J6" s="1"/>
    </row>
    <row r="7" spans="1:11" ht="48" x14ac:dyDescent="0.2">
      <c r="A7" s="11" t="s">
        <v>65</v>
      </c>
      <c r="B7" s="11" t="s">
        <v>66</v>
      </c>
      <c r="C7" s="4" t="b">
        <v>1</v>
      </c>
      <c r="D7" s="4" t="b">
        <v>0</v>
      </c>
      <c r="E7" s="4" t="b">
        <v>1</v>
      </c>
      <c r="F7" s="4" t="s">
        <v>12</v>
      </c>
      <c r="G7" s="4" t="b">
        <v>1</v>
      </c>
      <c r="H7" s="4"/>
      <c r="I7" s="4" t="s">
        <v>26</v>
      </c>
      <c r="J7" s="1"/>
    </row>
    <row r="8" spans="1:11" ht="224" x14ac:dyDescent="0.2">
      <c r="A8" s="11" t="s">
        <v>67</v>
      </c>
      <c r="B8" s="11" t="s">
        <v>68</v>
      </c>
      <c r="C8" s="4" t="b">
        <v>1</v>
      </c>
      <c r="D8" s="4" t="b">
        <v>0</v>
      </c>
      <c r="E8" s="4" t="b">
        <v>1</v>
      </c>
      <c r="F8" s="4" t="s">
        <v>12</v>
      </c>
      <c r="G8" s="4" t="b">
        <v>1</v>
      </c>
      <c r="H8" s="4" t="s">
        <v>69</v>
      </c>
      <c r="I8" s="4" t="s">
        <v>26</v>
      </c>
      <c r="J8" s="1"/>
    </row>
    <row r="9" spans="1:11" ht="80" x14ac:dyDescent="0.2">
      <c r="A9" s="11" t="s">
        <v>70</v>
      </c>
      <c r="B9" s="11" t="s">
        <v>71</v>
      </c>
      <c r="C9" s="4" t="b">
        <v>1</v>
      </c>
      <c r="D9" s="4" t="b">
        <v>0</v>
      </c>
      <c r="E9" s="4" t="b">
        <v>1</v>
      </c>
      <c r="F9" s="4" t="s">
        <v>12</v>
      </c>
      <c r="G9" s="4" t="b">
        <v>1</v>
      </c>
      <c r="H9" s="4" t="s">
        <v>72</v>
      </c>
      <c r="I9" s="4" t="s">
        <v>26</v>
      </c>
      <c r="J9" s="1"/>
    </row>
    <row r="10" spans="1:11" ht="48" x14ac:dyDescent="0.2">
      <c r="A10" s="11" t="s">
        <v>73</v>
      </c>
      <c r="B10" s="11" t="s">
        <v>74</v>
      </c>
      <c r="C10" s="4" t="b">
        <v>1</v>
      </c>
      <c r="D10" s="4" t="b">
        <v>0</v>
      </c>
      <c r="E10" s="4" t="b">
        <v>1</v>
      </c>
      <c r="F10" s="4" t="s">
        <v>12</v>
      </c>
      <c r="G10" s="4" t="b">
        <v>1</v>
      </c>
      <c r="H10" s="4" t="s">
        <v>75</v>
      </c>
      <c r="I10" s="4" t="s">
        <v>26</v>
      </c>
      <c r="J10" s="1"/>
    </row>
    <row r="11" spans="1:11" ht="128" x14ac:dyDescent="0.2">
      <c r="A11" s="11" t="s">
        <v>76</v>
      </c>
      <c r="B11" s="11" t="s">
        <v>77</v>
      </c>
      <c r="C11" s="4" t="b">
        <v>1</v>
      </c>
      <c r="D11" s="4" t="b">
        <v>0</v>
      </c>
      <c r="E11" s="4" t="b">
        <v>1</v>
      </c>
      <c r="F11" s="4" t="s">
        <v>12</v>
      </c>
      <c r="G11" s="4" t="b">
        <v>1</v>
      </c>
      <c r="H11" s="4" t="s">
        <v>78</v>
      </c>
      <c r="I11" s="4" t="s">
        <v>26</v>
      </c>
      <c r="J11" s="1"/>
    </row>
    <row r="12" spans="1:11" ht="48" x14ac:dyDescent="0.2">
      <c r="A12" s="11" t="s">
        <v>79</v>
      </c>
      <c r="B12" s="11" t="s">
        <v>80</v>
      </c>
      <c r="C12" s="4" t="b">
        <v>1</v>
      </c>
      <c r="D12" s="4" t="b">
        <v>0</v>
      </c>
      <c r="E12" s="4" t="b">
        <v>1</v>
      </c>
      <c r="F12" s="4" t="s">
        <v>12</v>
      </c>
      <c r="G12" s="4" t="b">
        <v>1</v>
      </c>
      <c r="H12" s="4" t="s">
        <v>81</v>
      </c>
      <c r="I12" s="4" t="s">
        <v>26</v>
      </c>
      <c r="J12" s="1"/>
    </row>
    <row r="13" spans="1:11" ht="112" x14ac:dyDescent="0.2">
      <c r="A13" s="11" t="s">
        <v>104</v>
      </c>
      <c r="B13" s="11" t="s">
        <v>105</v>
      </c>
      <c r="C13" s="4" t="b">
        <v>1</v>
      </c>
      <c r="D13" s="4" t="b">
        <v>0</v>
      </c>
      <c r="E13" s="4" t="b">
        <v>1</v>
      </c>
      <c r="F13" s="4" t="s">
        <v>12</v>
      </c>
      <c r="G13" s="4" t="b">
        <v>1</v>
      </c>
      <c r="H13" s="4" t="s">
        <v>106</v>
      </c>
      <c r="I13" s="4" t="s">
        <v>98</v>
      </c>
    </row>
    <row r="14" spans="1:11" ht="80" x14ac:dyDescent="0.2">
      <c r="A14" s="11" t="s">
        <v>109</v>
      </c>
      <c r="B14" s="11" t="s">
        <v>110</v>
      </c>
      <c r="C14" s="4" t="b">
        <v>1</v>
      </c>
      <c r="D14" s="4" t="b">
        <v>0</v>
      </c>
      <c r="E14" s="4" t="b">
        <v>1</v>
      </c>
      <c r="F14" s="4" t="s">
        <v>12</v>
      </c>
      <c r="G14" s="4" t="b">
        <v>1</v>
      </c>
      <c r="H14" s="4" t="s">
        <v>2850</v>
      </c>
      <c r="I14" s="4" t="s">
        <v>98</v>
      </c>
    </row>
    <row r="15" spans="1:11" ht="144" x14ac:dyDescent="0.2">
      <c r="A15" s="11" t="s">
        <v>111</v>
      </c>
      <c r="B15" s="11" t="s">
        <v>112</v>
      </c>
      <c r="C15" s="4" t="b">
        <v>1</v>
      </c>
      <c r="D15" s="4" t="b">
        <v>0</v>
      </c>
      <c r="E15" s="4" t="b">
        <v>1</v>
      </c>
      <c r="F15" s="4" t="s">
        <v>12</v>
      </c>
      <c r="G15" s="4" t="b">
        <v>1</v>
      </c>
      <c r="H15" s="4" t="s">
        <v>113</v>
      </c>
      <c r="I15" s="4" t="s">
        <v>98</v>
      </c>
    </row>
    <row r="16" spans="1:11" ht="80" x14ac:dyDescent="0.2">
      <c r="A16" s="11" t="s">
        <v>125</v>
      </c>
      <c r="B16" s="11" t="s">
        <v>126</v>
      </c>
      <c r="C16" s="4" t="b">
        <v>1</v>
      </c>
      <c r="D16" s="4" t="b">
        <v>0</v>
      </c>
      <c r="E16" s="4" t="b">
        <v>1</v>
      </c>
      <c r="F16" s="4" t="s">
        <v>12</v>
      </c>
      <c r="G16" s="4" t="b">
        <v>1</v>
      </c>
      <c r="H16" s="4" t="s">
        <v>127</v>
      </c>
      <c r="I16" s="4" t="s">
        <v>98</v>
      </c>
    </row>
    <row r="17" spans="1:9" ht="80" x14ac:dyDescent="0.2">
      <c r="A17" s="11" t="s">
        <v>128</v>
      </c>
      <c r="B17" s="11" t="s">
        <v>129</v>
      </c>
      <c r="C17" s="4" t="b">
        <v>1</v>
      </c>
      <c r="D17" s="4" t="b">
        <v>0</v>
      </c>
      <c r="E17" s="4" t="b">
        <v>1</v>
      </c>
      <c r="F17" s="4" t="s">
        <v>12</v>
      </c>
      <c r="G17" s="4" t="b">
        <v>1</v>
      </c>
      <c r="H17" s="4" t="s">
        <v>2854</v>
      </c>
      <c r="I17" s="4" t="s">
        <v>98</v>
      </c>
    </row>
    <row r="18" spans="1:9" ht="256" x14ac:dyDescent="0.2">
      <c r="A18" s="11" t="s">
        <v>130</v>
      </c>
      <c r="B18" s="11" t="s">
        <v>131</v>
      </c>
      <c r="C18" s="4" t="b">
        <v>1</v>
      </c>
      <c r="D18" s="4" t="b">
        <v>0</v>
      </c>
      <c r="E18" s="4" t="b">
        <v>1</v>
      </c>
      <c r="F18" s="4" t="s">
        <v>12</v>
      </c>
      <c r="G18" s="4" t="b">
        <v>1</v>
      </c>
      <c r="H18" s="4" t="s">
        <v>2855</v>
      </c>
      <c r="I18" s="4" t="s">
        <v>98</v>
      </c>
    </row>
    <row r="19" spans="1:9" ht="144" x14ac:dyDescent="0.2">
      <c r="A19" s="11" t="s">
        <v>132</v>
      </c>
      <c r="B19" s="11" t="s">
        <v>133</v>
      </c>
      <c r="C19" s="4" t="b">
        <v>1</v>
      </c>
      <c r="D19" s="4" t="b">
        <v>0</v>
      </c>
      <c r="E19" s="4" t="b">
        <v>1</v>
      </c>
      <c r="F19" s="4" t="s">
        <v>12</v>
      </c>
      <c r="G19" s="4" t="b">
        <v>1</v>
      </c>
      <c r="H19" s="4" t="s">
        <v>2856</v>
      </c>
      <c r="I19" s="4" t="s">
        <v>98</v>
      </c>
    </row>
    <row r="20" spans="1:9" ht="48" x14ac:dyDescent="0.2">
      <c r="A20" s="11" t="s">
        <v>134</v>
      </c>
      <c r="B20" s="11" t="s">
        <v>135</v>
      </c>
      <c r="C20" s="4" t="b">
        <v>1</v>
      </c>
      <c r="D20" s="4" t="b">
        <v>0</v>
      </c>
      <c r="E20" s="4" t="b">
        <v>1</v>
      </c>
      <c r="F20" s="4" t="s">
        <v>12</v>
      </c>
      <c r="G20" s="4" t="b">
        <v>1</v>
      </c>
      <c r="H20" s="4" t="s">
        <v>2874</v>
      </c>
      <c r="I20" s="4" t="s">
        <v>98</v>
      </c>
    </row>
    <row r="21" spans="1:9" ht="112" x14ac:dyDescent="0.2">
      <c r="A21" s="11" t="s">
        <v>136</v>
      </c>
      <c r="B21" s="11" t="s">
        <v>137</v>
      </c>
      <c r="C21" s="4" t="b">
        <v>1</v>
      </c>
      <c r="D21" s="4" t="b">
        <v>0</v>
      </c>
      <c r="E21" s="4" t="b">
        <v>1</v>
      </c>
      <c r="F21" s="4" t="s">
        <v>12</v>
      </c>
      <c r="G21" s="4" t="b">
        <v>1</v>
      </c>
      <c r="H21" s="4" t="s">
        <v>2875</v>
      </c>
      <c r="I21" s="4" t="s">
        <v>98</v>
      </c>
    </row>
    <row r="22" spans="1:9" ht="32" x14ac:dyDescent="0.2">
      <c r="A22" s="11" t="s">
        <v>138</v>
      </c>
      <c r="B22" s="11" t="s">
        <v>139</v>
      </c>
      <c r="C22" s="4" t="b">
        <v>1</v>
      </c>
      <c r="D22" s="4" t="b">
        <v>0</v>
      </c>
      <c r="E22" s="4" t="b">
        <v>1</v>
      </c>
      <c r="F22" s="4" t="s">
        <v>12</v>
      </c>
      <c r="G22" s="4" t="b">
        <v>1</v>
      </c>
      <c r="H22" s="4" t="s">
        <v>2876</v>
      </c>
      <c r="I22" s="4" t="s">
        <v>98</v>
      </c>
    </row>
    <row r="23" spans="1:9" ht="32" x14ac:dyDescent="0.2">
      <c r="A23" s="11" t="s">
        <v>160</v>
      </c>
      <c r="B23" s="11" t="s">
        <v>161</v>
      </c>
      <c r="C23" s="4" t="b">
        <v>1</v>
      </c>
      <c r="D23" s="4" t="b">
        <v>0</v>
      </c>
      <c r="E23" s="4" t="b">
        <v>1</v>
      </c>
      <c r="F23" s="4" t="s">
        <v>12</v>
      </c>
      <c r="G23" s="4" t="b">
        <v>1</v>
      </c>
      <c r="H23" s="4"/>
      <c r="I23" s="4" t="s">
        <v>98</v>
      </c>
    </row>
    <row r="24" spans="1:9" ht="128" x14ac:dyDescent="0.2">
      <c r="A24" s="11" t="s">
        <v>184</v>
      </c>
      <c r="B24" s="11" t="s">
        <v>185</v>
      </c>
      <c r="C24" s="4" t="b">
        <v>1</v>
      </c>
      <c r="D24" s="4" t="b">
        <v>0</v>
      </c>
      <c r="E24" s="4" t="b">
        <v>1</v>
      </c>
      <c r="F24" s="4" t="s">
        <v>12</v>
      </c>
      <c r="G24" s="4" t="b">
        <v>1</v>
      </c>
      <c r="H24" s="4" t="s">
        <v>3194</v>
      </c>
      <c r="I24" s="4" t="s">
        <v>98</v>
      </c>
    </row>
    <row r="25" spans="1:9" ht="48" x14ac:dyDescent="0.2">
      <c r="A25" s="11" t="s">
        <v>192</v>
      </c>
      <c r="B25" s="11" t="s">
        <v>193</v>
      </c>
      <c r="C25" s="4" t="b">
        <v>1</v>
      </c>
      <c r="D25" s="4" t="b">
        <v>0</v>
      </c>
      <c r="E25" s="4" t="b">
        <v>1</v>
      </c>
      <c r="F25" s="4" t="s">
        <v>12</v>
      </c>
      <c r="G25" s="4" t="b">
        <v>1</v>
      </c>
      <c r="H25" s="4" t="s">
        <v>3196</v>
      </c>
      <c r="I25" s="4" t="s">
        <v>98</v>
      </c>
    </row>
    <row r="26" spans="1:9" ht="64" x14ac:dyDescent="0.2">
      <c r="A26" s="11" t="s">
        <v>196</v>
      </c>
      <c r="B26" s="11" t="s">
        <v>197</v>
      </c>
      <c r="C26" s="4" t="b">
        <v>1</v>
      </c>
      <c r="D26" s="4" t="b">
        <v>0</v>
      </c>
      <c r="E26" s="4" t="b">
        <v>1</v>
      </c>
      <c r="F26" s="4" t="s">
        <v>12</v>
      </c>
      <c r="G26" s="4" t="b">
        <v>1</v>
      </c>
      <c r="H26" s="4" t="s">
        <v>3197</v>
      </c>
      <c r="I26" s="4" t="s">
        <v>98</v>
      </c>
    </row>
    <row r="27" spans="1:9" ht="48" x14ac:dyDescent="0.2">
      <c r="A27" s="11" t="s">
        <v>200</v>
      </c>
      <c r="B27" s="11" t="s">
        <v>201</v>
      </c>
      <c r="C27" s="4" t="b">
        <v>1</v>
      </c>
      <c r="D27" s="4" t="b">
        <v>0</v>
      </c>
      <c r="E27" s="4" t="b">
        <v>1</v>
      </c>
      <c r="F27" s="4" t="s">
        <v>12</v>
      </c>
      <c r="G27" s="4" t="b">
        <v>1</v>
      </c>
      <c r="H27" s="4" t="s">
        <v>3198</v>
      </c>
      <c r="I27" s="4" t="s">
        <v>98</v>
      </c>
    </row>
    <row r="28" spans="1:9" ht="32" x14ac:dyDescent="0.2">
      <c r="A28" s="11" t="s">
        <v>208</v>
      </c>
      <c r="B28" s="11" t="s">
        <v>209</v>
      </c>
      <c r="C28" s="4" t="b">
        <v>1</v>
      </c>
      <c r="D28" s="4" t="b">
        <v>0</v>
      </c>
      <c r="E28" s="4" t="b">
        <v>1</v>
      </c>
      <c r="F28" s="4" t="s">
        <v>12</v>
      </c>
      <c r="G28" s="4" t="b">
        <v>1</v>
      </c>
      <c r="H28" s="4" t="s">
        <v>3200</v>
      </c>
      <c r="I28" s="4" t="s">
        <v>98</v>
      </c>
    </row>
    <row r="29" spans="1:9" ht="32" x14ac:dyDescent="0.2">
      <c r="A29" s="11" t="s">
        <v>216</v>
      </c>
      <c r="B29" s="11" t="s">
        <v>217</v>
      </c>
      <c r="C29" s="4" t="b">
        <v>1</v>
      </c>
      <c r="D29" s="4" t="b">
        <v>0</v>
      </c>
      <c r="E29" s="4" t="b">
        <v>1</v>
      </c>
      <c r="F29" s="4" t="s">
        <v>12</v>
      </c>
      <c r="G29" s="4" t="b">
        <v>1</v>
      </c>
      <c r="H29" s="4" t="s">
        <v>3201</v>
      </c>
      <c r="I29" s="4" t="s">
        <v>98</v>
      </c>
    </row>
    <row r="30" spans="1:9" ht="32" x14ac:dyDescent="0.2">
      <c r="A30" s="11" t="s">
        <v>224</v>
      </c>
      <c r="B30" s="11" t="s">
        <v>225</v>
      </c>
      <c r="C30" s="4" t="b">
        <v>1</v>
      </c>
      <c r="D30" s="4" t="b">
        <v>0</v>
      </c>
      <c r="E30" s="4" t="b">
        <v>1</v>
      </c>
      <c r="F30" s="4" t="s">
        <v>12</v>
      </c>
      <c r="G30" s="4" t="b">
        <v>1</v>
      </c>
      <c r="H30" s="4" t="s">
        <v>3203</v>
      </c>
      <c r="I30" s="4" t="s">
        <v>98</v>
      </c>
    </row>
    <row r="31" spans="1:9" ht="96" x14ac:dyDescent="0.2">
      <c r="A31" s="11" t="s">
        <v>226</v>
      </c>
      <c r="B31" s="11" t="s">
        <v>227</v>
      </c>
      <c r="C31" s="4" t="b">
        <v>1</v>
      </c>
      <c r="D31" s="4" t="b">
        <v>0</v>
      </c>
      <c r="E31" s="4" t="b">
        <v>1</v>
      </c>
      <c r="F31" s="4" t="s">
        <v>12</v>
      </c>
      <c r="G31" s="4" t="b">
        <v>1</v>
      </c>
      <c r="H31" s="4" t="s">
        <v>3204</v>
      </c>
      <c r="I31" s="4" t="s">
        <v>98</v>
      </c>
    </row>
    <row r="32" spans="1:9" ht="112" x14ac:dyDescent="0.2">
      <c r="A32" s="11" t="s">
        <v>230</v>
      </c>
      <c r="B32" s="11" t="s">
        <v>231</v>
      </c>
      <c r="C32" s="4" t="b">
        <v>1</v>
      </c>
      <c r="D32" s="4" t="b">
        <v>0</v>
      </c>
      <c r="E32" s="4" t="b">
        <v>1</v>
      </c>
      <c r="F32" s="4" t="s">
        <v>12</v>
      </c>
      <c r="G32" s="4" t="b">
        <v>1</v>
      </c>
      <c r="H32" s="4" t="s">
        <v>3208</v>
      </c>
      <c r="I32" s="4" t="s">
        <v>98</v>
      </c>
    </row>
    <row r="33" spans="1:9" ht="64" x14ac:dyDescent="0.2">
      <c r="A33" s="11" t="s">
        <v>260</v>
      </c>
      <c r="B33" s="11" t="s">
        <v>261</v>
      </c>
      <c r="C33" s="4" t="b">
        <v>1</v>
      </c>
      <c r="D33" s="4" t="b">
        <v>0</v>
      </c>
      <c r="E33" s="4" t="b">
        <v>1</v>
      </c>
      <c r="F33" s="4" t="s">
        <v>12</v>
      </c>
      <c r="G33" s="4" t="b">
        <v>1</v>
      </c>
      <c r="H33" s="4" t="s">
        <v>3210</v>
      </c>
      <c r="I33" s="4" t="s">
        <v>98</v>
      </c>
    </row>
    <row r="34" spans="1:9" ht="240" x14ac:dyDescent="0.2">
      <c r="A34" s="11" t="s">
        <v>264</v>
      </c>
      <c r="B34" s="11" t="s">
        <v>265</v>
      </c>
      <c r="C34" s="4" t="b">
        <v>1</v>
      </c>
      <c r="D34" s="4" t="b">
        <v>0</v>
      </c>
      <c r="E34" s="4" t="b">
        <v>1</v>
      </c>
      <c r="F34" s="4" t="s">
        <v>12</v>
      </c>
      <c r="G34" s="4" t="b">
        <v>1</v>
      </c>
      <c r="H34" s="4" t="s">
        <v>3211</v>
      </c>
      <c r="I34" s="4" t="s">
        <v>98</v>
      </c>
    </row>
    <row r="35" spans="1:9" ht="32" x14ac:dyDescent="0.2">
      <c r="A35" s="11" t="s">
        <v>266</v>
      </c>
      <c r="B35" s="11" t="s">
        <v>267</v>
      </c>
      <c r="C35" s="4" t="b">
        <v>1</v>
      </c>
      <c r="D35" s="4" t="b">
        <v>0</v>
      </c>
      <c r="E35" s="4" t="b">
        <v>1</v>
      </c>
      <c r="F35" s="4" t="s">
        <v>12</v>
      </c>
      <c r="G35" s="4" t="b">
        <v>1</v>
      </c>
      <c r="H35" s="4"/>
      <c r="I35" s="4" t="s">
        <v>98</v>
      </c>
    </row>
    <row r="36" spans="1:9" ht="48" x14ac:dyDescent="0.2">
      <c r="A36" s="11" t="s">
        <v>270</v>
      </c>
      <c r="B36" s="11" t="s">
        <v>271</v>
      </c>
      <c r="C36" s="4" t="b">
        <v>1</v>
      </c>
      <c r="D36" s="4" t="b">
        <v>0</v>
      </c>
      <c r="E36" s="4" t="b">
        <v>1</v>
      </c>
      <c r="F36" s="4" t="s">
        <v>12</v>
      </c>
      <c r="G36" s="4" t="b">
        <v>1</v>
      </c>
      <c r="H36" s="4" t="s">
        <v>3212</v>
      </c>
      <c r="I36" s="4" t="s">
        <v>98</v>
      </c>
    </row>
    <row r="37" spans="1:9" ht="128" x14ac:dyDescent="0.2">
      <c r="A37" s="11" t="s">
        <v>282</v>
      </c>
      <c r="B37" s="11" t="s">
        <v>283</v>
      </c>
      <c r="C37" s="4" t="b">
        <v>1</v>
      </c>
      <c r="D37" s="4" t="b">
        <v>0</v>
      </c>
      <c r="E37" s="4" t="b">
        <v>1</v>
      </c>
      <c r="F37" s="4" t="s">
        <v>12</v>
      </c>
      <c r="G37" s="4" t="b">
        <v>1</v>
      </c>
      <c r="H37" s="4" t="s">
        <v>3213</v>
      </c>
      <c r="I37" s="4" t="s">
        <v>98</v>
      </c>
    </row>
    <row r="38" spans="1:9" ht="48" x14ac:dyDescent="0.2">
      <c r="A38" s="11" t="s">
        <v>286</v>
      </c>
      <c r="B38" s="11" t="s">
        <v>287</v>
      </c>
      <c r="C38" s="4" t="b">
        <v>1</v>
      </c>
      <c r="D38" s="4" t="b">
        <v>0</v>
      </c>
      <c r="E38" s="4" t="b">
        <v>1</v>
      </c>
      <c r="F38" s="4" t="s">
        <v>12</v>
      </c>
      <c r="G38" s="4" t="b">
        <v>1</v>
      </c>
      <c r="H38" s="4" t="s">
        <v>3215</v>
      </c>
      <c r="I38" s="4" t="s">
        <v>98</v>
      </c>
    </row>
    <row r="39" spans="1:9" ht="32" x14ac:dyDescent="0.2">
      <c r="A39" s="11" t="s">
        <v>292</v>
      </c>
      <c r="B39" s="11" t="s">
        <v>293</v>
      </c>
      <c r="C39" s="4" t="b">
        <v>1</v>
      </c>
      <c r="D39" s="4" t="b">
        <v>0</v>
      </c>
      <c r="E39" s="4" t="b">
        <v>1</v>
      </c>
      <c r="F39" s="4" t="s">
        <v>12</v>
      </c>
      <c r="G39" s="4" t="b">
        <v>1</v>
      </c>
      <c r="H39" s="4" t="s">
        <v>3216</v>
      </c>
      <c r="I39" s="4" t="s">
        <v>98</v>
      </c>
    </row>
    <row r="40" spans="1:9" ht="48" x14ac:dyDescent="0.2">
      <c r="A40" s="11" t="s">
        <v>296</v>
      </c>
      <c r="B40" s="11" t="s">
        <v>297</v>
      </c>
      <c r="C40" s="4" t="b">
        <v>1</v>
      </c>
      <c r="D40" s="4" t="b">
        <v>0</v>
      </c>
      <c r="E40" s="4" t="b">
        <v>1</v>
      </c>
      <c r="F40" s="4" t="s">
        <v>12</v>
      </c>
      <c r="G40" s="4" t="b">
        <v>1</v>
      </c>
      <c r="H40" s="4" t="s">
        <v>3217</v>
      </c>
      <c r="I40" s="4" t="s">
        <v>98</v>
      </c>
    </row>
    <row r="41" spans="1:9" ht="64" x14ac:dyDescent="0.2">
      <c r="A41" s="11" t="s">
        <v>302</v>
      </c>
      <c r="B41" s="11" t="s">
        <v>303</v>
      </c>
      <c r="C41" s="4" t="b">
        <v>1</v>
      </c>
      <c r="D41" s="4" t="b">
        <v>0</v>
      </c>
      <c r="E41" s="4" t="b">
        <v>1</v>
      </c>
      <c r="F41" s="4" t="s">
        <v>12</v>
      </c>
      <c r="G41" s="4" t="b">
        <v>1</v>
      </c>
      <c r="H41" s="4" t="s">
        <v>3218</v>
      </c>
      <c r="I41" s="4" t="s">
        <v>98</v>
      </c>
    </row>
    <row r="42" spans="1:9" ht="64" x14ac:dyDescent="0.2">
      <c r="A42" s="11" t="s">
        <v>314</v>
      </c>
      <c r="B42" s="11" t="s">
        <v>315</v>
      </c>
      <c r="C42" s="4" t="b">
        <v>1</v>
      </c>
      <c r="D42" s="4" t="b">
        <v>0</v>
      </c>
      <c r="E42" s="4" t="b">
        <v>1</v>
      </c>
      <c r="F42" s="4" t="s">
        <v>12</v>
      </c>
      <c r="G42" s="4" t="b">
        <v>1</v>
      </c>
      <c r="H42" s="4" t="s">
        <v>3221</v>
      </c>
      <c r="I42" s="4" t="s">
        <v>98</v>
      </c>
    </row>
    <row r="43" spans="1:9" ht="128" x14ac:dyDescent="0.2">
      <c r="A43" s="11" t="s">
        <v>318</v>
      </c>
      <c r="B43" s="11" t="s">
        <v>319</v>
      </c>
      <c r="C43" s="4" t="b">
        <v>1</v>
      </c>
      <c r="D43" s="4" t="b">
        <v>0</v>
      </c>
      <c r="E43" s="4" t="b">
        <v>1</v>
      </c>
      <c r="F43" s="4" t="s">
        <v>12</v>
      </c>
      <c r="G43" s="4" t="b">
        <v>1</v>
      </c>
      <c r="H43" s="4" t="s">
        <v>3222</v>
      </c>
      <c r="I43" s="4" t="s">
        <v>98</v>
      </c>
    </row>
    <row r="44" spans="1:9" ht="64" x14ac:dyDescent="0.2">
      <c r="A44" s="11" t="s">
        <v>326</v>
      </c>
      <c r="B44" s="11" t="s">
        <v>327</v>
      </c>
      <c r="C44" s="4" t="b">
        <v>1</v>
      </c>
      <c r="D44" s="4" t="b">
        <v>0</v>
      </c>
      <c r="E44" s="4" t="b">
        <v>1</v>
      </c>
      <c r="F44" s="4" t="s">
        <v>12</v>
      </c>
      <c r="G44" s="4" t="b">
        <v>1</v>
      </c>
      <c r="H44" s="4" t="s">
        <v>3223</v>
      </c>
      <c r="I44" s="4" t="s">
        <v>98</v>
      </c>
    </row>
    <row r="45" spans="1:9" ht="96" x14ac:dyDescent="0.2">
      <c r="A45" s="11" t="s">
        <v>328</v>
      </c>
      <c r="B45" s="11" t="s">
        <v>329</v>
      </c>
      <c r="C45" s="4" t="b">
        <v>1</v>
      </c>
      <c r="D45" s="4" t="b">
        <v>0</v>
      </c>
      <c r="E45" s="4" t="b">
        <v>1</v>
      </c>
      <c r="F45" s="4" t="s">
        <v>12</v>
      </c>
      <c r="G45" s="4" t="b">
        <v>1</v>
      </c>
      <c r="H45" s="4" t="s">
        <v>3224</v>
      </c>
      <c r="I45" s="4" t="s">
        <v>98</v>
      </c>
    </row>
    <row r="46" spans="1:9" ht="32" x14ac:dyDescent="0.2">
      <c r="A46" s="11" t="s">
        <v>330</v>
      </c>
      <c r="B46" s="11" t="s">
        <v>331</v>
      </c>
      <c r="C46" s="4" t="b">
        <v>1</v>
      </c>
      <c r="D46" s="4" t="b">
        <v>0</v>
      </c>
      <c r="E46" s="4" t="b">
        <v>1</v>
      </c>
      <c r="F46" s="4" t="s">
        <v>12</v>
      </c>
      <c r="G46" s="4" t="b">
        <v>1</v>
      </c>
      <c r="H46" s="4" t="s">
        <v>3225</v>
      </c>
      <c r="I46" s="4" t="s">
        <v>98</v>
      </c>
    </row>
    <row r="47" spans="1:9" ht="192" x14ac:dyDescent="0.2">
      <c r="A47" s="11" t="s">
        <v>338</v>
      </c>
      <c r="B47" s="11" t="s">
        <v>339</v>
      </c>
      <c r="C47" s="4" t="b">
        <v>1</v>
      </c>
      <c r="D47" s="4" t="b">
        <v>0</v>
      </c>
      <c r="E47" s="4" t="b">
        <v>1</v>
      </c>
      <c r="F47" s="4" t="s">
        <v>12</v>
      </c>
      <c r="G47" s="4" t="b">
        <v>1</v>
      </c>
      <c r="H47" s="4" t="s">
        <v>3226</v>
      </c>
      <c r="I47" s="4" t="s">
        <v>98</v>
      </c>
    </row>
    <row r="48" spans="1:9" ht="48" x14ac:dyDescent="0.2">
      <c r="A48" s="11" t="s">
        <v>348</v>
      </c>
      <c r="B48" s="11" t="s">
        <v>349</v>
      </c>
      <c r="C48" s="4" t="b">
        <v>1</v>
      </c>
      <c r="D48" s="4" t="b">
        <v>0</v>
      </c>
      <c r="E48" s="4" t="b">
        <v>1</v>
      </c>
      <c r="F48" s="4" t="s">
        <v>12</v>
      </c>
      <c r="G48" s="4" t="b">
        <v>1</v>
      </c>
      <c r="H48" s="4" t="s">
        <v>3227</v>
      </c>
      <c r="I48" s="4" t="s">
        <v>98</v>
      </c>
    </row>
    <row r="49" spans="1:10" ht="144" x14ac:dyDescent="0.2">
      <c r="A49" s="11" t="s">
        <v>352</v>
      </c>
      <c r="B49" s="11" t="s">
        <v>353</v>
      </c>
      <c r="C49" s="4" t="b">
        <v>1</v>
      </c>
      <c r="D49" s="4" t="b">
        <v>0</v>
      </c>
      <c r="E49" s="4" t="b">
        <v>1</v>
      </c>
      <c r="F49" s="4" t="s">
        <v>12</v>
      </c>
      <c r="G49" s="4" t="b">
        <v>1</v>
      </c>
      <c r="H49" s="4" t="s">
        <v>3228</v>
      </c>
      <c r="I49" s="4" t="s">
        <v>98</v>
      </c>
    </row>
    <row r="50" spans="1:10" ht="64" x14ac:dyDescent="0.2">
      <c r="A50" s="11" t="s">
        <v>354</v>
      </c>
      <c r="B50" s="11" t="s">
        <v>355</v>
      </c>
      <c r="C50" s="4" t="b">
        <v>1</v>
      </c>
      <c r="D50" s="4" t="b">
        <v>0</v>
      </c>
      <c r="E50" s="4" t="b">
        <v>1</v>
      </c>
      <c r="F50" s="4" t="s">
        <v>12</v>
      </c>
      <c r="G50" s="4" t="b">
        <v>1</v>
      </c>
      <c r="H50" s="4" t="s">
        <v>3229</v>
      </c>
      <c r="I50" s="4" t="s">
        <v>98</v>
      </c>
    </row>
    <row r="51" spans="1:10" ht="48" x14ac:dyDescent="0.2">
      <c r="A51" s="11" t="s">
        <v>356</v>
      </c>
      <c r="B51" s="11" t="s">
        <v>357</v>
      </c>
      <c r="C51" s="4" t="b">
        <v>1</v>
      </c>
      <c r="D51" s="4" t="b">
        <v>0</v>
      </c>
      <c r="E51" s="4" t="b">
        <v>1</v>
      </c>
      <c r="F51" s="4" t="s">
        <v>12</v>
      </c>
      <c r="G51" s="4" t="b">
        <v>1</v>
      </c>
      <c r="H51" s="4" t="s">
        <v>3230</v>
      </c>
      <c r="I51" s="4" t="s">
        <v>98</v>
      </c>
    </row>
    <row r="52" spans="1:10" ht="80" x14ac:dyDescent="0.2">
      <c r="A52" s="11" t="s">
        <v>360</v>
      </c>
      <c r="B52" s="11" t="s">
        <v>361</v>
      </c>
      <c r="C52" s="4" t="b">
        <v>1</v>
      </c>
      <c r="D52" s="4" t="b">
        <v>0</v>
      </c>
      <c r="E52" s="4" t="b">
        <v>1</v>
      </c>
      <c r="F52" s="4" t="s">
        <v>12</v>
      </c>
      <c r="G52" s="4" t="b">
        <v>1</v>
      </c>
      <c r="H52" s="4" t="s">
        <v>3231</v>
      </c>
      <c r="I52" s="4" t="s">
        <v>98</v>
      </c>
    </row>
    <row r="53" spans="1:10" ht="48" x14ac:dyDescent="0.2">
      <c r="A53" s="11" t="s">
        <v>364</v>
      </c>
      <c r="B53" s="11" t="s">
        <v>365</v>
      </c>
      <c r="C53" s="4" t="b">
        <v>1</v>
      </c>
      <c r="D53" s="4" t="b">
        <v>0</v>
      </c>
      <c r="E53" s="4" t="b">
        <v>1</v>
      </c>
      <c r="F53" s="4" t="s">
        <v>12</v>
      </c>
      <c r="G53" s="4" t="b">
        <v>1</v>
      </c>
      <c r="H53" s="4" t="s">
        <v>3232</v>
      </c>
      <c r="I53" s="4" t="s">
        <v>98</v>
      </c>
    </row>
    <row r="54" spans="1:10" ht="64" x14ac:dyDescent="0.2">
      <c r="A54" s="11" t="s">
        <v>376</v>
      </c>
      <c r="B54" s="11" t="s">
        <v>377</v>
      </c>
      <c r="C54" s="4" t="b">
        <v>1</v>
      </c>
      <c r="D54" s="4" t="b">
        <v>0</v>
      </c>
      <c r="E54" s="4" t="b">
        <v>1</v>
      </c>
      <c r="F54" s="4" t="s">
        <v>12</v>
      </c>
      <c r="G54" s="4" t="b">
        <v>1</v>
      </c>
      <c r="H54" s="4" t="s">
        <v>3233</v>
      </c>
      <c r="I54" s="4" t="s">
        <v>98</v>
      </c>
    </row>
    <row r="55" spans="1:10" ht="64" x14ac:dyDescent="0.2">
      <c r="A55" s="11" t="s">
        <v>380</v>
      </c>
      <c r="B55" s="11" t="s">
        <v>381</v>
      </c>
      <c r="C55" s="4" t="b">
        <v>1</v>
      </c>
      <c r="D55" s="4" t="b">
        <v>0</v>
      </c>
      <c r="E55" s="4" t="b">
        <v>1</v>
      </c>
      <c r="F55" s="4" t="s">
        <v>12</v>
      </c>
      <c r="G55" s="4" t="b">
        <v>1</v>
      </c>
      <c r="H55" s="4" t="s">
        <v>3235</v>
      </c>
      <c r="I55" s="4" t="s">
        <v>98</v>
      </c>
    </row>
    <row r="56" spans="1:10" ht="112" x14ac:dyDescent="0.2">
      <c r="A56" s="11" t="s">
        <v>382</v>
      </c>
      <c r="B56" s="11" t="s">
        <v>383</v>
      </c>
      <c r="C56" s="4" t="b">
        <v>1</v>
      </c>
      <c r="D56" s="4" t="b">
        <v>0</v>
      </c>
      <c r="E56" s="4" t="b">
        <v>1</v>
      </c>
      <c r="F56" s="4" t="s">
        <v>12</v>
      </c>
      <c r="G56" s="4" t="b">
        <v>1</v>
      </c>
      <c r="H56" s="4" t="s">
        <v>3236</v>
      </c>
      <c r="I56" s="4" t="s">
        <v>98</v>
      </c>
    </row>
    <row r="57" spans="1:10" ht="112" x14ac:dyDescent="0.2">
      <c r="A57" s="11" t="s">
        <v>392</v>
      </c>
      <c r="B57" s="11" t="s">
        <v>393</v>
      </c>
      <c r="C57" s="4" t="b">
        <v>1</v>
      </c>
      <c r="D57" s="4" t="b">
        <v>0</v>
      </c>
      <c r="E57" s="4" t="b">
        <v>1</v>
      </c>
      <c r="F57" s="4" t="s">
        <v>12</v>
      </c>
      <c r="G57" s="4" t="b">
        <v>1</v>
      </c>
      <c r="H57" s="4" t="s">
        <v>3238</v>
      </c>
      <c r="I57" s="4" t="s">
        <v>98</v>
      </c>
    </row>
    <row r="58" spans="1:10" ht="48" x14ac:dyDescent="0.2">
      <c r="A58" s="11" t="s">
        <v>402</v>
      </c>
      <c r="B58" s="11" t="s">
        <v>403</v>
      </c>
      <c r="C58" s="4" t="b">
        <v>1</v>
      </c>
      <c r="D58" s="4" t="b">
        <v>0</v>
      </c>
      <c r="E58" s="4" t="b">
        <v>1</v>
      </c>
      <c r="F58" s="4" t="s">
        <v>12</v>
      </c>
      <c r="G58" s="4" t="b">
        <v>1</v>
      </c>
      <c r="H58" s="4"/>
      <c r="I58" s="4" t="s">
        <v>94</v>
      </c>
      <c r="J58" s="1"/>
    </row>
    <row r="59" spans="1:10" ht="160" x14ac:dyDescent="0.2">
      <c r="A59" s="11" t="s">
        <v>404</v>
      </c>
      <c r="B59" s="11" t="s">
        <v>405</v>
      </c>
      <c r="C59" s="4" t="b">
        <v>1</v>
      </c>
      <c r="D59" s="4" t="b">
        <v>0</v>
      </c>
      <c r="E59" s="4" t="b">
        <v>1</v>
      </c>
      <c r="F59" s="4" t="s">
        <v>12</v>
      </c>
      <c r="G59" s="4" t="b">
        <v>1</v>
      </c>
      <c r="H59" s="4" t="s">
        <v>2858</v>
      </c>
      <c r="I59" s="4" t="s">
        <v>94</v>
      </c>
      <c r="J59" s="1"/>
    </row>
    <row r="60" spans="1:10" ht="64" x14ac:dyDescent="0.2">
      <c r="A60" s="11" t="s">
        <v>406</v>
      </c>
      <c r="B60" s="11" t="s">
        <v>407</v>
      </c>
      <c r="C60" s="4" t="b">
        <v>1</v>
      </c>
      <c r="D60" s="4" t="b">
        <v>0</v>
      </c>
      <c r="E60" s="4" t="b">
        <v>1</v>
      </c>
      <c r="F60" s="4" t="s">
        <v>12</v>
      </c>
      <c r="G60" s="4" t="b">
        <v>1</v>
      </c>
      <c r="H60" s="4" t="s">
        <v>2859</v>
      </c>
      <c r="I60" s="4" t="s">
        <v>94</v>
      </c>
      <c r="J60" s="1"/>
    </row>
    <row r="61" spans="1:10" ht="64" x14ac:dyDescent="0.2">
      <c r="A61" s="11" t="s">
        <v>408</v>
      </c>
      <c r="B61" s="11" t="s">
        <v>409</v>
      </c>
      <c r="C61" s="4" t="b">
        <v>1</v>
      </c>
      <c r="D61" s="4" t="b">
        <v>0</v>
      </c>
      <c r="E61" s="4" t="b">
        <v>1</v>
      </c>
      <c r="F61" s="4" t="s">
        <v>12</v>
      </c>
      <c r="G61" s="4" t="b">
        <v>1</v>
      </c>
      <c r="H61" s="4" t="s">
        <v>2860</v>
      </c>
      <c r="I61" s="4" t="s">
        <v>94</v>
      </c>
      <c r="J61" s="1"/>
    </row>
    <row r="62" spans="1:10" ht="48" x14ac:dyDescent="0.2">
      <c r="A62" s="11" t="s">
        <v>410</v>
      </c>
      <c r="B62" s="11" t="s">
        <v>411</v>
      </c>
      <c r="C62" s="4" t="b">
        <v>1</v>
      </c>
      <c r="D62" s="4" t="b">
        <v>0</v>
      </c>
      <c r="E62" s="4" t="b">
        <v>1</v>
      </c>
      <c r="F62" s="4" t="s">
        <v>12</v>
      </c>
      <c r="G62" s="4" t="b">
        <v>1</v>
      </c>
      <c r="H62" s="4" t="s">
        <v>2861</v>
      </c>
      <c r="I62" s="4" t="s">
        <v>94</v>
      </c>
      <c r="J62" s="1"/>
    </row>
    <row r="63" spans="1:10" ht="32" x14ac:dyDescent="0.2">
      <c r="A63" s="11" t="s">
        <v>428</v>
      </c>
      <c r="B63" s="11" t="s">
        <v>429</v>
      </c>
      <c r="C63" s="4" t="b">
        <v>1</v>
      </c>
      <c r="D63" s="4" t="b">
        <v>0</v>
      </c>
      <c r="E63" s="4" t="b">
        <v>1</v>
      </c>
      <c r="F63" s="4" t="s">
        <v>12</v>
      </c>
      <c r="G63" s="4" t="b">
        <v>1</v>
      </c>
      <c r="H63" s="4" t="s">
        <v>2865</v>
      </c>
      <c r="I63" s="4" t="s">
        <v>94</v>
      </c>
      <c r="J63" s="1"/>
    </row>
    <row r="64" spans="1:10" ht="48" x14ac:dyDescent="0.2">
      <c r="A64" s="11" t="s">
        <v>432</v>
      </c>
      <c r="B64" s="11" t="s">
        <v>433</v>
      </c>
      <c r="C64" s="4" t="b">
        <v>1</v>
      </c>
      <c r="D64" s="4" t="b">
        <v>0</v>
      </c>
      <c r="E64" s="4" t="b">
        <v>1</v>
      </c>
      <c r="F64" s="4" t="s">
        <v>12</v>
      </c>
      <c r="G64" s="4" t="b">
        <v>1</v>
      </c>
      <c r="H64" s="4"/>
      <c r="I64" s="4" t="s">
        <v>94</v>
      </c>
      <c r="J64" s="1"/>
    </row>
    <row r="65" spans="1:10" ht="64" x14ac:dyDescent="0.2">
      <c r="A65" s="11" t="s">
        <v>434</v>
      </c>
      <c r="B65" s="11" t="s">
        <v>435</v>
      </c>
      <c r="C65" s="4" t="b">
        <v>1</v>
      </c>
      <c r="D65" s="4" t="b">
        <v>0</v>
      </c>
      <c r="E65" s="4" t="b">
        <v>1</v>
      </c>
      <c r="F65" s="4" t="s">
        <v>12</v>
      </c>
      <c r="G65" s="4" t="b">
        <v>1</v>
      </c>
      <c r="H65" s="4" t="s">
        <v>2867</v>
      </c>
      <c r="I65" s="4" t="s">
        <v>94</v>
      </c>
      <c r="J65" s="1"/>
    </row>
    <row r="66" spans="1:10" ht="48" x14ac:dyDescent="0.2">
      <c r="A66" s="11" t="s">
        <v>436</v>
      </c>
      <c r="B66" s="11" t="s">
        <v>437</v>
      </c>
      <c r="C66" s="4" t="b">
        <v>1</v>
      </c>
      <c r="D66" s="4" t="b">
        <v>0</v>
      </c>
      <c r="E66" s="4" t="b">
        <v>1</v>
      </c>
      <c r="F66" s="4" t="s">
        <v>12</v>
      </c>
      <c r="G66" s="4" t="b">
        <v>1</v>
      </c>
      <c r="H66" s="4" t="s">
        <v>2868</v>
      </c>
      <c r="I66" s="4" t="s">
        <v>94</v>
      </c>
      <c r="J66" s="1"/>
    </row>
    <row r="67" spans="1:10" ht="160" x14ac:dyDescent="0.2">
      <c r="A67" s="11" t="s">
        <v>438</v>
      </c>
      <c r="B67" s="11" t="s">
        <v>439</v>
      </c>
      <c r="C67" s="4" t="b">
        <v>1</v>
      </c>
      <c r="D67" s="4" t="b">
        <v>0</v>
      </c>
      <c r="E67" s="4" t="b">
        <v>1</v>
      </c>
      <c r="F67" s="4" t="s">
        <v>12</v>
      </c>
      <c r="G67" s="4" t="b">
        <v>1</v>
      </c>
      <c r="H67" s="4" t="s">
        <v>2869</v>
      </c>
      <c r="I67" s="4" t="s">
        <v>94</v>
      </c>
      <c r="J67" s="1"/>
    </row>
    <row r="68" spans="1:10" ht="320" x14ac:dyDescent="0.2">
      <c r="A68" s="11" t="s">
        <v>440</v>
      </c>
      <c r="B68" s="11" t="s">
        <v>441</v>
      </c>
      <c r="C68" s="4" t="b">
        <v>1</v>
      </c>
      <c r="D68" s="4" t="b">
        <v>0</v>
      </c>
      <c r="E68" s="4" t="b">
        <v>1</v>
      </c>
      <c r="F68" s="4" t="s">
        <v>12</v>
      </c>
      <c r="G68" s="4" t="b">
        <v>1</v>
      </c>
      <c r="H68" s="4" t="s">
        <v>2870</v>
      </c>
      <c r="I68" s="4" t="s">
        <v>94</v>
      </c>
      <c r="J68" s="1"/>
    </row>
    <row r="69" spans="1:10" ht="48" x14ac:dyDescent="0.2">
      <c r="A69" s="11" t="s">
        <v>444</v>
      </c>
      <c r="B69" s="11" t="s">
        <v>445</v>
      </c>
      <c r="C69" s="4" t="b">
        <v>1</v>
      </c>
      <c r="D69" s="4" t="b">
        <v>0</v>
      </c>
      <c r="E69" s="4" t="b">
        <v>1</v>
      </c>
      <c r="F69" s="4" t="s">
        <v>12</v>
      </c>
      <c r="G69" s="4" t="b">
        <v>1</v>
      </c>
      <c r="H69" s="4" t="s">
        <v>2872</v>
      </c>
      <c r="I69" s="4" t="s">
        <v>94</v>
      </c>
      <c r="J69" s="1"/>
    </row>
    <row r="70" spans="1:10" ht="32" x14ac:dyDescent="0.2">
      <c r="A70" s="11" t="s">
        <v>446</v>
      </c>
      <c r="B70" s="11" t="s">
        <v>447</v>
      </c>
      <c r="C70" s="4" t="b">
        <v>1</v>
      </c>
      <c r="D70" s="4" t="b">
        <v>0</v>
      </c>
      <c r="E70" s="4" t="b">
        <v>1</v>
      </c>
      <c r="F70" s="4" t="s">
        <v>12</v>
      </c>
      <c r="G70" s="4" t="b">
        <v>1</v>
      </c>
      <c r="H70" s="4" t="s">
        <v>2873</v>
      </c>
      <c r="I70" s="4" t="s">
        <v>94</v>
      </c>
      <c r="J70" s="1"/>
    </row>
    <row r="71" spans="1:10" ht="48" x14ac:dyDescent="0.2">
      <c r="A71" s="11" t="s">
        <v>458</v>
      </c>
      <c r="B71" s="11" t="s">
        <v>459</v>
      </c>
      <c r="C71" s="4" t="b">
        <v>1</v>
      </c>
      <c r="D71" s="4" t="b">
        <v>0</v>
      </c>
      <c r="E71" s="4" t="b">
        <v>1</v>
      </c>
      <c r="F71" s="4" t="s">
        <v>12</v>
      </c>
      <c r="G71" s="4" t="b">
        <v>1</v>
      </c>
      <c r="H71" s="4" t="s">
        <v>2886</v>
      </c>
      <c r="I71" s="4" t="s">
        <v>94</v>
      </c>
      <c r="J71" s="1"/>
    </row>
    <row r="72" spans="1:10" ht="160" x14ac:dyDescent="0.2">
      <c r="A72" s="11" t="s">
        <v>460</v>
      </c>
      <c r="B72" s="11" t="s">
        <v>461</v>
      </c>
      <c r="C72" s="4" t="b">
        <v>1</v>
      </c>
      <c r="D72" s="4" t="b">
        <v>0</v>
      </c>
      <c r="E72" s="4" t="b">
        <v>1</v>
      </c>
      <c r="F72" s="4" t="s">
        <v>12</v>
      </c>
      <c r="G72" s="4" t="b">
        <v>1</v>
      </c>
      <c r="H72" s="4" t="s">
        <v>2887</v>
      </c>
      <c r="I72" s="4" t="s">
        <v>94</v>
      </c>
      <c r="J72" s="1"/>
    </row>
    <row r="73" spans="1:10" ht="112" x14ac:dyDescent="0.2">
      <c r="A73" s="11" t="s">
        <v>480</v>
      </c>
      <c r="B73" s="11" t="s">
        <v>481</v>
      </c>
      <c r="C73" s="4" t="b">
        <v>1</v>
      </c>
      <c r="D73" s="4" t="b">
        <v>0</v>
      </c>
      <c r="E73" s="4" t="b">
        <v>1</v>
      </c>
      <c r="F73" s="4" t="s">
        <v>12</v>
      </c>
      <c r="G73" s="4" t="b">
        <v>1</v>
      </c>
      <c r="H73" s="4" t="s">
        <v>2888</v>
      </c>
      <c r="I73" s="4" t="s">
        <v>94</v>
      </c>
      <c r="J73" s="1"/>
    </row>
    <row r="74" spans="1:10" ht="128" x14ac:dyDescent="0.2">
      <c r="A74" s="11" t="s">
        <v>484</v>
      </c>
      <c r="B74" s="11" t="s">
        <v>485</v>
      </c>
      <c r="C74" s="4" t="b">
        <v>1</v>
      </c>
      <c r="D74" s="4" t="b">
        <v>0</v>
      </c>
      <c r="E74" s="4" t="b">
        <v>1</v>
      </c>
      <c r="F74" s="4" t="s">
        <v>12</v>
      </c>
      <c r="G74" s="4" t="b">
        <v>1</v>
      </c>
      <c r="H74" s="4" t="s">
        <v>2889</v>
      </c>
      <c r="I74" s="4" t="s">
        <v>94</v>
      </c>
      <c r="J74" s="1"/>
    </row>
    <row r="75" spans="1:10" ht="32" x14ac:dyDescent="0.2">
      <c r="A75" s="11" t="s">
        <v>492</v>
      </c>
      <c r="B75" s="11" t="s">
        <v>493</v>
      </c>
      <c r="C75" s="4" t="b">
        <v>1</v>
      </c>
      <c r="D75" s="4" t="b">
        <v>0</v>
      </c>
      <c r="E75" s="4" t="b">
        <v>1</v>
      </c>
      <c r="F75" s="4" t="s">
        <v>12</v>
      </c>
      <c r="G75" s="4" t="b">
        <v>1</v>
      </c>
      <c r="H75" s="4" t="s">
        <v>2890</v>
      </c>
      <c r="I75" s="4" t="s">
        <v>94</v>
      </c>
      <c r="J75" s="1"/>
    </row>
    <row r="76" spans="1:10" ht="48" x14ac:dyDescent="0.2">
      <c r="A76" s="11" t="s">
        <v>497</v>
      </c>
      <c r="B76" s="11" t="s">
        <v>498</v>
      </c>
      <c r="C76" s="4" t="b">
        <v>1</v>
      </c>
      <c r="D76" s="4" t="b">
        <v>0</v>
      </c>
      <c r="E76" s="4" t="b">
        <v>1</v>
      </c>
      <c r="F76" s="4" t="s">
        <v>12</v>
      </c>
      <c r="G76" s="4" t="b">
        <v>1</v>
      </c>
      <c r="H76" s="4" t="s">
        <v>2891</v>
      </c>
      <c r="I76" s="4" t="s">
        <v>94</v>
      </c>
      <c r="J76" s="1"/>
    </row>
    <row r="77" spans="1:10" ht="409.6" x14ac:dyDescent="0.2">
      <c r="A77" s="11" t="s">
        <v>517</v>
      </c>
      <c r="B77" s="11" t="s">
        <v>518</v>
      </c>
      <c r="C77" s="4" t="b">
        <v>1</v>
      </c>
      <c r="D77" s="4" t="b">
        <v>0</v>
      </c>
      <c r="E77" s="4" t="b">
        <v>1</v>
      </c>
      <c r="F77" s="4" t="s">
        <v>12</v>
      </c>
      <c r="G77" s="4" t="b">
        <v>1</v>
      </c>
      <c r="H77" s="4" t="s">
        <v>2892</v>
      </c>
      <c r="I77" s="4" t="s">
        <v>94</v>
      </c>
      <c r="J77" s="1"/>
    </row>
    <row r="78" spans="1:10" ht="48" x14ac:dyDescent="0.2">
      <c r="A78" s="11" t="s">
        <v>519</v>
      </c>
      <c r="B78" s="11" t="s">
        <v>520</v>
      </c>
      <c r="C78" s="4" t="b">
        <v>1</v>
      </c>
      <c r="D78" s="4" t="b">
        <v>0</v>
      </c>
      <c r="E78" s="4" t="b">
        <v>1</v>
      </c>
      <c r="F78" s="4" t="s">
        <v>12</v>
      </c>
      <c r="G78" s="4" t="b">
        <v>1</v>
      </c>
      <c r="H78" s="4" t="s">
        <v>2893</v>
      </c>
      <c r="I78" s="4" t="s">
        <v>94</v>
      </c>
      <c r="J78" s="1"/>
    </row>
    <row r="79" spans="1:10" ht="32" x14ac:dyDescent="0.2">
      <c r="A79" s="11" t="s">
        <v>527</v>
      </c>
      <c r="B79" s="11" t="s">
        <v>528</v>
      </c>
      <c r="C79" s="4" t="b">
        <v>1</v>
      </c>
      <c r="D79" s="4" t="b">
        <v>0</v>
      </c>
      <c r="E79" s="4" t="b">
        <v>1</v>
      </c>
      <c r="F79" s="4" t="s">
        <v>12</v>
      </c>
      <c r="G79" s="4" t="b">
        <v>1</v>
      </c>
      <c r="H79" s="4" t="s">
        <v>2895</v>
      </c>
      <c r="I79" s="4" t="s">
        <v>94</v>
      </c>
      <c r="J79" s="1"/>
    </row>
    <row r="80" spans="1:10" ht="176" x14ac:dyDescent="0.2">
      <c r="A80" s="11" t="s">
        <v>529</v>
      </c>
      <c r="B80" s="11" t="s">
        <v>530</v>
      </c>
      <c r="C80" s="4" t="b">
        <v>1</v>
      </c>
      <c r="D80" s="4" t="b">
        <v>0</v>
      </c>
      <c r="E80" s="4" t="b">
        <v>1</v>
      </c>
      <c r="F80" s="4" t="s">
        <v>12</v>
      </c>
      <c r="G80" s="4" t="b">
        <v>1</v>
      </c>
      <c r="H80" s="4" t="s">
        <v>2896</v>
      </c>
      <c r="I80" s="4" t="s">
        <v>94</v>
      </c>
      <c r="J80" s="1"/>
    </row>
    <row r="81" spans="1:10" ht="32" x14ac:dyDescent="0.2">
      <c r="A81" s="11" t="s">
        <v>535</v>
      </c>
      <c r="B81" s="11" t="s">
        <v>536</v>
      </c>
      <c r="C81" s="4" t="b">
        <v>1</v>
      </c>
      <c r="D81" s="4" t="b">
        <v>0</v>
      </c>
      <c r="E81" s="4" t="b">
        <v>1</v>
      </c>
      <c r="F81" s="4" t="s">
        <v>12</v>
      </c>
      <c r="G81" s="4" t="b">
        <v>1</v>
      </c>
      <c r="H81" s="4" t="s">
        <v>2899</v>
      </c>
      <c r="I81" s="4" t="s">
        <v>94</v>
      </c>
      <c r="J81" s="1"/>
    </row>
    <row r="82" spans="1:10" ht="80" x14ac:dyDescent="0.2">
      <c r="A82" s="11" t="s">
        <v>541</v>
      </c>
      <c r="B82" s="11" t="s">
        <v>542</v>
      </c>
      <c r="C82" s="4" t="b">
        <v>1</v>
      </c>
      <c r="D82" s="4" t="b">
        <v>0</v>
      </c>
      <c r="E82" s="4" t="b">
        <v>1</v>
      </c>
      <c r="F82" s="4" t="s">
        <v>12</v>
      </c>
      <c r="G82" s="4" t="b">
        <v>1</v>
      </c>
      <c r="H82" s="4" t="s">
        <v>2900</v>
      </c>
      <c r="I82" s="4" t="s">
        <v>94</v>
      </c>
      <c r="J82" s="1"/>
    </row>
    <row r="83" spans="1:10" ht="304" x14ac:dyDescent="0.2">
      <c r="A83" s="11" t="s">
        <v>543</v>
      </c>
      <c r="B83" s="11" t="s">
        <v>544</v>
      </c>
      <c r="C83" s="4" t="b">
        <v>1</v>
      </c>
      <c r="D83" s="4" t="b">
        <v>0</v>
      </c>
      <c r="E83" s="4" t="b">
        <v>1</v>
      </c>
      <c r="F83" s="4" t="s">
        <v>12</v>
      </c>
      <c r="G83" s="4" t="b">
        <v>1</v>
      </c>
      <c r="H83" s="4" t="s">
        <v>2901</v>
      </c>
      <c r="I83" s="4" t="s">
        <v>94</v>
      </c>
      <c r="J83" s="1"/>
    </row>
    <row r="84" spans="1:10" ht="176" x14ac:dyDescent="0.2">
      <c r="A84" s="11" t="s">
        <v>545</v>
      </c>
      <c r="B84" s="11" t="s">
        <v>546</v>
      </c>
      <c r="C84" s="4" t="b">
        <v>1</v>
      </c>
      <c r="D84" s="4" t="b">
        <v>0</v>
      </c>
      <c r="E84" s="4" t="b">
        <v>1</v>
      </c>
      <c r="F84" s="4" t="s">
        <v>12</v>
      </c>
      <c r="G84" s="4" t="b">
        <v>1</v>
      </c>
      <c r="H84" s="4" t="s">
        <v>2902</v>
      </c>
      <c r="I84" s="4" t="s">
        <v>94</v>
      </c>
      <c r="J84" s="1"/>
    </row>
    <row r="85" spans="1:10" ht="112" x14ac:dyDescent="0.2">
      <c r="A85" s="11" t="s">
        <v>551</v>
      </c>
      <c r="B85" s="11" t="s">
        <v>552</v>
      </c>
      <c r="C85" s="4" t="b">
        <v>1</v>
      </c>
      <c r="D85" s="4" t="b">
        <v>0</v>
      </c>
      <c r="E85" s="4" t="b">
        <v>1</v>
      </c>
      <c r="F85" s="4" t="s">
        <v>12</v>
      </c>
      <c r="G85" s="4" t="b">
        <v>1</v>
      </c>
      <c r="H85" s="4" t="s">
        <v>2905</v>
      </c>
      <c r="I85" s="4" t="s">
        <v>20</v>
      </c>
      <c r="J85" s="1"/>
    </row>
    <row r="86" spans="1:10" ht="80" x14ac:dyDescent="0.2">
      <c r="A86" s="11" t="s">
        <v>553</v>
      </c>
      <c r="B86" s="11" t="s">
        <v>554</v>
      </c>
      <c r="C86" s="4" t="b">
        <v>1</v>
      </c>
      <c r="D86" s="4" t="b">
        <v>0</v>
      </c>
      <c r="E86" s="4" t="b">
        <v>1</v>
      </c>
      <c r="F86" s="4" t="s">
        <v>12</v>
      </c>
      <c r="G86" s="4" t="b">
        <v>1</v>
      </c>
      <c r="H86" s="4" t="s">
        <v>2906</v>
      </c>
      <c r="I86" s="4" t="s">
        <v>20</v>
      </c>
      <c r="J86" s="1"/>
    </row>
    <row r="87" spans="1:10" ht="32" x14ac:dyDescent="0.2">
      <c r="A87" s="11" t="s">
        <v>559</v>
      </c>
      <c r="B87" s="11" t="s">
        <v>560</v>
      </c>
      <c r="C87" s="4" t="b">
        <v>1</v>
      </c>
      <c r="D87" s="4" t="b">
        <v>0</v>
      </c>
      <c r="E87" s="4" t="b">
        <v>1</v>
      </c>
      <c r="F87" s="4" t="s">
        <v>12</v>
      </c>
      <c r="G87" s="4" t="b">
        <v>1</v>
      </c>
      <c r="H87" s="4"/>
      <c r="I87" s="4" t="s">
        <v>20</v>
      </c>
      <c r="J87" s="1"/>
    </row>
    <row r="88" spans="1:10" ht="48" x14ac:dyDescent="0.2">
      <c r="A88" s="11" t="s">
        <v>563</v>
      </c>
      <c r="B88" s="11" t="s">
        <v>564</v>
      </c>
      <c r="C88" s="4" t="b">
        <v>1</v>
      </c>
      <c r="D88" s="4" t="b">
        <v>0</v>
      </c>
      <c r="E88" s="4" t="b">
        <v>1</v>
      </c>
      <c r="F88" s="4" t="s">
        <v>12</v>
      </c>
      <c r="G88" s="4" t="b">
        <v>1</v>
      </c>
      <c r="H88" s="4"/>
      <c r="I88" s="4" t="s">
        <v>20</v>
      </c>
      <c r="J88" s="1"/>
    </row>
    <row r="89" spans="1:10" ht="48" x14ac:dyDescent="0.2">
      <c r="A89" s="11" t="s">
        <v>565</v>
      </c>
      <c r="B89" s="11" t="s">
        <v>566</v>
      </c>
      <c r="C89" s="4" t="b">
        <v>1</v>
      </c>
      <c r="D89" s="4" t="b">
        <v>0</v>
      </c>
      <c r="E89" s="4" t="b">
        <v>1</v>
      </c>
      <c r="F89" s="4" t="s">
        <v>12</v>
      </c>
      <c r="G89" s="4" t="b">
        <v>1</v>
      </c>
      <c r="H89" s="4" t="s">
        <v>2937</v>
      </c>
      <c r="I89" s="4" t="s">
        <v>20</v>
      </c>
      <c r="J89" s="1"/>
    </row>
    <row r="90" spans="1:10" ht="48" x14ac:dyDescent="0.2">
      <c r="A90" s="11" t="s">
        <v>571</v>
      </c>
      <c r="B90" s="11" t="s">
        <v>572</v>
      </c>
      <c r="C90" s="4" t="b">
        <v>1</v>
      </c>
      <c r="D90" s="4" t="b">
        <v>0</v>
      </c>
      <c r="E90" s="4" t="b">
        <v>1</v>
      </c>
      <c r="F90" s="4" t="s">
        <v>12</v>
      </c>
      <c r="G90" s="4" t="b">
        <v>1</v>
      </c>
      <c r="H90" s="4"/>
      <c r="I90" s="4" t="s">
        <v>20</v>
      </c>
      <c r="J90" s="1"/>
    </row>
    <row r="91" spans="1:10" ht="32" x14ac:dyDescent="0.2">
      <c r="A91" s="11" t="s">
        <v>583</v>
      </c>
      <c r="B91" s="11" t="s">
        <v>584</v>
      </c>
      <c r="C91" s="4" t="b">
        <v>1</v>
      </c>
      <c r="D91" s="4" t="b">
        <v>0</v>
      </c>
      <c r="E91" s="4" t="b">
        <v>1</v>
      </c>
      <c r="F91" s="4" t="s">
        <v>12</v>
      </c>
      <c r="G91" s="4" t="b">
        <v>1</v>
      </c>
      <c r="H91" s="4"/>
      <c r="I91" s="4" t="s">
        <v>20</v>
      </c>
      <c r="J91" s="1"/>
    </row>
    <row r="92" spans="1:10" ht="48" x14ac:dyDescent="0.2">
      <c r="A92" s="11" t="s">
        <v>585</v>
      </c>
      <c r="B92" s="11" t="s">
        <v>586</v>
      </c>
      <c r="C92" s="4" t="b">
        <v>1</v>
      </c>
      <c r="D92" s="4" t="b">
        <v>0</v>
      </c>
      <c r="E92" s="4" t="b">
        <v>1</v>
      </c>
      <c r="F92" s="4" t="s">
        <v>12</v>
      </c>
      <c r="G92" s="4" t="b">
        <v>1</v>
      </c>
      <c r="H92" s="4" t="s">
        <v>2938</v>
      </c>
      <c r="I92" s="4" t="s">
        <v>20</v>
      </c>
      <c r="J92" s="1"/>
    </row>
    <row r="93" spans="1:10" ht="128" x14ac:dyDescent="0.2">
      <c r="A93" s="11" t="s">
        <v>601</v>
      </c>
      <c r="B93" s="11" t="s">
        <v>602</v>
      </c>
      <c r="C93" s="4" t="b">
        <v>1</v>
      </c>
      <c r="D93" s="4" t="b">
        <v>0</v>
      </c>
      <c r="E93" s="4" t="b">
        <v>1</v>
      </c>
      <c r="F93" s="4" t="s">
        <v>12</v>
      </c>
      <c r="G93" s="4" t="b">
        <v>1</v>
      </c>
      <c r="H93" s="4" t="s">
        <v>2939</v>
      </c>
      <c r="I93" s="4" t="s">
        <v>20</v>
      </c>
      <c r="J93" s="1"/>
    </row>
    <row r="94" spans="1:10" ht="32" x14ac:dyDescent="0.2">
      <c r="A94" s="11" t="s">
        <v>607</v>
      </c>
      <c r="B94" s="11" t="s">
        <v>608</v>
      </c>
      <c r="C94" s="4" t="b">
        <v>1</v>
      </c>
      <c r="D94" s="4" t="b">
        <v>0</v>
      </c>
      <c r="E94" s="4" t="b">
        <v>1</v>
      </c>
      <c r="F94" s="4" t="s">
        <v>12</v>
      </c>
      <c r="G94" s="4" t="b">
        <v>1</v>
      </c>
      <c r="H94" s="4" t="s">
        <v>2940</v>
      </c>
      <c r="I94" s="4" t="s">
        <v>20</v>
      </c>
      <c r="J94" s="1"/>
    </row>
    <row r="95" spans="1:10" ht="64" x14ac:dyDescent="0.2">
      <c r="A95" s="11" t="s">
        <v>615</v>
      </c>
      <c r="B95" s="11" t="s">
        <v>616</v>
      </c>
      <c r="C95" s="4" t="b">
        <v>1</v>
      </c>
      <c r="D95" s="4" t="b">
        <v>0</v>
      </c>
      <c r="E95" s="4" t="b">
        <v>1</v>
      </c>
      <c r="F95" s="4" t="s">
        <v>12</v>
      </c>
      <c r="G95" s="4" t="b">
        <v>1</v>
      </c>
      <c r="H95" s="4" t="s">
        <v>2944</v>
      </c>
      <c r="I95" s="4" t="s">
        <v>20</v>
      </c>
      <c r="J95" s="1"/>
    </row>
    <row r="96" spans="1:10" ht="32" x14ac:dyDescent="0.2">
      <c r="A96" s="11" t="s">
        <v>634</v>
      </c>
      <c r="B96" s="11" t="s">
        <v>635</v>
      </c>
      <c r="C96" s="4" t="b">
        <v>1</v>
      </c>
      <c r="D96" s="4" t="b">
        <v>0</v>
      </c>
      <c r="E96" s="4" t="b">
        <v>1</v>
      </c>
      <c r="F96" s="4" t="s">
        <v>12</v>
      </c>
      <c r="G96" s="4" t="b">
        <v>1</v>
      </c>
      <c r="H96" s="4" t="s">
        <v>2946</v>
      </c>
      <c r="I96" s="4" t="s">
        <v>621</v>
      </c>
      <c r="J96" s="1"/>
    </row>
    <row r="97" spans="1:10" ht="48" x14ac:dyDescent="0.2">
      <c r="A97" s="11" t="s">
        <v>642</v>
      </c>
      <c r="B97" s="11" t="s">
        <v>643</v>
      </c>
      <c r="C97" s="4" t="b">
        <v>1</v>
      </c>
      <c r="D97" s="4" t="b">
        <v>0</v>
      </c>
      <c r="E97" s="4" t="b">
        <v>1</v>
      </c>
      <c r="F97" s="4" t="s">
        <v>12</v>
      </c>
      <c r="G97" s="4" t="b">
        <v>1</v>
      </c>
      <c r="H97" s="4" t="s">
        <v>2948</v>
      </c>
      <c r="I97" s="4" t="s">
        <v>621</v>
      </c>
      <c r="J97" s="1"/>
    </row>
    <row r="98" spans="1:10" ht="64" x14ac:dyDescent="0.2">
      <c r="A98" s="11" t="s">
        <v>656</v>
      </c>
      <c r="B98" s="11" t="s">
        <v>657</v>
      </c>
      <c r="C98" s="4" t="b">
        <v>1</v>
      </c>
      <c r="D98" s="4" t="b">
        <v>0</v>
      </c>
      <c r="E98" s="4" t="b">
        <v>1</v>
      </c>
      <c r="F98" s="4" t="s">
        <v>12</v>
      </c>
      <c r="G98" s="4" t="b">
        <v>1</v>
      </c>
      <c r="H98" s="4" t="s">
        <v>3143</v>
      </c>
      <c r="I98" s="4" t="s">
        <v>621</v>
      </c>
      <c r="J98" s="1"/>
    </row>
    <row r="99" spans="1:10" ht="32" x14ac:dyDescent="0.2">
      <c r="A99" s="11" t="s">
        <v>658</v>
      </c>
      <c r="B99" s="11" t="s">
        <v>659</v>
      </c>
      <c r="C99" s="4" t="b">
        <v>1</v>
      </c>
      <c r="D99" s="4" t="b">
        <v>0</v>
      </c>
      <c r="E99" s="4" t="b">
        <v>1</v>
      </c>
      <c r="F99" s="4" t="s">
        <v>12</v>
      </c>
      <c r="G99" s="4" t="b">
        <v>1</v>
      </c>
      <c r="H99" s="4" t="s">
        <v>3142</v>
      </c>
      <c r="I99" s="4" t="s">
        <v>621</v>
      </c>
      <c r="J99" s="1"/>
    </row>
    <row r="100" spans="1:10" ht="304" x14ac:dyDescent="0.2">
      <c r="A100" s="11" t="s">
        <v>672</v>
      </c>
      <c r="B100" s="11" t="s">
        <v>673</v>
      </c>
      <c r="C100" s="4" t="b">
        <v>1</v>
      </c>
      <c r="D100" s="4" t="b">
        <v>0</v>
      </c>
      <c r="E100" s="4" t="b">
        <v>1</v>
      </c>
      <c r="F100" s="4" t="s">
        <v>12</v>
      </c>
      <c r="G100" s="4" t="b">
        <v>1</v>
      </c>
      <c r="H100" s="4" t="s">
        <v>3141</v>
      </c>
      <c r="I100" s="4" t="s">
        <v>621</v>
      </c>
      <c r="J100" s="1" t="s">
        <v>2998</v>
      </c>
    </row>
    <row r="101" spans="1:10" ht="96" x14ac:dyDescent="0.2">
      <c r="A101" s="11" t="s">
        <v>674</v>
      </c>
      <c r="B101" s="11" t="s">
        <v>675</v>
      </c>
      <c r="C101" s="4" t="b">
        <v>1</v>
      </c>
      <c r="D101" s="4" t="b">
        <v>0</v>
      </c>
      <c r="E101" s="4" t="b">
        <v>1</v>
      </c>
      <c r="F101" s="4" t="s">
        <v>12</v>
      </c>
      <c r="G101" s="4" t="b">
        <v>1</v>
      </c>
      <c r="H101" s="4" t="s">
        <v>3140</v>
      </c>
      <c r="I101" s="4" t="s">
        <v>621</v>
      </c>
      <c r="J101" s="1"/>
    </row>
    <row r="102" spans="1:10" ht="160" x14ac:dyDescent="0.2">
      <c r="A102" s="11" t="s">
        <v>680</v>
      </c>
      <c r="B102" s="11" t="s">
        <v>681</v>
      </c>
      <c r="C102" s="4" t="b">
        <v>1</v>
      </c>
      <c r="D102" s="4" t="b">
        <v>0</v>
      </c>
      <c r="E102" s="4" t="b">
        <v>1</v>
      </c>
      <c r="F102" s="4" t="s">
        <v>12</v>
      </c>
      <c r="G102" s="4" t="b">
        <v>1</v>
      </c>
      <c r="H102" s="4" t="s">
        <v>3139</v>
      </c>
      <c r="I102" s="4" t="s">
        <v>621</v>
      </c>
      <c r="J102" s="1"/>
    </row>
    <row r="103" spans="1:10" ht="96" x14ac:dyDescent="0.2">
      <c r="A103" s="11" t="s">
        <v>682</v>
      </c>
      <c r="B103" s="11" t="s">
        <v>683</v>
      </c>
      <c r="C103" s="4" t="b">
        <v>1</v>
      </c>
      <c r="D103" s="4" t="b">
        <v>0</v>
      </c>
      <c r="E103" s="4" t="b">
        <v>1</v>
      </c>
      <c r="F103" s="4" t="s">
        <v>12</v>
      </c>
      <c r="G103" s="4" t="b">
        <v>1</v>
      </c>
      <c r="H103" s="4" t="s">
        <v>3138</v>
      </c>
      <c r="I103" s="4" t="s">
        <v>621</v>
      </c>
      <c r="J103" s="1"/>
    </row>
    <row r="104" spans="1:10" ht="128" x14ac:dyDescent="0.2">
      <c r="A104" s="11" t="s">
        <v>690</v>
      </c>
      <c r="B104" s="11" t="s">
        <v>691</v>
      </c>
      <c r="C104" s="4" t="b">
        <v>1</v>
      </c>
      <c r="D104" s="4" t="b">
        <v>0</v>
      </c>
      <c r="E104" s="4" t="b">
        <v>1</v>
      </c>
      <c r="F104" s="4" t="s">
        <v>12</v>
      </c>
      <c r="G104" s="4" t="b">
        <v>1</v>
      </c>
      <c r="H104" s="4" t="s">
        <v>3137</v>
      </c>
      <c r="I104" s="4" t="s">
        <v>621</v>
      </c>
      <c r="J104" s="1"/>
    </row>
    <row r="105" spans="1:10" ht="32" x14ac:dyDescent="0.2">
      <c r="A105" s="11" t="s">
        <v>694</v>
      </c>
      <c r="B105" s="11" t="s">
        <v>695</v>
      </c>
      <c r="C105" s="4" t="b">
        <v>1</v>
      </c>
      <c r="D105" s="4" t="b">
        <v>0</v>
      </c>
      <c r="E105" s="4" t="b">
        <v>1</v>
      </c>
      <c r="F105" s="4" t="s">
        <v>12</v>
      </c>
      <c r="G105" s="4" t="b">
        <v>1</v>
      </c>
      <c r="H105" s="4" t="s">
        <v>3135</v>
      </c>
      <c r="I105" s="4" t="s">
        <v>621</v>
      </c>
      <c r="J105" s="1"/>
    </row>
    <row r="106" spans="1:10" ht="64" x14ac:dyDescent="0.2">
      <c r="A106" s="11" t="s">
        <v>698</v>
      </c>
      <c r="B106" s="11" t="s">
        <v>699</v>
      </c>
      <c r="C106" s="4" t="b">
        <v>1</v>
      </c>
      <c r="D106" s="4" t="b">
        <v>0</v>
      </c>
      <c r="E106" s="4" t="b">
        <v>1</v>
      </c>
      <c r="F106" s="4" t="s">
        <v>12</v>
      </c>
      <c r="G106" s="4" t="b">
        <v>1</v>
      </c>
      <c r="H106" s="4" t="s">
        <v>3134</v>
      </c>
      <c r="I106" s="4" t="s">
        <v>621</v>
      </c>
      <c r="J106" s="1"/>
    </row>
    <row r="107" spans="1:10" ht="48" x14ac:dyDescent="0.2">
      <c r="A107" s="11" t="s">
        <v>710</v>
      </c>
      <c r="B107" s="11" t="s">
        <v>711</v>
      </c>
      <c r="C107" s="4" t="b">
        <v>1</v>
      </c>
      <c r="D107" s="4" t="b">
        <v>0</v>
      </c>
      <c r="E107" s="4" t="b">
        <v>1</v>
      </c>
      <c r="F107" s="4" t="s">
        <v>12</v>
      </c>
      <c r="G107" s="4" t="b">
        <v>1</v>
      </c>
      <c r="H107" s="4" t="s">
        <v>3132</v>
      </c>
      <c r="I107" s="4" t="s">
        <v>621</v>
      </c>
      <c r="J107" s="1"/>
    </row>
    <row r="108" spans="1:10" ht="144" x14ac:dyDescent="0.2">
      <c r="A108" s="11" t="s">
        <v>716</v>
      </c>
      <c r="B108" s="11" t="s">
        <v>717</v>
      </c>
      <c r="C108" s="4" t="b">
        <v>1</v>
      </c>
      <c r="D108" s="4" t="b">
        <v>0</v>
      </c>
      <c r="E108" s="4" t="b">
        <v>1</v>
      </c>
      <c r="F108" s="4" t="s">
        <v>12</v>
      </c>
      <c r="G108" s="4" t="b">
        <v>1</v>
      </c>
      <c r="H108" s="4" t="s">
        <v>3131</v>
      </c>
      <c r="I108" s="4" t="s">
        <v>621</v>
      </c>
      <c r="J108" s="1"/>
    </row>
    <row r="109" spans="1:10" ht="32" x14ac:dyDescent="0.2">
      <c r="A109" s="11" t="s">
        <v>722</v>
      </c>
      <c r="B109" s="11" t="s">
        <v>723</v>
      </c>
      <c r="C109" s="4" t="b">
        <v>1</v>
      </c>
      <c r="D109" s="4" t="b">
        <v>0</v>
      </c>
      <c r="E109" s="4" t="b">
        <v>1</v>
      </c>
      <c r="F109" s="4" t="s">
        <v>12</v>
      </c>
      <c r="G109" s="4" t="b">
        <v>1</v>
      </c>
      <c r="H109" s="4" t="s">
        <v>3129</v>
      </c>
      <c r="I109" s="4" t="s">
        <v>621</v>
      </c>
      <c r="J109" s="1"/>
    </row>
    <row r="110" spans="1:10" ht="48" x14ac:dyDescent="0.2">
      <c r="A110" s="11" t="s">
        <v>728</v>
      </c>
      <c r="B110" s="11" t="s">
        <v>729</v>
      </c>
      <c r="C110" s="4" t="b">
        <v>1</v>
      </c>
      <c r="D110" s="4" t="b">
        <v>0</v>
      </c>
      <c r="E110" s="4" t="b">
        <v>1</v>
      </c>
      <c r="F110" s="4" t="s">
        <v>12</v>
      </c>
      <c r="G110" s="4" t="b">
        <v>1</v>
      </c>
      <c r="H110" s="4" t="s">
        <v>3128</v>
      </c>
      <c r="I110" s="4" t="s">
        <v>621</v>
      </c>
      <c r="J110" s="1"/>
    </row>
    <row r="111" spans="1:10" ht="48" x14ac:dyDescent="0.2">
      <c r="A111" s="11" t="s">
        <v>732</v>
      </c>
      <c r="B111" s="11" t="s">
        <v>733</v>
      </c>
      <c r="C111" s="4" t="b">
        <v>1</v>
      </c>
      <c r="D111" s="4" t="b">
        <v>0</v>
      </c>
      <c r="E111" s="4" t="b">
        <v>1</v>
      </c>
      <c r="F111" s="4" t="s">
        <v>12</v>
      </c>
      <c r="G111" s="4" t="b">
        <v>1</v>
      </c>
      <c r="H111" s="4" t="s">
        <v>3127</v>
      </c>
      <c r="I111" s="4" t="s">
        <v>621</v>
      </c>
      <c r="J111" s="1"/>
    </row>
    <row r="112" spans="1:10" ht="256" x14ac:dyDescent="0.2">
      <c r="A112" s="11" t="s">
        <v>738</v>
      </c>
      <c r="B112" s="11" t="s">
        <v>739</v>
      </c>
      <c r="C112" s="4" t="b">
        <v>1</v>
      </c>
      <c r="D112" s="4" t="b">
        <v>0</v>
      </c>
      <c r="E112" s="4" t="b">
        <v>1</v>
      </c>
      <c r="F112" s="4" t="s">
        <v>12</v>
      </c>
      <c r="G112" s="4" t="b">
        <v>1</v>
      </c>
      <c r="H112" s="4" t="s">
        <v>3125</v>
      </c>
      <c r="I112" s="4" t="s">
        <v>621</v>
      </c>
      <c r="J112" s="1"/>
    </row>
    <row r="113" spans="1:10" ht="32" x14ac:dyDescent="0.2">
      <c r="A113" s="11" t="s">
        <v>752</v>
      </c>
      <c r="B113" s="11" t="s">
        <v>753</v>
      </c>
      <c r="C113" s="4" t="b">
        <v>1</v>
      </c>
      <c r="D113" s="4" t="b">
        <v>0</v>
      </c>
      <c r="E113" s="4" t="b">
        <v>1</v>
      </c>
      <c r="F113" s="4" t="s">
        <v>12</v>
      </c>
      <c r="G113" s="4" t="b">
        <v>1</v>
      </c>
      <c r="H113" s="4" t="s">
        <v>3124</v>
      </c>
      <c r="I113" s="4" t="s">
        <v>621</v>
      </c>
      <c r="J113" s="1"/>
    </row>
    <row r="114" spans="1:10" ht="64" x14ac:dyDescent="0.2">
      <c r="A114" s="11" t="s">
        <v>770</v>
      </c>
      <c r="B114" s="11" t="s">
        <v>771</v>
      </c>
      <c r="C114" s="4" t="b">
        <v>1</v>
      </c>
      <c r="D114" s="4" t="b">
        <v>0</v>
      </c>
      <c r="E114" s="4" t="b">
        <v>1</v>
      </c>
      <c r="F114" s="4" t="s">
        <v>12</v>
      </c>
      <c r="G114" s="4" t="b">
        <v>1</v>
      </c>
      <c r="H114" s="4" t="s">
        <v>772</v>
      </c>
      <c r="I114" s="4" t="s">
        <v>14</v>
      </c>
      <c r="J114" s="1"/>
    </row>
    <row r="115" spans="1:10" ht="80" x14ac:dyDescent="0.2">
      <c r="A115" s="11" t="s">
        <v>773</v>
      </c>
      <c r="B115" s="11" t="s">
        <v>774</v>
      </c>
      <c r="C115" s="4" t="b">
        <v>1</v>
      </c>
      <c r="D115" s="4" t="b">
        <v>0</v>
      </c>
      <c r="E115" s="4" t="b">
        <v>1</v>
      </c>
      <c r="F115" s="4" t="s">
        <v>12</v>
      </c>
      <c r="G115" s="4" t="b">
        <v>1</v>
      </c>
      <c r="H115" s="4" t="s">
        <v>775</v>
      </c>
      <c r="I115" s="4" t="s">
        <v>14</v>
      </c>
      <c r="J115" s="1"/>
    </row>
    <row r="116" spans="1:10" ht="32" x14ac:dyDescent="0.2">
      <c r="A116" s="11" t="s">
        <v>817</v>
      </c>
      <c r="B116" s="11" t="s">
        <v>818</v>
      </c>
      <c r="C116" s="4" t="b">
        <v>1</v>
      </c>
      <c r="D116" s="4" t="b">
        <v>0</v>
      </c>
      <c r="E116" s="4" t="b">
        <v>1</v>
      </c>
      <c r="F116" s="4" t="s">
        <v>12</v>
      </c>
      <c r="G116" s="4" t="b">
        <v>1</v>
      </c>
      <c r="H116" s="4" t="s">
        <v>3175</v>
      </c>
      <c r="I116" s="4" t="s">
        <v>26</v>
      </c>
      <c r="J116" s="1" t="s">
        <v>2998</v>
      </c>
    </row>
    <row r="117" spans="1:10" ht="240" x14ac:dyDescent="0.2">
      <c r="A117" s="11" t="s">
        <v>819</v>
      </c>
      <c r="B117" s="11" t="s">
        <v>820</v>
      </c>
      <c r="C117" s="4" t="b">
        <v>1</v>
      </c>
      <c r="D117" s="4" t="b">
        <v>0</v>
      </c>
      <c r="E117" s="4" t="b">
        <v>1</v>
      </c>
      <c r="F117" s="4" t="s">
        <v>12</v>
      </c>
      <c r="G117" s="4" t="b">
        <v>1</v>
      </c>
      <c r="H117" s="4" t="s">
        <v>3174</v>
      </c>
      <c r="I117" s="4" t="s">
        <v>26</v>
      </c>
      <c r="J117" s="1" t="s">
        <v>2998</v>
      </c>
    </row>
    <row r="118" spans="1:10" ht="32" x14ac:dyDescent="0.2">
      <c r="A118" s="11" t="s">
        <v>835</v>
      </c>
      <c r="B118" s="11" t="s">
        <v>836</v>
      </c>
      <c r="C118" s="4" t="b">
        <v>1</v>
      </c>
      <c r="D118" s="4" t="b">
        <v>0</v>
      </c>
      <c r="E118" s="4" t="b">
        <v>1</v>
      </c>
      <c r="F118" s="4" t="s">
        <v>12</v>
      </c>
      <c r="G118" s="4" t="b">
        <v>1</v>
      </c>
      <c r="H118" s="4"/>
      <c r="I118" s="4" t="s">
        <v>20</v>
      </c>
      <c r="J118" s="1"/>
    </row>
    <row r="119" spans="1:10" ht="32" x14ac:dyDescent="0.2">
      <c r="A119" s="11" t="s">
        <v>853</v>
      </c>
      <c r="B119" s="11" t="s">
        <v>854</v>
      </c>
      <c r="C119" s="4" t="b">
        <v>1</v>
      </c>
      <c r="D119" s="4" t="b">
        <v>0</v>
      </c>
      <c r="E119" s="4" t="b">
        <v>1</v>
      </c>
      <c r="F119" s="4" t="s">
        <v>12</v>
      </c>
      <c r="G119" s="4" t="b">
        <v>1</v>
      </c>
      <c r="H119" s="4" t="s">
        <v>3171</v>
      </c>
      <c r="I119" s="4" t="s">
        <v>20</v>
      </c>
      <c r="J119" s="1"/>
    </row>
    <row r="120" spans="1:10" ht="208" x14ac:dyDescent="0.2">
      <c r="A120" s="11" t="s">
        <v>861</v>
      </c>
      <c r="B120" s="11" t="s">
        <v>862</v>
      </c>
      <c r="C120" s="4" t="b">
        <v>1</v>
      </c>
      <c r="D120" s="4" t="b">
        <v>0</v>
      </c>
      <c r="E120" s="4" t="b">
        <v>1</v>
      </c>
      <c r="F120" s="4" t="s">
        <v>12</v>
      </c>
      <c r="G120" s="4" t="b">
        <v>1</v>
      </c>
      <c r="H120" s="4" t="s">
        <v>3168</v>
      </c>
      <c r="I120" s="4" t="s">
        <v>20</v>
      </c>
      <c r="J120" s="1"/>
    </row>
    <row r="121" spans="1:10" ht="160" x14ac:dyDescent="0.2">
      <c r="A121" s="11" t="s">
        <v>867</v>
      </c>
      <c r="B121" s="11" t="s">
        <v>868</v>
      </c>
      <c r="C121" s="4" t="b">
        <v>1</v>
      </c>
      <c r="D121" s="4" t="b">
        <v>0</v>
      </c>
      <c r="E121" s="4" t="b">
        <v>1</v>
      </c>
      <c r="F121" s="4" t="s">
        <v>12</v>
      </c>
      <c r="G121" s="4" t="b">
        <v>1</v>
      </c>
      <c r="H121" s="4" t="s">
        <v>3167</v>
      </c>
      <c r="I121" s="4" t="s">
        <v>20</v>
      </c>
      <c r="J121" s="1"/>
    </row>
    <row r="122" spans="1:10" ht="48" x14ac:dyDescent="0.2">
      <c r="A122" s="11" t="s">
        <v>885</v>
      </c>
      <c r="B122" s="11" t="s">
        <v>886</v>
      </c>
      <c r="C122" s="4" t="b">
        <v>1</v>
      </c>
      <c r="D122" s="4" t="b">
        <v>0</v>
      </c>
      <c r="E122" s="4" t="b">
        <v>1</v>
      </c>
      <c r="F122" s="4" t="s">
        <v>12</v>
      </c>
      <c r="G122" s="4" t="b">
        <v>1</v>
      </c>
      <c r="H122" s="4" t="s">
        <v>3165</v>
      </c>
      <c r="I122" s="4" t="s">
        <v>20</v>
      </c>
      <c r="J122" s="1"/>
    </row>
    <row r="123" spans="1:10" ht="112" x14ac:dyDescent="0.2">
      <c r="A123" s="11" t="s">
        <v>889</v>
      </c>
      <c r="B123" s="11" t="s">
        <v>890</v>
      </c>
      <c r="C123" s="4" t="b">
        <v>1</v>
      </c>
      <c r="D123" s="4" t="b">
        <v>0</v>
      </c>
      <c r="E123" s="4" t="b">
        <v>1</v>
      </c>
      <c r="F123" s="4" t="s">
        <v>12</v>
      </c>
      <c r="G123" s="4" t="b">
        <v>1</v>
      </c>
      <c r="H123" s="4" t="s">
        <v>3164</v>
      </c>
      <c r="I123" s="4" t="s">
        <v>20</v>
      </c>
      <c r="J123" s="1"/>
    </row>
    <row r="124" spans="1:10" ht="224" x14ac:dyDescent="0.2">
      <c r="A124" s="11" t="s">
        <v>921</v>
      </c>
      <c r="B124" s="11" t="s">
        <v>922</v>
      </c>
      <c r="C124" s="4" t="b">
        <v>1</v>
      </c>
      <c r="D124" s="4" t="b">
        <v>0</v>
      </c>
      <c r="E124" s="4" t="b">
        <v>1</v>
      </c>
      <c r="F124" s="4" t="s">
        <v>12</v>
      </c>
      <c r="G124" s="4" t="b">
        <v>1</v>
      </c>
      <c r="H124" s="4" t="s">
        <v>3163</v>
      </c>
      <c r="I124" s="4" t="s">
        <v>20</v>
      </c>
      <c r="J124" s="1"/>
    </row>
    <row r="125" spans="1:10" ht="128" x14ac:dyDescent="0.2">
      <c r="A125" s="11" t="s">
        <v>927</v>
      </c>
      <c r="B125" s="11" t="s">
        <v>928</v>
      </c>
      <c r="C125" s="4" t="b">
        <v>1</v>
      </c>
      <c r="D125" s="4" t="b">
        <v>0</v>
      </c>
      <c r="E125" s="4" t="b">
        <v>1</v>
      </c>
      <c r="F125" s="4" t="s">
        <v>12</v>
      </c>
      <c r="G125" s="4" t="b">
        <v>1</v>
      </c>
      <c r="H125" s="4" t="s">
        <v>3161</v>
      </c>
      <c r="I125" s="4" t="s">
        <v>20</v>
      </c>
      <c r="J125" s="1"/>
    </row>
    <row r="126" spans="1:10" ht="96" x14ac:dyDescent="0.2">
      <c r="A126" s="11" t="s">
        <v>931</v>
      </c>
      <c r="B126" s="11" t="s">
        <v>932</v>
      </c>
      <c r="C126" s="4" t="b">
        <v>1</v>
      </c>
      <c r="D126" s="4" t="b">
        <v>0</v>
      </c>
      <c r="E126" s="4" t="b">
        <v>1</v>
      </c>
      <c r="F126" s="4" t="s">
        <v>12</v>
      </c>
      <c r="G126" s="4" t="b">
        <v>1</v>
      </c>
      <c r="H126" s="4" t="s">
        <v>3239</v>
      </c>
      <c r="I126" s="4" t="s">
        <v>98</v>
      </c>
    </row>
    <row r="127" spans="1:10" ht="80" x14ac:dyDescent="0.2">
      <c r="A127" s="11" t="s">
        <v>939</v>
      </c>
      <c r="B127" s="11" t="s">
        <v>940</v>
      </c>
      <c r="C127" s="4" t="b">
        <v>1</v>
      </c>
      <c r="D127" s="4" t="b">
        <v>0</v>
      </c>
      <c r="E127" s="4" t="b">
        <v>1</v>
      </c>
      <c r="F127" s="4" t="s">
        <v>12</v>
      </c>
      <c r="G127" s="4" t="b">
        <v>1</v>
      </c>
      <c r="H127" s="4" t="s">
        <v>3240</v>
      </c>
      <c r="I127" s="4" t="s">
        <v>98</v>
      </c>
    </row>
    <row r="128" spans="1:10" ht="128" x14ac:dyDescent="0.2">
      <c r="A128" s="11" t="s">
        <v>949</v>
      </c>
      <c r="B128" s="11" t="s">
        <v>950</v>
      </c>
      <c r="C128" s="4" t="b">
        <v>1</v>
      </c>
      <c r="D128" s="4" t="b">
        <v>0</v>
      </c>
      <c r="E128" s="4" t="b">
        <v>1</v>
      </c>
      <c r="F128" s="4" t="s">
        <v>12</v>
      </c>
      <c r="G128" s="4" t="b">
        <v>1</v>
      </c>
      <c r="H128" s="4" t="s">
        <v>3347</v>
      </c>
      <c r="I128" s="4" t="s">
        <v>98</v>
      </c>
    </row>
    <row r="129" spans="1:9" ht="144" x14ac:dyDescent="0.2">
      <c r="A129" s="11" t="s">
        <v>953</v>
      </c>
      <c r="B129" s="11" t="s">
        <v>954</v>
      </c>
      <c r="C129" s="4" t="b">
        <v>1</v>
      </c>
      <c r="D129" s="4" t="b">
        <v>0</v>
      </c>
      <c r="E129" s="4" t="b">
        <v>1</v>
      </c>
      <c r="F129" s="4" t="s">
        <v>12</v>
      </c>
      <c r="G129" s="4" t="b">
        <v>1</v>
      </c>
      <c r="H129" s="4" t="s">
        <v>3346</v>
      </c>
      <c r="I129" s="4" t="s">
        <v>98</v>
      </c>
    </row>
    <row r="130" spans="1:9" ht="409.6" x14ac:dyDescent="0.2">
      <c r="A130" s="11" t="s">
        <v>959</v>
      </c>
      <c r="B130" s="11" t="s">
        <v>960</v>
      </c>
      <c r="C130" s="4" t="b">
        <v>1</v>
      </c>
      <c r="D130" s="4" t="b">
        <v>0</v>
      </c>
      <c r="E130" s="4" t="b">
        <v>1</v>
      </c>
      <c r="F130" s="4" t="s">
        <v>12</v>
      </c>
      <c r="G130" s="4" t="b">
        <v>1</v>
      </c>
      <c r="H130" s="4" t="s">
        <v>3345</v>
      </c>
      <c r="I130" s="4" t="s">
        <v>98</v>
      </c>
    </row>
    <row r="131" spans="1:9" ht="224" x14ac:dyDescent="0.2">
      <c r="A131" s="11" t="s">
        <v>973</v>
      </c>
      <c r="B131" s="11" t="s">
        <v>974</v>
      </c>
      <c r="C131" s="4" t="b">
        <v>1</v>
      </c>
      <c r="D131" s="4" t="b">
        <v>0</v>
      </c>
      <c r="E131" s="4" t="b">
        <v>1</v>
      </c>
      <c r="F131" s="4" t="s">
        <v>12</v>
      </c>
      <c r="G131" s="4" t="b">
        <v>1</v>
      </c>
      <c r="H131" s="4" t="s">
        <v>3342</v>
      </c>
      <c r="I131" s="4" t="s">
        <v>98</v>
      </c>
    </row>
    <row r="132" spans="1:9" ht="256" x14ac:dyDescent="0.2">
      <c r="A132" s="11" t="s">
        <v>977</v>
      </c>
      <c r="B132" s="11" t="s">
        <v>978</v>
      </c>
      <c r="C132" s="4" t="b">
        <v>1</v>
      </c>
      <c r="D132" s="4" t="b">
        <v>0</v>
      </c>
      <c r="E132" s="4" t="b">
        <v>1</v>
      </c>
      <c r="F132" s="4" t="s">
        <v>12</v>
      </c>
      <c r="G132" s="4" t="b">
        <v>1</v>
      </c>
      <c r="H132" s="4" t="s">
        <v>3341</v>
      </c>
      <c r="I132" s="4" t="s">
        <v>98</v>
      </c>
    </row>
    <row r="133" spans="1:9" ht="128" x14ac:dyDescent="0.2">
      <c r="A133" s="11" t="s">
        <v>979</v>
      </c>
      <c r="B133" s="11" t="s">
        <v>980</v>
      </c>
      <c r="C133" s="4" t="b">
        <v>1</v>
      </c>
      <c r="D133" s="4" t="b">
        <v>0</v>
      </c>
      <c r="E133" s="4" t="b">
        <v>1</v>
      </c>
      <c r="F133" s="4" t="s">
        <v>12</v>
      </c>
      <c r="G133" s="4" t="b">
        <v>1</v>
      </c>
      <c r="H133" s="4" t="s">
        <v>3340</v>
      </c>
      <c r="I133" s="4" t="s">
        <v>98</v>
      </c>
    </row>
    <row r="134" spans="1:9" ht="80" x14ac:dyDescent="0.2">
      <c r="A134" s="11" t="s">
        <v>987</v>
      </c>
      <c r="B134" s="11" t="s">
        <v>988</v>
      </c>
      <c r="C134" s="4" t="b">
        <v>1</v>
      </c>
      <c r="D134" s="4" t="b">
        <v>0</v>
      </c>
      <c r="E134" s="4" t="b">
        <v>1</v>
      </c>
      <c r="F134" s="4" t="s">
        <v>12</v>
      </c>
      <c r="G134" s="4" t="b">
        <v>1</v>
      </c>
      <c r="H134" s="4" t="s">
        <v>3339</v>
      </c>
      <c r="I134" s="4" t="s">
        <v>98</v>
      </c>
    </row>
    <row r="135" spans="1:9" ht="208" x14ac:dyDescent="0.2">
      <c r="A135" s="11" t="s">
        <v>993</v>
      </c>
      <c r="B135" s="11" t="s">
        <v>994</v>
      </c>
      <c r="C135" s="4" t="b">
        <v>1</v>
      </c>
      <c r="D135" s="4" t="b">
        <v>0</v>
      </c>
      <c r="E135" s="4" t="b">
        <v>1</v>
      </c>
      <c r="F135" s="4" t="s">
        <v>12</v>
      </c>
      <c r="G135" s="4" t="b">
        <v>1</v>
      </c>
      <c r="H135" s="4" t="s">
        <v>3338</v>
      </c>
      <c r="I135" s="4" t="s">
        <v>98</v>
      </c>
    </row>
    <row r="136" spans="1:9" ht="160" x14ac:dyDescent="0.2">
      <c r="A136" s="11" t="s">
        <v>995</v>
      </c>
      <c r="B136" s="11" t="s">
        <v>996</v>
      </c>
      <c r="C136" s="4" t="b">
        <v>1</v>
      </c>
      <c r="D136" s="4" t="b">
        <v>0</v>
      </c>
      <c r="E136" s="4" t="b">
        <v>1</v>
      </c>
      <c r="F136" s="4" t="s">
        <v>12</v>
      </c>
      <c r="G136" s="4" t="b">
        <v>1</v>
      </c>
      <c r="H136" s="4" t="s">
        <v>3337</v>
      </c>
      <c r="I136" s="4" t="s">
        <v>98</v>
      </c>
    </row>
    <row r="137" spans="1:9" ht="96" x14ac:dyDescent="0.2">
      <c r="A137" s="11" t="s">
        <v>999</v>
      </c>
      <c r="B137" s="11" t="s">
        <v>1000</v>
      </c>
      <c r="C137" s="4" t="b">
        <v>1</v>
      </c>
      <c r="D137" s="4" t="b">
        <v>0</v>
      </c>
      <c r="E137" s="4" t="b">
        <v>1</v>
      </c>
      <c r="F137" s="4" t="s">
        <v>12</v>
      </c>
      <c r="G137" s="4" t="b">
        <v>1</v>
      </c>
      <c r="H137" s="4" t="s">
        <v>3336</v>
      </c>
      <c r="I137" s="4" t="s">
        <v>98</v>
      </c>
    </row>
    <row r="138" spans="1:9" ht="80" x14ac:dyDescent="0.2">
      <c r="A138" s="11" t="s">
        <v>1007</v>
      </c>
      <c r="B138" s="11" t="s">
        <v>1008</v>
      </c>
      <c r="C138" s="4" t="b">
        <v>1</v>
      </c>
      <c r="D138" s="4" t="b">
        <v>0</v>
      </c>
      <c r="E138" s="4" t="b">
        <v>1</v>
      </c>
      <c r="F138" s="4" t="s">
        <v>12</v>
      </c>
      <c r="G138" s="4" t="b">
        <v>1</v>
      </c>
      <c r="H138" s="4" t="s">
        <v>3334</v>
      </c>
      <c r="I138" s="4" t="s">
        <v>98</v>
      </c>
    </row>
    <row r="139" spans="1:9" ht="144" x14ac:dyDescent="0.2">
      <c r="A139" s="11" t="s">
        <v>1009</v>
      </c>
      <c r="B139" s="11" t="s">
        <v>1010</v>
      </c>
      <c r="C139" s="4" t="b">
        <v>1</v>
      </c>
      <c r="D139" s="4" t="b">
        <v>0</v>
      </c>
      <c r="E139" s="4" t="b">
        <v>1</v>
      </c>
      <c r="F139" s="4" t="s">
        <v>12</v>
      </c>
      <c r="G139" s="4" t="b">
        <v>1</v>
      </c>
      <c r="H139" s="4" t="s">
        <v>3333</v>
      </c>
      <c r="I139" s="4" t="s">
        <v>98</v>
      </c>
    </row>
    <row r="140" spans="1:9" ht="144" x14ac:dyDescent="0.2">
      <c r="A140" s="11" t="s">
        <v>1011</v>
      </c>
      <c r="B140" s="11" t="s">
        <v>1012</v>
      </c>
      <c r="C140" s="4" t="b">
        <v>1</v>
      </c>
      <c r="D140" s="4" t="b">
        <v>0</v>
      </c>
      <c r="E140" s="4" t="b">
        <v>1</v>
      </c>
      <c r="F140" s="4" t="s">
        <v>12</v>
      </c>
      <c r="G140" s="4" t="b">
        <v>1</v>
      </c>
      <c r="H140" s="4" t="s">
        <v>3333</v>
      </c>
      <c r="I140" s="4" t="s">
        <v>98</v>
      </c>
    </row>
    <row r="141" spans="1:9" ht="365" x14ac:dyDescent="0.2">
      <c r="A141" s="11" t="s">
        <v>1035</v>
      </c>
      <c r="B141" s="11" t="s">
        <v>1036</v>
      </c>
      <c r="C141" s="4" t="b">
        <v>1</v>
      </c>
      <c r="D141" s="4" t="b">
        <v>0</v>
      </c>
      <c r="E141" s="4" t="b">
        <v>1</v>
      </c>
      <c r="F141" s="4" t="s">
        <v>12</v>
      </c>
      <c r="G141" s="4" t="b">
        <v>1</v>
      </c>
      <c r="H141" s="4" t="s">
        <v>3331</v>
      </c>
      <c r="I141" s="4" t="s">
        <v>98</v>
      </c>
    </row>
    <row r="142" spans="1:9" ht="224" x14ac:dyDescent="0.2">
      <c r="A142" s="11" t="s">
        <v>1051</v>
      </c>
      <c r="B142" s="11" t="s">
        <v>1052</v>
      </c>
      <c r="C142" s="4" t="b">
        <v>1</v>
      </c>
      <c r="D142" s="4" t="b">
        <v>0</v>
      </c>
      <c r="E142" s="4" t="b">
        <v>1</v>
      </c>
      <c r="F142" s="4" t="s">
        <v>12</v>
      </c>
      <c r="G142" s="4" t="b">
        <v>1</v>
      </c>
      <c r="H142" s="4" t="s">
        <v>3330</v>
      </c>
      <c r="I142" s="4" t="s">
        <v>98</v>
      </c>
    </row>
    <row r="143" spans="1:9" ht="208" x14ac:dyDescent="0.2">
      <c r="A143" s="11" t="s">
        <v>1055</v>
      </c>
      <c r="B143" s="11" t="s">
        <v>1056</v>
      </c>
      <c r="C143" s="4" t="b">
        <v>1</v>
      </c>
      <c r="D143" s="4" t="b">
        <v>0</v>
      </c>
      <c r="E143" s="4" t="b">
        <v>1</v>
      </c>
      <c r="F143" s="4" t="s">
        <v>12</v>
      </c>
      <c r="G143" s="4" t="b">
        <v>1</v>
      </c>
      <c r="H143" s="4" t="s">
        <v>3329</v>
      </c>
      <c r="I143" s="4" t="s">
        <v>98</v>
      </c>
    </row>
    <row r="144" spans="1:9" ht="320" x14ac:dyDescent="0.2">
      <c r="A144" s="11" t="s">
        <v>1059</v>
      </c>
      <c r="B144" s="11" t="s">
        <v>1060</v>
      </c>
      <c r="C144" s="4" t="b">
        <v>1</v>
      </c>
      <c r="D144" s="4" t="b">
        <v>0</v>
      </c>
      <c r="E144" s="4" t="b">
        <v>1</v>
      </c>
      <c r="F144" s="4" t="s">
        <v>12</v>
      </c>
      <c r="G144" s="4" t="b">
        <v>1</v>
      </c>
      <c r="H144" s="4" t="s">
        <v>3327</v>
      </c>
      <c r="I144" s="4" t="s">
        <v>98</v>
      </c>
    </row>
    <row r="145" spans="1:10" ht="350" x14ac:dyDescent="0.2">
      <c r="A145" s="11" t="s">
        <v>1063</v>
      </c>
      <c r="B145" s="11" t="s">
        <v>1064</v>
      </c>
      <c r="C145" s="4" t="b">
        <v>1</v>
      </c>
      <c r="D145" s="4" t="b">
        <v>0</v>
      </c>
      <c r="E145" s="4" t="b">
        <v>1</v>
      </c>
      <c r="F145" s="4" t="s">
        <v>12</v>
      </c>
      <c r="G145" s="4" t="b">
        <v>1</v>
      </c>
      <c r="H145" s="4" t="s">
        <v>3326</v>
      </c>
      <c r="I145" s="4" t="s">
        <v>98</v>
      </c>
    </row>
    <row r="146" spans="1:10" ht="224" x14ac:dyDescent="0.2">
      <c r="A146" s="11" t="s">
        <v>1081</v>
      </c>
      <c r="B146" s="11" t="s">
        <v>1082</v>
      </c>
      <c r="C146" s="4" t="b">
        <v>1</v>
      </c>
      <c r="D146" s="4" t="b">
        <v>0</v>
      </c>
      <c r="E146" s="4" t="b">
        <v>1</v>
      </c>
      <c r="F146" s="4" t="s">
        <v>12</v>
      </c>
      <c r="G146" s="4" t="b">
        <v>1</v>
      </c>
      <c r="H146" s="4" t="s">
        <v>3325</v>
      </c>
      <c r="I146" s="4" t="s">
        <v>98</v>
      </c>
    </row>
    <row r="147" spans="1:10" ht="96" x14ac:dyDescent="0.2">
      <c r="A147" s="11" t="s">
        <v>1083</v>
      </c>
      <c r="B147" s="11" t="s">
        <v>1084</v>
      </c>
      <c r="C147" s="4" t="b">
        <v>1</v>
      </c>
      <c r="D147" s="4" t="b">
        <v>0</v>
      </c>
      <c r="E147" s="4" t="b">
        <v>1</v>
      </c>
      <c r="F147" s="4" t="s">
        <v>12</v>
      </c>
      <c r="G147" s="4" t="b">
        <v>1</v>
      </c>
      <c r="H147" s="4" t="s">
        <v>3324</v>
      </c>
      <c r="I147" s="4" t="s">
        <v>98</v>
      </c>
    </row>
    <row r="148" spans="1:10" ht="48" x14ac:dyDescent="0.2">
      <c r="A148" s="11" t="s">
        <v>1095</v>
      </c>
      <c r="B148" s="11" t="s">
        <v>1096</v>
      </c>
      <c r="C148" s="4" t="b">
        <v>1</v>
      </c>
      <c r="D148" s="4" t="b">
        <v>0</v>
      </c>
      <c r="E148" s="4" t="b">
        <v>1</v>
      </c>
      <c r="F148" s="4" t="s">
        <v>12</v>
      </c>
      <c r="G148" s="4" t="b">
        <v>1</v>
      </c>
      <c r="H148" s="4" t="s">
        <v>3321</v>
      </c>
      <c r="I148" s="4" t="s">
        <v>98</v>
      </c>
    </row>
    <row r="149" spans="1:10" ht="80" x14ac:dyDescent="0.2">
      <c r="A149" s="11" t="s">
        <v>1107</v>
      </c>
      <c r="B149" s="11" t="s">
        <v>1108</v>
      </c>
      <c r="C149" s="4" t="b">
        <v>1</v>
      </c>
      <c r="D149" s="4" t="b">
        <v>0</v>
      </c>
      <c r="E149" s="4" t="b">
        <v>1</v>
      </c>
      <c r="F149" s="4" t="s">
        <v>12</v>
      </c>
      <c r="G149" s="4" t="b">
        <v>1</v>
      </c>
      <c r="H149" s="4" t="s">
        <v>3320</v>
      </c>
      <c r="I149" s="4" t="s">
        <v>98</v>
      </c>
    </row>
    <row r="150" spans="1:10" ht="192" x14ac:dyDescent="0.2">
      <c r="A150" s="11" t="s">
        <v>1111</v>
      </c>
      <c r="B150" s="11" t="s">
        <v>1112</v>
      </c>
      <c r="C150" s="4" t="b">
        <v>1</v>
      </c>
      <c r="D150" s="4" t="b">
        <v>0</v>
      </c>
      <c r="E150" s="4" t="b">
        <v>1</v>
      </c>
      <c r="F150" s="4" t="s">
        <v>12</v>
      </c>
      <c r="G150" s="4" t="b">
        <v>1</v>
      </c>
      <c r="H150" s="4" t="s">
        <v>3319</v>
      </c>
      <c r="I150" s="4" t="s">
        <v>98</v>
      </c>
    </row>
    <row r="151" spans="1:10" ht="96" x14ac:dyDescent="0.2">
      <c r="A151" s="11" t="s">
        <v>1125</v>
      </c>
      <c r="B151" s="11" t="s">
        <v>1126</v>
      </c>
      <c r="C151" s="4" t="b">
        <v>1</v>
      </c>
      <c r="D151" s="4" t="b">
        <v>0</v>
      </c>
      <c r="E151" s="4" t="b">
        <v>1</v>
      </c>
      <c r="F151" s="4" t="s">
        <v>12</v>
      </c>
      <c r="G151" s="4" t="b">
        <v>1</v>
      </c>
      <c r="H151" s="4" t="s">
        <v>3317</v>
      </c>
      <c r="I151" s="4" t="s">
        <v>98</v>
      </c>
    </row>
    <row r="152" spans="1:10" ht="96" x14ac:dyDescent="0.2">
      <c r="A152" s="11" t="s">
        <v>1129</v>
      </c>
      <c r="B152" s="11" t="s">
        <v>1130</v>
      </c>
      <c r="C152" s="4" t="b">
        <v>1</v>
      </c>
      <c r="D152" s="4" t="b">
        <v>0</v>
      </c>
      <c r="E152" s="4" t="b">
        <v>1</v>
      </c>
      <c r="F152" s="4" t="s">
        <v>12</v>
      </c>
      <c r="G152" s="4" t="b">
        <v>1</v>
      </c>
      <c r="H152" s="4" t="s">
        <v>3316</v>
      </c>
      <c r="I152" s="4" t="s">
        <v>98</v>
      </c>
    </row>
    <row r="153" spans="1:10" ht="64" x14ac:dyDescent="0.2">
      <c r="A153" s="11" t="s">
        <v>1133</v>
      </c>
      <c r="B153" s="11" t="s">
        <v>1134</v>
      </c>
      <c r="C153" s="4" t="b">
        <v>1</v>
      </c>
      <c r="D153" s="4" t="b">
        <v>0</v>
      </c>
      <c r="E153" s="4" t="b">
        <v>1</v>
      </c>
      <c r="F153" s="4" t="s">
        <v>12</v>
      </c>
      <c r="G153" s="4" t="b">
        <v>1</v>
      </c>
      <c r="H153" s="4" t="s">
        <v>3315</v>
      </c>
      <c r="I153" s="4" t="s">
        <v>98</v>
      </c>
    </row>
    <row r="154" spans="1:10" ht="48" x14ac:dyDescent="0.2">
      <c r="A154" s="11" t="s">
        <v>1137</v>
      </c>
      <c r="B154" s="11" t="s">
        <v>1138</v>
      </c>
      <c r="C154" s="4" t="b">
        <v>1</v>
      </c>
      <c r="D154" s="4" t="b">
        <v>0</v>
      </c>
      <c r="E154" s="4" t="b">
        <v>1</v>
      </c>
      <c r="F154" s="4" t="s">
        <v>12</v>
      </c>
      <c r="G154" s="4" t="b">
        <v>1</v>
      </c>
      <c r="H154" s="4" t="s">
        <v>3314</v>
      </c>
      <c r="I154" s="4" t="s">
        <v>98</v>
      </c>
    </row>
    <row r="155" spans="1:10" ht="144" x14ac:dyDescent="0.2">
      <c r="A155" s="11" t="s">
        <v>1151</v>
      </c>
      <c r="B155" s="11" t="s">
        <v>1152</v>
      </c>
      <c r="C155" s="4" t="b">
        <v>1</v>
      </c>
      <c r="D155" s="4" t="b">
        <v>0</v>
      </c>
      <c r="E155" s="4" t="b">
        <v>1</v>
      </c>
      <c r="F155" s="4" t="s">
        <v>12</v>
      </c>
      <c r="G155" s="4" t="b">
        <v>1</v>
      </c>
      <c r="H155" s="4" t="s">
        <v>3312</v>
      </c>
      <c r="I155" s="4" t="s">
        <v>98</v>
      </c>
    </row>
    <row r="156" spans="1:10" ht="48" x14ac:dyDescent="0.2">
      <c r="A156" s="11" t="s">
        <v>1157</v>
      </c>
      <c r="B156" s="11" t="s">
        <v>1158</v>
      </c>
      <c r="C156" s="4" t="b">
        <v>1</v>
      </c>
      <c r="D156" s="4" t="b">
        <v>0</v>
      </c>
      <c r="E156" s="4" t="b">
        <v>1</v>
      </c>
      <c r="F156" s="4" t="s">
        <v>12</v>
      </c>
      <c r="G156" s="4" t="b">
        <v>1</v>
      </c>
      <c r="H156" s="4" t="s">
        <v>3311</v>
      </c>
      <c r="I156" s="4" t="s">
        <v>98</v>
      </c>
    </row>
    <row r="157" spans="1:10" ht="192" x14ac:dyDescent="0.2">
      <c r="A157" s="11" t="s">
        <v>1159</v>
      </c>
      <c r="B157" s="11" t="s">
        <v>1160</v>
      </c>
      <c r="C157" s="4" t="b">
        <v>1</v>
      </c>
      <c r="D157" s="4" t="b">
        <v>0</v>
      </c>
      <c r="E157" s="4" t="b">
        <v>1</v>
      </c>
      <c r="F157" s="4" t="s">
        <v>12</v>
      </c>
      <c r="G157" s="4" t="b">
        <v>1</v>
      </c>
      <c r="H157" s="4" t="s">
        <v>3310</v>
      </c>
      <c r="I157" s="4" t="s">
        <v>98</v>
      </c>
    </row>
    <row r="158" spans="1:10" ht="96" x14ac:dyDescent="0.2">
      <c r="A158" s="11" t="s">
        <v>1185</v>
      </c>
      <c r="B158" s="11" t="s">
        <v>1186</v>
      </c>
      <c r="C158" s="4" t="b">
        <v>1</v>
      </c>
      <c r="D158" s="4" t="b">
        <v>0</v>
      </c>
      <c r="E158" s="4" t="b">
        <v>1</v>
      </c>
      <c r="F158" s="4" t="s">
        <v>12</v>
      </c>
      <c r="G158" s="4" t="b">
        <v>1</v>
      </c>
      <c r="H158" s="4" t="s">
        <v>3162</v>
      </c>
      <c r="I158" s="4" t="s">
        <v>94</v>
      </c>
      <c r="J158" s="1"/>
    </row>
    <row r="159" spans="1:10" ht="96" x14ac:dyDescent="0.2">
      <c r="A159" s="11" t="s">
        <v>1193</v>
      </c>
      <c r="B159" s="11" t="s">
        <v>1194</v>
      </c>
      <c r="C159" s="4" t="b">
        <v>1</v>
      </c>
      <c r="D159" s="4" t="b">
        <v>0</v>
      </c>
      <c r="E159" s="4" t="b">
        <v>1</v>
      </c>
      <c r="F159" s="4" t="s">
        <v>12</v>
      </c>
      <c r="G159" s="4" t="b">
        <v>1</v>
      </c>
      <c r="H159" s="4" t="s">
        <v>3158</v>
      </c>
      <c r="I159" s="4" t="s">
        <v>94</v>
      </c>
      <c r="J159" s="1"/>
    </row>
    <row r="160" spans="1:10" ht="32" x14ac:dyDescent="0.2">
      <c r="A160" s="11" t="s">
        <v>1197</v>
      </c>
      <c r="B160" s="11" t="s">
        <v>1198</v>
      </c>
      <c r="C160" s="4" t="b">
        <v>1</v>
      </c>
      <c r="D160" s="4" t="b">
        <v>0</v>
      </c>
      <c r="E160" s="4" t="b">
        <v>1</v>
      </c>
      <c r="F160" s="4" t="s">
        <v>12</v>
      </c>
      <c r="G160" s="4" t="b">
        <v>1</v>
      </c>
      <c r="H160" s="4"/>
      <c r="I160" s="4" t="s">
        <v>94</v>
      </c>
      <c r="J160" s="1"/>
    </row>
    <row r="161" spans="1:10" ht="32" x14ac:dyDescent="0.2">
      <c r="A161" s="11" t="s">
        <v>1207</v>
      </c>
      <c r="B161" s="11" t="s">
        <v>1208</v>
      </c>
      <c r="C161" s="4" t="b">
        <v>1</v>
      </c>
      <c r="D161" s="4" t="b">
        <v>0</v>
      </c>
      <c r="E161" s="4" t="b">
        <v>1</v>
      </c>
      <c r="F161" s="4" t="s">
        <v>12</v>
      </c>
      <c r="G161" s="4" t="b">
        <v>1</v>
      </c>
      <c r="H161" s="4"/>
      <c r="I161" s="4" t="s">
        <v>94</v>
      </c>
      <c r="J161" s="1"/>
    </row>
    <row r="162" spans="1:10" ht="96" x14ac:dyDescent="0.2">
      <c r="A162" s="11" t="s">
        <v>1209</v>
      </c>
      <c r="B162" s="11" t="s">
        <v>1210</v>
      </c>
      <c r="C162" s="4" t="b">
        <v>1</v>
      </c>
      <c r="D162" s="4" t="b">
        <v>0</v>
      </c>
      <c r="E162" s="4" t="b">
        <v>1</v>
      </c>
      <c r="F162" s="4" t="s">
        <v>12</v>
      </c>
      <c r="G162" s="4" t="b">
        <v>1</v>
      </c>
      <c r="H162" s="4" t="s">
        <v>3156</v>
      </c>
      <c r="I162" s="4" t="s">
        <v>94</v>
      </c>
      <c r="J162" s="1"/>
    </row>
    <row r="163" spans="1:10" ht="32" x14ac:dyDescent="0.2">
      <c r="A163" s="11" t="s">
        <v>1211</v>
      </c>
      <c r="B163" s="11" t="s">
        <v>1212</v>
      </c>
      <c r="C163" s="4" t="b">
        <v>1</v>
      </c>
      <c r="D163" s="4" t="b">
        <v>0</v>
      </c>
      <c r="E163" s="4" t="b">
        <v>1</v>
      </c>
      <c r="F163" s="4" t="s">
        <v>12</v>
      </c>
      <c r="G163" s="4" t="b">
        <v>1</v>
      </c>
      <c r="H163" s="4" t="s">
        <v>3149</v>
      </c>
      <c r="I163" s="4" t="s">
        <v>94</v>
      </c>
      <c r="J163" s="1" t="s">
        <v>2998</v>
      </c>
    </row>
    <row r="164" spans="1:10" ht="176" x14ac:dyDescent="0.2">
      <c r="A164" s="11" t="s">
        <v>1217</v>
      </c>
      <c r="B164" s="11" t="s">
        <v>1218</v>
      </c>
      <c r="C164" s="4" t="b">
        <v>1</v>
      </c>
      <c r="D164" s="4" t="b">
        <v>0</v>
      </c>
      <c r="E164" s="4" t="b">
        <v>1</v>
      </c>
      <c r="F164" s="4" t="s">
        <v>12</v>
      </c>
      <c r="G164" s="4" t="b">
        <v>1</v>
      </c>
      <c r="H164" s="4" t="s">
        <v>3155</v>
      </c>
      <c r="I164" s="4" t="s">
        <v>94</v>
      </c>
      <c r="J164" s="1"/>
    </row>
    <row r="165" spans="1:10" ht="80" x14ac:dyDescent="0.2">
      <c r="A165" s="11" t="s">
        <v>1219</v>
      </c>
      <c r="B165" s="11" t="s">
        <v>1220</v>
      </c>
      <c r="C165" s="4" t="b">
        <v>1</v>
      </c>
      <c r="D165" s="4" t="b">
        <v>0</v>
      </c>
      <c r="E165" s="4" t="b">
        <v>1</v>
      </c>
      <c r="F165" s="4" t="s">
        <v>12</v>
      </c>
      <c r="G165" s="4" t="b">
        <v>1</v>
      </c>
      <c r="H165" s="4" t="s">
        <v>3154</v>
      </c>
      <c r="I165" s="4" t="s">
        <v>94</v>
      </c>
      <c r="J165" s="1"/>
    </row>
    <row r="166" spans="1:10" ht="48" x14ac:dyDescent="0.2">
      <c r="A166" s="11" t="s">
        <v>1221</v>
      </c>
      <c r="B166" s="11" t="s">
        <v>1222</v>
      </c>
      <c r="C166" s="4" t="b">
        <v>1</v>
      </c>
      <c r="D166" s="4" t="b">
        <v>0</v>
      </c>
      <c r="E166" s="4" t="b">
        <v>1</v>
      </c>
      <c r="F166" s="4" t="s">
        <v>12</v>
      </c>
      <c r="G166" s="4" t="b">
        <v>1</v>
      </c>
      <c r="H166" s="4"/>
      <c r="I166" s="4" t="s">
        <v>94</v>
      </c>
      <c r="J166" s="1"/>
    </row>
    <row r="167" spans="1:10" ht="144" x14ac:dyDescent="0.2">
      <c r="A167" s="11" t="s">
        <v>1231</v>
      </c>
      <c r="B167" s="11" t="s">
        <v>1232</v>
      </c>
      <c r="C167" s="4" t="b">
        <v>1</v>
      </c>
      <c r="D167" s="4" t="b">
        <v>0</v>
      </c>
      <c r="E167" s="4" t="b">
        <v>1</v>
      </c>
      <c r="F167" s="4" t="s">
        <v>12</v>
      </c>
      <c r="G167" s="4" t="b">
        <v>1</v>
      </c>
      <c r="H167" s="4" t="s">
        <v>3350</v>
      </c>
      <c r="I167" s="4" t="s">
        <v>94</v>
      </c>
    </row>
    <row r="168" spans="1:10" ht="64" x14ac:dyDescent="0.2">
      <c r="A168" s="11" t="s">
        <v>1233</v>
      </c>
      <c r="B168" s="11" t="s">
        <v>1234</v>
      </c>
      <c r="C168" s="4" t="b">
        <v>1</v>
      </c>
      <c r="D168" s="4" t="b">
        <v>0</v>
      </c>
      <c r="E168" s="4" t="b">
        <v>1</v>
      </c>
      <c r="F168" s="4" t="s">
        <v>12</v>
      </c>
      <c r="G168" s="4" t="b">
        <v>1</v>
      </c>
      <c r="H168" s="4" t="s">
        <v>3151</v>
      </c>
      <c r="I168" s="4" t="s">
        <v>94</v>
      </c>
      <c r="J168" s="1" t="s">
        <v>2998</v>
      </c>
    </row>
    <row r="169" spans="1:10" ht="48" x14ac:dyDescent="0.2">
      <c r="A169" s="11" t="s">
        <v>1237</v>
      </c>
      <c r="B169" s="11" t="s">
        <v>1238</v>
      </c>
      <c r="C169" s="4" t="b">
        <v>1</v>
      </c>
      <c r="D169" s="4" t="b">
        <v>0</v>
      </c>
      <c r="E169" s="4" t="b">
        <v>1</v>
      </c>
      <c r="F169" s="4" t="s">
        <v>12</v>
      </c>
      <c r="G169" s="4" t="b">
        <v>1</v>
      </c>
      <c r="H169" s="4" t="s">
        <v>3150</v>
      </c>
      <c r="I169" s="4" t="s">
        <v>94</v>
      </c>
      <c r="J169" s="1"/>
    </row>
    <row r="170" spans="1:10" ht="32" x14ac:dyDescent="0.2">
      <c r="A170" s="11" t="s">
        <v>1245</v>
      </c>
      <c r="B170" s="11" t="s">
        <v>1246</v>
      </c>
      <c r="C170" s="4" t="b">
        <v>1</v>
      </c>
      <c r="D170" s="4" t="b">
        <v>0</v>
      </c>
      <c r="E170" s="4" t="b">
        <v>1</v>
      </c>
      <c r="F170" s="4" t="s">
        <v>12</v>
      </c>
      <c r="G170" s="4" t="b">
        <v>1</v>
      </c>
      <c r="H170" s="4"/>
      <c r="I170" s="4" t="s">
        <v>94</v>
      </c>
      <c r="J170" s="1"/>
    </row>
    <row r="171" spans="1:10" ht="32" x14ac:dyDescent="0.2">
      <c r="A171" s="11" t="s">
        <v>1249</v>
      </c>
      <c r="B171" s="11" t="s">
        <v>1250</v>
      </c>
      <c r="C171" s="4" t="b">
        <v>1</v>
      </c>
      <c r="D171" s="4" t="b">
        <v>0</v>
      </c>
      <c r="E171" s="4" t="b">
        <v>1</v>
      </c>
      <c r="F171" s="4" t="s">
        <v>12</v>
      </c>
      <c r="G171" s="4" t="b">
        <v>1</v>
      </c>
      <c r="H171" s="4" t="s">
        <v>3149</v>
      </c>
      <c r="I171" s="4" t="s">
        <v>94</v>
      </c>
      <c r="J171" s="1"/>
    </row>
    <row r="172" spans="1:10" ht="80" x14ac:dyDescent="0.2">
      <c r="A172" s="11" t="s">
        <v>1267</v>
      </c>
      <c r="B172" s="11" t="s">
        <v>1268</v>
      </c>
      <c r="C172" s="4" t="b">
        <v>1</v>
      </c>
      <c r="D172" s="4" t="b">
        <v>0</v>
      </c>
      <c r="E172" s="4" t="b">
        <v>1</v>
      </c>
      <c r="F172" s="4" t="s">
        <v>12</v>
      </c>
      <c r="G172" s="4" t="b">
        <v>1</v>
      </c>
      <c r="H172" s="4" t="s">
        <v>3148</v>
      </c>
      <c r="I172" s="4" t="s">
        <v>94</v>
      </c>
      <c r="J172" s="1"/>
    </row>
    <row r="173" spans="1:10" ht="80" x14ac:dyDescent="0.2">
      <c r="A173" s="11" t="s">
        <v>1277</v>
      </c>
      <c r="B173" s="11" t="s">
        <v>1278</v>
      </c>
      <c r="C173" s="4" t="b">
        <v>1</v>
      </c>
      <c r="D173" s="4" t="b">
        <v>0</v>
      </c>
      <c r="E173" s="4" t="b">
        <v>1</v>
      </c>
      <c r="F173" s="4" t="s">
        <v>12</v>
      </c>
      <c r="G173" s="4" t="b">
        <v>1</v>
      </c>
      <c r="H173" s="4" t="s">
        <v>3147</v>
      </c>
      <c r="I173" s="4" t="s">
        <v>94</v>
      </c>
      <c r="J173" s="1"/>
    </row>
    <row r="174" spans="1:10" ht="96" x14ac:dyDescent="0.2">
      <c r="A174" s="11" t="s">
        <v>1291</v>
      </c>
      <c r="B174" s="11" t="s">
        <v>1292</v>
      </c>
      <c r="C174" s="4" t="b">
        <v>1</v>
      </c>
      <c r="D174" s="4" t="b">
        <v>0</v>
      </c>
      <c r="E174" s="4" t="b">
        <v>1</v>
      </c>
      <c r="F174" s="4" t="s">
        <v>12</v>
      </c>
      <c r="G174" s="4" t="b">
        <v>1</v>
      </c>
      <c r="H174" s="4" t="s">
        <v>3145</v>
      </c>
      <c r="I174" s="4" t="s">
        <v>94</v>
      </c>
      <c r="J174" s="1"/>
    </row>
    <row r="175" spans="1:10" ht="64" x14ac:dyDescent="0.2">
      <c r="A175" s="11" t="s">
        <v>1316</v>
      </c>
      <c r="B175" s="11" t="s">
        <v>1317</v>
      </c>
      <c r="C175" s="4" t="b">
        <v>1</v>
      </c>
      <c r="D175" s="4" t="b">
        <v>0</v>
      </c>
      <c r="E175" s="4" t="b">
        <v>1</v>
      </c>
      <c r="F175" s="4" t="s">
        <v>12</v>
      </c>
      <c r="G175" s="4" t="b">
        <v>1</v>
      </c>
      <c r="H175" s="4" t="s">
        <v>3094</v>
      </c>
      <c r="I175" s="4" t="s">
        <v>1309</v>
      </c>
      <c r="J175" s="1"/>
    </row>
    <row r="176" spans="1:10" ht="304" x14ac:dyDescent="0.2">
      <c r="A176" s="11" t="s">
        <v>1320</v>
      </c>
      <c r="B176" s="11" t="s">
        <v>1321</v>
      </c>
      <c r="C176" s="4" t="b">
        <v>1</v>
      </c>
      <c r="D176" s="4" t="b">
        <v>0</v>
      </c>
      <c r="E176" s="4" t="b">
        <v>1</v>
      </c>
      <c r="F176" s="4" t="s">
        <v>12</v>
      </c>
      <c r="G176" s="4" t="b">
        <v>1</v>
      </c>
      <c r="H176" s="4" t="s">
        <v>3092</v>
      </c>
      <c r="I176" s="4" t="s">
        <v>1309</v>
      </c>
      <c r="J176" s="1"/>
    </row>
    <row r="177" spans="1:10" ht="64" x14ac:dyDescent="0.2">
      <c r="A177" s="11" t="s">
        <v>1339</v>
      </c>
      <c r="B177" s="11" t="s">
        <v>1340</v>
      </c>
      <c r="C177" s="4" t="b">
        <v>1</v>
      </c>
      <c r="D177" s="4" t="b">
        <v>0</v>
      </c>
      <c r="E177" s="4" t="b">
        <v>1</v>
      </c>
      <c r="F177" s="4" t="s">
        <v>12</v>
      </c>
      <c r="G177" s="4" t="b">
        <v>1</v>
      </c>
      <c r="H177" s="4" t="s">
        <v>3090</v>
      </c>
      <c r="I177" s="4" t="s">
        <v>1336</v>
      </c>
      <c r="J177" s="1"/>
    </row>
    <row r="178" spans="1:10" ht="208" x14ac:dyDescent="0.2">
      <c r="A178" s="11" t="s">
        <v>1343</v>
      </c>
      <c r="B178" s="11" t="s">
        <v>1344</v>
      </c>
      <c r="C178" s="4" t="b">
        <v>1</v>
      </c>
      <c r="D178" s="4" t="b">
        <v>0</v>
      </c>
      <c r="E178" s="4" t="b">
        <v>1</v>
      </c>
      <c r="F178" s="4" t="s">
        <v>12</v>
      </c>
      <c r="G178" s="4" t="b">
        <v>1</v>
      </c>
      <c r="H178" s="4" t="s">
        <v>3089</v>
      </c>
      <c r="I178" s="4" t="s">
        <v>621</v>
      </c>
      <c r="J178" s="1"/>
    </row>
    <row r="179" spans="1:10" ht="192" x14ac:dyDescent="0.2">
      <c r="A179" s="11" t="s">
        <v>1353</v>
      </c>
      <c r="B179" s="11" t="s">
        <v>1354</v>
      </c>
      <c r="C179" s="4" t="b">
        <v>1</v>
      </c>
      <c r="D179" s="4" t="b">
        <v>0</v>
      </c>
      <c r="E179" s="4" t="b">
        <v>1</v>
      </c>
      <c r="F179" s="4" t="s">
        <v>12</v>
      </c>
      <c r="G179" s="4" t="b">
        <v>1</v>
      </c>
      <c r="H179" s="4" t="s">
        <v>3087</v>
      </c>
      <c r="I179" s="4" t="s">
        <v>621</v>
      </c>
      <c r="J179" s="1"/>
    </row>
    <row r="180" spans="1:10" ht="96" x14ac:dyDescent="0.2">
      <c r="A180" s="11" t="s">
        <v>1365</v>
      </c>
      <c r="B180" s="11" t="s">
        <v>1366</v>
      </c>
      <c r="C180" s="4" t="b">
        <v>1</v>
      </c>
      <c r="D180" s="4" t="b">
        <v>0</v>
      </c>
      <c r="E180" s="4" t="b">
        <v>1</v>
      </c>
      <c r="F180" s="4" t="s">
        <v>12</v>
      </c>
      <c r="G180" s="4" t="b">
        <v>1</v>
      </c>
      <c r="H180" s="4" t="s">
        <v>3144</v>
      </c>
      <c r="I180" s="4" t="s">
        <v>621</v>
      </c>
      <c r="J180" s="1"/>
    </row>
    <row r="181" spans="1:10" ht="80" x14ac:dyDescent="0.2">
      <c r="A181" s="11" t="s">
        <v>1369</v>
      </c>
      <c r="B181" s="11" t="s">
        <v>1370</v>
      </c>
      <c r="C181" s="4" t="b">
        <v>1</v>
      </c>
      <c r="D181" s="4" t="b">
        <v>0</v>
      </c>
      <c r="E181" s="4" t="b">
        <v>1</v>
      </c>
      <c r="F181" s="4" t="s">
        <v>12</v>
      </c>
      <c r="G181" s="4" t="b">
        <v>1</v>
      </c>
      <c r="H181" s="4" t="s">
        <v>3083</v>
      </c>
      <c r="I181" s="4" t="s">
        <v>621</v>
      </c>
      <c r="J181" s="1"/>
    </row>
    <row r="182" spans="1:10" ht="32" x14ac:dyDescent="0.2">
      <c r="A182" s="11" t="s">
        <v>1377</v>
      </c>
      <c r="B182" s="11" t="s">
        <v>1378</v>
      </c>
      <c r="C182" s="4" t="b">
        <v>1</v>
      </c>
      <c r="D182" s="4" t="b">
        <v>0</v>
      </c>
      <c r="E182" s="4" t="b">
        <v>1</v>
      </c>
      <c r="F182" s="4" t="s">
        <v>12</v>
      </c>
      <c r="G182" s="4" t="b">
        <v>1</v>
      </c>
      <c r="H182" s="4"/>
      <c r="I182" s="4" t="s">
        <v>621</v>
      </c>
      <c r="J182" s="1"/>
    </row>
    <row r="183" spans="1:10" ht="80" x14ac:dyDescent="0.2">
      <c r="A183" s="11" t="s">
        <v>1379</v>
      </c>
      <c r="B183" s="11" t="s">
        <v>1380</v>
      </c>
      <c r="C183" s="4" t="b">
        <v>1</v>
      </c>
      <c r="D183" s="4" t="b">
        <v>0</v>
      </c>
      <c r="E183" s="4" t="b">
        <v>1</v>
      </c>
      <c r="F183" s="4" t="s">
        <v>12</v>
      </c>
      <c r="G183" s="4" t="b">
        <v>1</v>
      </c>
      <c r="H183" s="4" t="s">
        <v>3082</v>
      </c>
      <c r="I183" s="4" t="s">
        <v>621</v>
      </c>
      <c r="J183" s="1"/>
    </row>
    <row r="184" spans="1:10" ht="48" x14ac:dyDescent="0.2">
      <c r="A184" s="11" t="s">
        <v>1381</v>
      </c>
      <c r="B184" s="11" t="s">
        <v>1382</v>
      </c>
      <c r="C184" s="4" t="b">
        <v>1</v>
      </c>
      <c r="D184" s="4" t="b">
        <v>0</v>
      </c>
      <c r="E184" s="4" t="b">
        <v>1</v>
      </c>
      <c r="F184" s="4" t="s">
        <v>12</v>
      </c>
      <c r="G184" s="4" t="b">
        <v>1</v>
      </c>
      <c r="H184" s="4" t="s">
        <v>3081</v>
      </c>
      <c r="I184" s="4" t="s">
        <v>621</v>
      </c>
      <c r="J184" s="1"/>
    </row>
    <row r="185" spans="1:10" ht="48" x14ac:dyDescent="0.2">
      <c r="A185" s="11" t="s">
        <v>1389</v>
      </c>
      <c r="B185" s="11" t="s">
        <v>1390</v>
      </c>
      <c r="C185" s="4" t="b">
        <v>1</v>
      </c>
      <c r="D185" s="4" t="b">
        <v>0</v>
      </c>
      <c r="E185" s="4" t="b">
        <v>1</v>
      </c>
      <c r="F185" s="4" t="s">
        <v>12</v>
      </c>
      <c r="G185" s="4" t="b">
        <v>1</v>
      </c>
      <c r="H185" s="1"/>
      <c r="I185" s="4" t="s">
        <v>621</v>
      </c>
      <c r="J185" s="1"/>
    </row>
    <row r="186" spans="1:10" ht="64" x14ac:dyDescent="0.2">
      <c r="A186" s="11" t="s">
        <v>1395</v>
      </c>
      <c r="B186" s="11" t="s">
        <v>1396</v>
      </c>
      <c r="C186" s="4" t="b">
        <v>1</v>
      </c>
      <c r="D186" s="4" t="b">
        <v>0</v>
      </c>
      <c r="E186" s="4" t="b">
        <v>1</v>
      </c>
      <c r="F186" s="4" t="s">
        <v>12</v>
      </c>
      <c r="G186" s="4" t="b">
        <v>1</v>
      </c>
      <c r="H186" s="4" t="s">
        <v>3080</v>
      </c>
      <c r="I186" s="4" t="s">
        <v>621</v>
      </c>
      <c r="J186" s="1"/>
    </row>
    <row r="187" spans="1:10" ht="32" x14ac:dyDescent="0.2">
      <c r="A187" s="11" t="s">
        <v>1401</v>
      </c>
      <c r="B187" s="11" t="s">
        <v>1402</v>
      </c>
      <c r="C187" s="4" t="b">
        <v>1</v>
      </c>
      <c r="D187" s="4" t="b">
        <v>0</v>
      </c>
      <c r="E187" s="4" t="b">
        <v>1</v>
      </c>
      <c r="F187" s="4" t="s">
        <v>12</v>
      </c>
      <c r="G187" s="4" t="b">
        <v>1</v>
      </c>
      <c r="H187" s="4" t="s">
        <v>3079</v>
      </c>
      <c r="I187" s="4" t="s">
        <v>621</v>
      </c>
      <c r="J187" s="1"/>
    </row>
    <row r="188" spans="1:10" ht="208" x14ac:dyDescent="0.2">
      <c r="A188" s="11" t="s">
        <v>1421</v>
      </c>
      <c r="B188" s="11" t="s">
        <v>1422</v>
      </c>
      <c r="C188" s="4" t="b">
        <v>1</v>
      </c>
      <c r="D188" s="4" t="b">
        <v>0</v>
      </c>
      <c r="E188" s="4" t="b">
        <v>1</v>
      </c>
      <c r="F188" s="4" t="s">
        <v>12</v>
      </c>
      <c r="G188" s="4" t="b">
        <v>1</v>
      </c>
      <c r="H188" s="4" t="s">
        <v>3076</v>
      </c>
      <c r="I188" s="4" t="s">
        <v>621</v>
      </c>
      <c r="J188" s="1"/>
    </row>
    <row r="189" spans="1:10" ht="80" x14ac:dyDescent="0.2">
      <c r="A189" s="11" t="s">
        <v>1429</v>
      </c>
      <c r="B189" s="11" t="s">
        <v>1430</v>
      </c>
      <c r="C189" s="4" t="b">
        <v>1</v>
      </c>
      <c r="D189" s="4" t="b">
        <v>0</v>
      </c>
      <c r="E189" s="4" t="b">
        <v>1</v>
      </c>
      <c r="F189" s="4" t="s">
        <v>12</v>
      </c>
      <c r="G189" s="4" t="b">
        <v>1</v>
      </c>
      <c r="H189" s="4" t="s">
        <v>3075</v>
      </c>
      <c r="I189" s="4" t="s">
        <v>621</v>
      </c>
      <c r="J189" s="1"/>
    </row>
    <row r="190" spans="1:10" ht="96" x14ac:dyDescent="0.2">
      <c r="A190" s="11" t="s">
        <v>1431</v>
      </c>
      <c r="B190" s="11" t="s">
        <v>1432</v>
      </c>
      <c r="C190" s="4" t="b">
        <v>1</v>
      </c>
      <c r="D190" s="4" t="b">
        <v>0</v>
      </c>
      <c r="E190" s="4" t="b">
        <v>1</v>
      </c>
      <c r="F190" s="4" t="s">
        <v>12</v>
      </c>
      <c r="G190" s="4" t="b">
        <v>1</v>
      </c>
      <c r="H190" s="4" t="s">
        <v>3074</v>
      </c>
      <c r="I190" s="4" t="s">
        <v>621</v>
      </c>
      <c r="J190" s="1"/>
    </row>
    <row r="191" spans="1:10" ht="32" x14ac:dyDescent="0.2">
      <c r="A191" s="11" t="s">
        <v>1433</v>
      </c>
      <c r="B191" s="11" t="s">
        <v>1434</v>
      </c>
      <c r="C191" s="4" t="b">
        <v>1</v>
      </c>
      <c r="D191" s="4" t="b">
        <v>0</v>
      </c>
      <c r="E191" s="4" t="b">
        <v>1</v>
      </c>
      <c r="F191" s="4" t="s">
        <v>12</v>
      </c>
      <c r="G191" s="4" t="b">
        <v>1</v>
      </c>
      <c r="H191" s="4"/>
      <c r="I191" s="4" t="s">
        <v>621</v>
      </c>
      <c r="J191" s="1"/>
    </row>
    <row r="192" spans="1:10" ht="48" x14ac:dyDescent="0.2">
      <c r="A192" s="11" t="s">
        <v>1437</v>
      </c>
      <c r="B192" s="11" t="s">
        <v>1438</v>
      </c>
      <c r="C192" s="4" t="b">
        <v>1</v>
      </c>
      <c r="D192" s="4" t="b">
        <v>0</v>
      </c>
      <c r="E192" s="4" t="b">
        <v>1</v>
      </c>
      <c r="F192" s="4" t="s">
        <v>12</v>
      </c>
      <c r="G192" s="4" t="b">
        <v>1</v>
      </c>
      <c r="H192" s="4" t="s">
        <v>3073</v>
      </c>
      <c r="I192" s="4" t="s">
        <v>621</v>
      </c>
      <c r="J192" s="1"/>
    </row>
    <row r="193" spans="1:9" ht="112" x14ac:dyDescent="0.2">
      <c r="A193" s="11" t="s">
        <v>1441</v>
      </c>
      <c r="B193" s="11" t="s">
        <v>1442</v>
      </c>
      <c r="C193" s="4" t="b">
        <v>1</v>
      </c>
      <c r="D193" s="4" t="b">
        <v>0</v>
      </c>
      <c r="E193" s="4" t="b">
        <v>1</v>
      </c>
      <c r="F193" s="4" t="s">
        <v>12</v>
      </c>
      <c r="G193" s="4" t="b">
        <v>1</v>
      </c>
      <c r="H193" s="4" t="s">
        <v>3349</v>
      </c>
      <c r="I193" s="4" t="s">
        <v>14</v>
      </c>
    </row>
    <row r="194" spans="1:9" ht="288" x14ac:dyDescent="0.2">
      <c r="A194" s="11" t="s">
        <v>1468</v>
      </c>
      <c r="B194" s="11" t="s">
        <v>1469</v>
      </c>
      <c r="C194" s="4" t="b">
        <v>1</v>
      </c>
      <c r="D194" s="4" t="b">
        <v>0</v>
      </c>
      <c r="E194" s="4" t="b">
        <v>1</v>
      </c>
      <c r="F194" s="4" t="s">
        <v>12</v>
      </c>
      <c r="G194" s="4" t="b">
        <v>1</v>
      </c>
      <c r="H194" s="4" t="s">
        <v>3306</v>
      </c>
      <c r="I194" s="4" t="s">
        <v>98</v>
      </c>
    </row>
    <row r="195" spans="1:9" ht="48" x14ac:dyDescent="0.2">
      <c r="A195" s="11" t="s">
        <v>1470</v>
      </c>
      <c r="B195" s="11" t="s">
        <v>1471</v>
      </c>
      <c r="C195" s="4" t="b">
        <v>1</v>
      </c>
      <c r="D195" s="4" t="b">
        <v>0</v>
      </c>
      <c r="E195" s="4" t="b">
        <v>1</v>
      </c>
      <c r="F195" s="4" t="s">
        <v>12</v>
      </c>
      <c r="G195" s="4" t="b">
        <v>1</v>
      </c>
      <c r="H195" s="4" t="s">
        <v>3305</v>
      </c>
      <c r="I195" s="4" t="s">
        <v>98</v>
      </c>
    </row>
    <row r="196" spans="1:9" ht="128" x14ac:dyDescent="0.2">
      <c r="A196" s="11" t="s">
        <v>1476</v>
      </c>
      <c r="B196" s="11" t="s">
        <v>1477</v>
      </c>
      <c r="C196" s="4" t="b">
        <v>1</v>
      </c>
      <c r="D196" s="4" t="b">
        <v>0</v>
      </c>
      <c r="E196" s="4" t="b">
        <v>1</v>
      </c>
      <c r="F196" s="4" t="s">
        <v>12</v>
      </c>
      <c r="G196" s="4" t="b">
        <v>1</v>
      </c>
      <c r="H196" s="4" t="s">
        <v>3304</v>
      </c>
      <c r="I196" s="4" t="s">
        <v>98</v>
      </c>
    </row>
    <row r="197" spans="1:9" ht="112" x14ac:dyDescent="0.2">
      <c r="A197" s="11" t="s">
        <v>1484</v>
      </c>
      <c r="B197" s="11" t="s">
        <v>2851</v>
      </c>
      <c r="C197" s="4" t="b">
        <v>1</v>
      </c>
      <c r="D197" s="4" t="b">
        <v>0</v>
      </c>
      <c r="E197" s="4" t="b">
        <v>1</v>
      </c>
      <c r="F197" s="4" t="s">
        <v>12</v>
      </c>
      <c r="G197" s="4" t="b">
        <v>1</v>
      </c>
      <c r="H197" s="4" t="s">
        <v>3303</v>
      </c>
      <c r="I197" s="4" t="s">
        <v>98</v>
      </c>
    </row>
    <row r="198" spans="1:9" ht="64" x14ac:dyDescent="0.2">
      <c r="A198" s="11" t="s">
        <v>1487</v>
      </c>
      <c r="B198" s="11" t="s">
        <v>1488</v>
      </c>
      <c r="C198" s="4" t="b">
        <v>1</v>
      </c>
      <c r="D198" s="4" t="b">
        <v>0</v>
      </c>
      <c r="E198" s="4" t="b">
        <v>1</v>
      </c>
      <c r="F198" s="4" t="s">
        <v>12</v>
      </c>
      <c r="G198" s="4" t="b">
        <v>1</v>
      </c>
      <c r="H198" s="4" t="s">
        <v>3302</v>
      </c>
      <c r="I198" s="4" t="s">
        <v>98</v>
      </c>
    </row>
    <row r="199" spans="1:9" ht="160" x14ac:dyDescent="0.2">
      <c r="A199" s="11" t="s">
        <v>1491</v>
      </c>
      <c r="B199" s="11" t="s">
        <v>1492</v>
      </c>
      <c r="C199" s="4" t="b">
        <v>1</v>
      </c>
      <c r="D199" s="4" t="b">
        <v>0</v>
      </c>
      <c r="E199" s="4" t="b">
        <v>1</v>
      </c>
      <c r="F199" s="4" t="s">
        <v>12</v>
      </c>
      <c r="G199" s="4" t="b">
        <v>1</v>
      </c>
      <c r="H199" s="4" t="s">
        <v>3301</v>
      </c>
      <c r="I199" s="4" t="s">
        <v>98</v>
      </c>
    </row>
    <row r="200" spans="1:9" ht="64" x14ac:dyDescent="0.2">
      <c r="A200" s="11" t="s">
        <v>1499</v>
      </c>
      <c r="B200" s="11" t="s">
        <v>1500</v>
      </c>
      <c r="C200" s="4" t="b">
        <v>1</v>
      </c>
      <c r="D200" s="4" t="b">
        <v>0</v>
      </c>
      <c r="E200" s="4" t="b">
        <v>1</v>
      </c>
      <c r="F200" s="4" t="s">
        <v>12</v>
      </c>
      <c r="G200" s="4" t="b">
        <v>1</v>
      </c>
      <c r="H200" s="4" t="s">
        <v>3299</v>
      </c>
      <c r="I200" s="4" t="s">
        <v>98</v>
      </c>
    </row>
    <row r="201" spans="1:9" ht="96" x14ac:dyDescent="0.2">
      <c r="A201" s="11" t="s">
        <v>1503</v>
      </c>
      <c r="B201" s="11" t="s">
        <v>1504</v>
      </c>
      <c r="C201" s="4" t="b">
        <v>1</v>
      </c>
      <c r="D201" s="4" t="b">
        <v>0</v>
      </c>
      <c r="E201" s="4" t="b">
        <v>1</v>
      </c>
      <c r="F201" s="4" t="s">
        <v>12</v>
      </c>
      <c r="G201" s="4" t="b">
        <v>1</v>
      </c>
      <c r="H201" s="4" t="s">
        <v>3298</v>
      </c>
      <c r="I201" s="4" t="s">
        <v>98</v>
      </c>
    </row>
    <row r="202" spans="1:9" ht="48" x14ac:dyDescent="0.2">
      <c r="A202" s="11" t="s">
        <v>1509</v>
      </c>
      <c r="B202" s="11" t="s">
        <v>1510</v>
      </c>
      <c r="C202" s="4" t="b">
        <v>1</v>
      </c>
      <c r="D202" s="4" t="b">
        <v>0</v>
      </c>
      <c r="E202" s="4" t="b">
        <v>1</v>
      </c>
      <c r="F202" s="4" t="s">
        <v>12</v>
      </c>
      <c r="G202" s="4" t="b">
        <v>1</v>
      </c>
      <c r="H202" s="4"/>
      <c r="I202" s="4" t="s">
        <v>98</v>
      </c>
    </row>
    <row r="203" spans="1:9" ht="48" x14ac:dyDescent="0.2">
      <c r="A203" s="11" t="s">
        <v>1511</v>
      </c>
      <c r="B203" s="11" t="s">
        <v>1512</v>
      </c>
      <c r="C203" s="4" t="b">
        <v>1</v>
      </c>
      <c r="D203" s="4" t="b">
        <v>0</v>
      </c>
      <c r="E203" s="4" t="b">
        <v>1</v>
      </c>
      <c r="F203" s="4" t="s">
        <v>12</v>
      </c>
      <c r="G203" s="4" t="b">
        <v>1</v>
      </c>
      <c r="H203" s="4" t="s">
        <v>3297</v>
      </c>
      <c r="I203" s="4" t="s">
        <v>98</v>
      </c>
    </row>
    <row r="204" spans="1:9" ht="80" x14ac:dyDescent="0.2">
      <c r="A204" s="11" t="s">
        <v>1519</v>
      </c>
      <c r="B204" s="11" t="s">
        <v>1520</v>
      </c>
      <c r="C204" s="4" t="b">
        <v>1</v>
      </c>
      <c r="D204" s="4" t="b">
        <v>0</v>
      </c>
      <c r="E204" s="4" t="b">
        <v>1</v>
      </c>
      <c r="F204" s="4" t="s">
        <v>12</v>
      </c>
      <c r="G204" s="4" t="b">
        <v>1</v>
      </c>
      <c r="H204" s="4" t="s">
        <v>3296</v>
      </c>
      <c r="I204" s="4" t="s">
        <v>98</v>
      </c>
    </row>
    <row r="205" spans="1:9" ht="32" x14ac:dyDescent="0.2">
      <c r="A205" s="11" t="s">
        <v>1527</v>
      </c>
      <c r="B205" s="11" t="s">
        <v>1528</v>
      </c>
      <c r="C205" s="4" t="b">
        <v>1</v>
      </c>
      <c r="D205" s="4" t="b">
        <v>0</v>
      </c>
      <c r="E205" s="4" t="b">
        <v>1</v>
      </c>
      <c r="F205" s="4" t="s">
        <v>12</v>
      </c>
      <c r="G205" s="4" t="b">
        <v>1</v>
      </c>
      <c r="H205" s="4" t="s">
        <v>3295</v>
      </c>
      <c r="I205" s="4" t="s">
        <v>98</v>
      </c>
    </row>
    <row r="206" spans="1:9" ht="128" x14ac:dyDescent="0.2">
      <c r="A206" s="11" t="s">
        <v>1539</v>
      </c>
      <c r="B206" s="11" t="s">
        <v>1540</v>
      </c>
      <c r="C206" s="4" t="b">
        <v>1</v>
      </c>
      <c r="D206" s="4" t="b">
        <v>0</v>
      </c>
      <c r="E206" s="4" t="b">
        <v>1</v>
      </c>
      <c r="F206" s="4" t="s">
        <v>12</v>
      </c>
      <c r="G206" s="4" t="b">
        <v>1</v>
      </c>
      <c r="H206" s="4" t="s">
        <v>3293</v>
      </c>
      <c r="I206" s="4" t="s">
        <v>98</v>
      </c>
    </row>
    <row r="207" spans="1:9" ht="48" x14ac:dyDescent="0.2">
      <c r="A207" s="11" t="s">
        <v>1547</v>
      </c>
      <c r="B207" s="11" t="s">
        <v>1548</v>
      </c>
      <c r="C207" s="4" t="b">
        <v>1</v>
      </c>
      <c r="D207" s="4" t="b">
        <v>0</v>
      </c>
      <c r="E207" s="4" t="b">
        <v>1</v>
      </c>
      <c r="F207" s="4" t="s">
        <v>12</v>
      </c>
      <c r="G207" s="4" t="b">
        <v>1</v>
      </c>
      <c r="H207" s="4" t="s">
        <v>3292</v>
      </c>
      <c r="I207" s="4" t="s">
        <v>98</v>
      </c>
    </row>
    <row r="208" spans="1:9" ht="160" x14ac:dyDescent="0.2">
      <c r="A208" s="11" t="s">
        <v>1549</v>
      </c>
      <c r="B208" s="11" t="s">
        <v>1550</v>
      </c>
      <c r="C208" s="4" t="b">
        <v>1</v>
      </c>
      <c r="D208" s="4" t="b">
        <v>0</v>
      </c>
      <c r="E208" s="4" t="b">
        <v>1</v>
      </c>
      <c r="F208" s="4" t="s">
        <v>12</v>
      </c>
      <c r="G208" s="4" t="b">
        <v>1</v>
      </c>
      <c r="H208" s="4" t="s">
        <v>3291</v>
      </c>
      <c r="I208" s="4" t="s">
        <v>98</v>
      </c>
    </row>
    <row r="209" spans="1:10" ht="128" x14ac:dyDescent="0.2">
      <c r="A209" s="11" t="s">
        <v>1551</v>
      </c>
      <c r="B209" s="11" t="s">
        <v>1552</v>
      </c>
      <c r="C209" s="4" t="b">
        <v>1</v>
      </c>
      <c r="D209" s="4" t="b">
        <v>0</v>
      </c>
      <c r="E209" s="4" t="b">
        <v>1</v>
      </c>
      <c r="F209" s="4" t="s">
        <v>12</v>
      </c>
      <c r="G209" s="4" t="b">
        <v>1</v>
      </c>
      <c r="H209" s="4" t="s">
        <v>3290</v>
      </c>
      <c r="I209" s="4" t="s">
        <v>98</v>
      </c>
    </row>
    <row r="210" spans="1:10" ht="48" x14ac:dyDescent="0.2">
      <c r="A210" s="11" t="s">
        <v>1555</v>
      </c>
      <c r="B210" s="11" t="s">
        <v>1556</v>
      </c>
      <c r="C210" s="4" t="b">
        <v>1</v>
      </c>
      <c r="D210" s="4" t="b">
        <v>0</v>
      </c>
      <c r="E210" s="4" t="b">
        <v>1</v>
      </c>
      <c r="F210" s="4" t="s">
        <v>12</v>
      </c>
      <c r="G210" s="4" t="b">
        <v>1</v>
      </c>
      <c r="H210" s="4" t="s">
        <v>3289</v>
      </c>
      <c r="I210" s="4" t="s">
        <v>98</v>
      </c>
    </row>
    <row r="211" spans="1:10" ht="32" x14ac:dyDescent="0.2">
      <c r="A211" s="11" t="s">
        <v>1573</v>
      </c>
      <c r="B211" s="11" t="s">
        <v>1574</v>
      </c>
      <c r="C211" s="4" t="b">
        <v>1</v>
      </c>
      <c r="D211" s="4" t="b">
        <v>0</v>
      </c>
      <c r="E211" s="4" t="b">
        <v>1</v>
      </c>
      <c r="F211" s="4" t="s">
        <v>12</v>
      </c>
      <c r="G211" s="4" t="b">
        <v>1</v>
      </c>
      <c r="H211" s="4" t="s">
        <v>3286</v>
      </c>
      <c r="I211" s="4" t="s">
        <v>98</v>
      </c>
    </row>
    <row r="212" spans="1:10" ht="160" x14ac:dyDescent="0.2">
      <c r="A212" s="11" t="s">
        <v>1577</v>
      </c>
      <c r="B212" s="11" t="s">
        <v>1578</v>
      </c>
      <c r="C212" s="4" t="b">
        <v>1</v>
      </c>
      <c r="D212" s="4" t="b">
        <v>0</v>
      </c>
      <c r="E212" s="4" t="b">
        <v>1</v>
      </c>
      <c r="F212" s="4" t="s">
        <v>12</v>
      </c>
      <c r="G212" s="4" t="b">
        <v>1</v>
      </c>
      <c r="H212" s="4" t="s">
        <v>3285</v>
      </c>
      <c r="I212" s="4" t="s">
        <v>98</v>
      </c>
    </row>
    <row r="213" spans="1:10" ht="48" x14ac:dyDescent="0.2">
      <c r="A213" s="11" t="s">
        <v>1583</v>
      </c>
      <c r="B213" s="11" t="s">
        <v>1584</v>
      </c>
      <c r="C213" s="4" t="b">
        <v>1</v>
      </c>
      <c r="D213" s="4" t="b">
        <v>0</v>
      </c>
      <c r="E213" s="4" t="b">
        <v>1</v>
      </c>
      <c r="F213" s="4" t="s">
        <v>12</v>
      </c>
      <c r="G213" s="4" t="b">
        <v>1</v>
      </c>
      <c r="H213" s="4" t="s">
        <v>3284</v>
      </c>
      <c r="I213" s="4" t="s">
        <v>98</v>
      </c>
    </row>
    <row r="214" spans="1:10" ht="48" x14ac:dyDescent="0.2">
      <c r="A214" s="11" t="s">
        <v>1595</v>
      </c>
      <c r="B214" s="11" t="s">
        <v>1596</v>
      </c>
      <c r="C214" s="4" t="b">
        <v>1</v>
      </c>
      <c r="D214" s="4" t="b">
        <v>0</v>
      </c>
      <c r="E214" s="4" t="b">
        <v>1</v>
      </c>
      <c r="F214" s="4" t="s">
        <v>12</v>
      </c>
      <c r="G214" s="4" t="b">
        <v>1</v>
      </c>
      <c r="H214" s="4" t="s">
        <v>3283</v>
      </c>
      <c r="I214" s="4" t="s">
        <v>98</v>
      </c>
    </row>
    <row r="215" spans="1:10" ht="32" x14ac:dyDescent="0.2">
      <c r="A215" s="11" t="s">
        <v>1601</v>
      </c>
      <c r="B215" s="11" t="s">
        <v>1602</v>
      </c>
      <c r="C215" s="4" t="b">
        <v>1</v>
      </c>
      <c r="D215" s="4" t="b">
        <v>0</v>
      </c>
      <c r="E215" s="4" t="b">
        <v>1</v>
      </c>
      <c r="F215" s="4" t="s">
        <v>12</v>
      </c>
      <c r="G215" s="4" t="b">
        <v>1</v>
      </c>
      <c r="H215" s="4" t="s">
        <v>3282</v>
      </c>
      <c r="I215" s="4" t="s">
        <v>98</v>
      </c>
    </row>
    <row r="216" spans="1:10" ht="176" x14ac:dyDescent="0.2">
      <c r="A216" s="11" t="s">
        <v>1603</v>
      </c>
      <c r="B216" s="11" t="s">
        <v>1604</v>
      </c>
      <c r="C216" s="4" t="b">
        <v>1</v>
      </c>
      <c r="D216" s="4" t="b">
        <v>0</v>
      </c>
      <c r="E216" s="4" t="b">
        <v>1</v>
      </c>
      <c r="F216" s="4" t="s">
        <v>12</v>
      </c>
      <c r="G216" s="4" t="b">
        <v>1</v>
      </c>
      <c r="H216" s="4" t="s">
        <v>3281</v>
      </c>
      <c r="I216" s="4" t="s">
        <v>98</v>
      </c>
    </row>
    <row r="217" spans="1:10" ht="128" x14ac:dyDescent="0.2">
      <c r="A217" s="11" t="s">
        <v>1611</v>
      </c>
      <c r="B217" s="11" t="s">
        <v>1612</v>
      </c>
      <c r="C217" s="4" t="b">
        <v>1</v>
      </c>
      <c r="D217" s="4" t="b">
        <v>0</v>
      </c>
      <c r="E217" s="4" t="b">
        <v>1</v>
      </c>
      <c r="F217" s="4" t="s">
        <v>12</v>
      </c>
      <c r="G217" s="4" t="b">
        <v>1</v>
      </c>
      <c r="H217" s="4" t="s">
        <v>3280</v>
      </c>
      <c r="I217" s="4" t="s">
        <v>98</v>
      </c>
    </row>
    <row r="218" spans="1:10" ht="80" x14ac:dyDescent="0.2">
      <c r="A218" s="11" t="s">
        <v>1617</v>
      </c>
      <c r="B218" s="11" t="s">
        <v>1618</v>
      </c>
      <c r="C218" s="4" t="b">
        <v>1</v>
      </c>
      <c r="D218" s="4" t="b">
        <v>0</v>
      </c>
      <c r="E218" s="4" t="b">
        <v>1</v>
      </c>
      <c r="F218" s="4" t="s">
        <v>12</v>
      </c>
      <c r="G218" s="4" t="b">
        <v>1</v>
      </c>
      <c r="H218" s="4" t="s">
        <v>3278</v>
      </c>
      <c r="I218" s="4" t="s">
        <v>98</v>
      </c>
    </row>
    <row r="219" spans="1:10" ht="32" x14ac:dyDescent="0.2">
      <c r="A219" s="11" t="s">
        <v>1629</v>
      </c>
      <c r="B219" s="11" t="s">
        <v>1630</v>
      </c>
      <c r="C219" s="4" t="b">
        <v>1</v>
      </c>
      <c r="D219" s="4" t="b">
        <v>0</v>
      </c>
      <c r="E219" s="4" t="b">
        <v>1</v>
      </c>
      <c r="F219" s="4" t="s">
        <v>12</v>
      </c>
      <c r="G219" s="4" t="b">
        <v>1</v>
      </c>
      <c r="H219" s="4" t="s">
        <v>3276</v>
      </c>
      <c r="I219" s="4" t="s">
        <v>98</v>
      </c>
    </row>
    <row r="220" spans="1:10" ht="32" x14ac:dyDescent="0.2">
      <c r="A220" s="11" t="s">
        <v>1639</v>
      </c>
      <c r="B220" s="11" t="s">
        <v>1640</v>
      </c>
      <c r="C220" s="4" t="b">
        <v>1</v>
      </c>
      <c r="D220" s="4" t="b">
        <v>0</v>
      </c>
      <c r="E220" s="4" t="b">
        <v>1</v>
      </c>
      <c r="F220" s="4" t="s">
        <v>12</v>
      </c>
      <c r="G220" s="4" t="b">
        <v>1</v>
      </c>
      <c r="H220" s="4" t="s">
        <v>3267</v>
      </c>
      <c r="I220" s="4" t="s">
        <v>98</v>
      </c>
    </row>
    <row r="221" spans="1:10" ht="48" x14ac:dyDescent="0.2">
      <c r="A221" s="11" t="s">
        <v>1641</v>
      </c>
      <c r="B221" s="11" t="s">
        <v>1642</v>
      </c>
      <c r="C221" s="4" t="b">
        <v>1</v>
      </c>
      <c r="D221" s="4" t="b">
        <v>0</v>
      </c>
      <c r="E221" s="4" t="b">
        <v>1</v>
      </c>
      <c r="F221" s="4" t="s">
        <v>12</v>
      </c>
      <c r="G221" s="4" t="b">
        <v>1</v>
      </c>
      <c r="H221" s="4" t="s">
        <v>3274</v>
      </c>
      <c r="I221" s="4" t="s">
        <v>98</v>
      </c>
    </row>
    <row r="222" spans="1:10" ht="64" x14ac:dyDescent="0.2">
      <c r="A222" s="11" t="s">
        <v>1647</v>
      </c>
      <c r="B222" s="11" t="s">
        <v>1648</v>
      </c>
      <c r="C222" s="4" t="b">
        <v>1</v>
      </c>
      <c r="D222" s="4" t="b">
        <v>0</v>
      </c>
      <c r="E222" s="4" t="b">
        <v>1</v>
      </c>
      <c r="F222" s="4" t="s">
        <v>12</v>
      </c>
      <c r="G222" s="4" t="b">
        <v>1</v>
      </c>
      <c r="H222" s="4" t="s">
        <v>3272</v>
      </c>
      <c r="I222" s="4" t="s">
        <v>98</v>
      </c>
    </row>
    <row r="223" spans="1:10" ht="32" x14ac:dyDescent="0.2">
      <c r="A223" s="11" t="s">
        <v>1649</v>
      </c>
      <c r="B223" s="11" t="s">
        <v>1650</v>
      </c>
      <c r="C223" s="4" t="b">
        <v>1</v>
      </c>
      <c r="D223" s="4" t="b">
        <v>0</v>
      </c>
      <c r="E223" s="4" t="b">
        <v>1</v>
      </c>
      <c r="F223" s="4" t="s">
        <v>12</v>
      </c>
      <c r="G223" s="4" t="b">
        <v>1</v>
      </c>
      <c r="H223" s="4" t="s">
        <v>3271</v>
      </c>
      <c r="I223" s="4" t="s">
        <v>98</v>
      </c>
    </row>
    <row r="224" spans="1:10" ht="32" x14ac:dyDescent="0.2">
      <c r="A224" s="11" t="s">
        <v>1651</v>
      </c>
      <c r="B224" s="11" t="s">
        <v>1652</v>
      </c>
      <c r="C224" s="4" t="b">
        <v>1</v>
      </c>
      <c r="D224" s="4" t="b">
        <v>0</v>
      </c>
      <c r="E224" s="4" t="b">
        <v>1</v>
      </c>
      <c r="F224" s="4" t="s">
        <v>12</v>
      </c>
      <c r="G224" s="4" t="b">
        <v>1</v>
      </c>
      <c r="H224" s="4" t="s">
        <v>3122</v>
      </c>
      <c r="I224" s="4" t="s">
        <v>94</v>
      </c>
      <c r="J224" s="1"/>
    </row>
    <row r="225" spans="1:10" ht="85" x14ac:dyDescent="0.25">
      <c r="A225" s="11" t="s">
        <v>1653</v>
      </c>
      <c r="B225" s="11" t="s">
        <v>1654</v>
      </c>
      <c r="C225" s="4" t="b">
        <v>1</v>
      </c>
      <c r="D225" s="4" t="b">
        <v>0</v>
      </c>
      <c r="E225" s="4" t="b">
        <v>1</v>
      </c>
      <c r="F225" s="4" t="s">
        <v>12</v>
      </c>
      <c r="G225" s="4" t="b">
        <v>1</v>
      </c>
      <c r="H225" s="16" t="s">
        <v>3121</v>
      </c>
      <c r="I225" s="4" t="s">
        <v>94</v>
      </c>
      <c r="J225" s="1"/>
    </row>
    <row r="226" spans="1:10" ht="64" x14ac:dyDescent="0.2">
      <c r="A226" s="11" t="s">
        <v>1655</v>
      </c>
      <c r="B226" s="11" t="s">
        <v>1656</v>
      </c>
      <c r="C226" s="4" t="b">
        <v>1</v>
      </c>
      <c r="D226" s="4" t="b">
        <v>0</v>
      </c>
      <c r="E226" s="4" t="b">
        <v>1</v>
      </c>
      <c r="F226" s="4" t="s">
        <v>12</v>
      </c>
      <c r="G226" s="4" t="b">
        <v>1</v>
      </c>
      <c r="H226" s="4" t="s">
        <v>3120</v>
      </c>
      <c r="I226" s="4" t="s">
        <v>94</v>
      </c>
      <c r="J226" s="1"/>
    </row>
    <row r="227" spans="1:10" ht="80" x14ac:dyDescent="0.2">
      <c r="A227" s="11" t="s">
        <v>1665</v>
      </c>
      <c r="B227" s="11" t="s">
        <v>1666</v>
      </c>
      <c r="C227" s="4" t="b">
        <v>1</v>
      </c>
      <c r="D227" s="4" t="b">
        <v>0</v>
      </c>
      <c r="E227" s="4" t="b">
        <v>1</v>
      </c>
      <c r="F227" s="4" t="s">
        <v>12</v>
      </c>
      <c r="G227" s="4" t="b">
        <v>1</v>
      </c>
      <c r="H227" s="4" t="s">
        <v>3119</v>
      </c>
      <c r="I227" s="4" t="s">
        <v>94</v>
      </c>
      <c r="J227" s="1"/>
    </row>
    <row r="228" spans="1:10" ht="32" x14ac:dyDescent="0.2">
      <c r="A228" s="11" t="s">
        <v>1673</v>
      </c>
      <c r="B228" s="11" t="s">
        <v>1674</v>
      </c>
      <c r="C228" s="4" t="b">
        <v>1</v>
      </c>
      <c r="D228" s="4" t="b">
        <v>0</v>
      </c>
      <c r="E228" s="4" t="b">
        <v>1</v>
      </c>
      <c r="F228" s="4" t="s">
        <v>12</v>
      </c>
      <c r="G228" s="4" t="b">
        <v>1</v>
      </c>
      <c r="H228" s="4"/>
      <c r="I228" s="4" t="s">
        <v>94</v>
      </c>
      <c r="J228" s="1"/>
    </row>
    <row r="229" spans="1:10" ht="128" x14ac:dyDescent="0.2">
      <c r="A229" s="11" t="s">
        <v>1689</v>
      </c>
      <c r="B229" s="11" t="s">
        <v>1690</v>
      </c>
      <c r="C229" s="4" t="b">
        <v>1</v>
      </c>
      <c r="D229" s="4" t="b">
        <v>0</v>
      </c>
      <c r="E229" s="4" t="b">
        <v>1</v>
      </c>
      <c r="F229" s="4" t="s">
        <v>12</v>
      </c>
      <c r="G229" s="4" t="b">
        <v>1</v>
      </c>
      <c r="H229" s="4" t="s">
        <v>3114</v>
      </c>
      <c r="I229" s="4" t="s">
        <v>94</v>
      </c>
      <c r="J229" s="1"/>
    </row>
    <row r="230" spans="1:10" ht="144" x14ac:dyDescent="0.2">
      <c r="A230" s="11" t="s">
        <v>1699</v>
      </c>
      <c r="B230" s="11" t="s">
        <v>1700</v>
      </c>
      <c r="C230" s="4" t="b">
        <v>1</v>
      </c>
      <c r="D230" s="4" t="b">
        <v>0</v>
      </c>
      <c r="E230" s="4" t="b">
        <v>1</v>
      </c>
      <c r="F230" s="4" t="s">
        <v>12</v>
      </c>
      <c r="G230" s="4" t="b">
        <v>1</v>
      </c>
      <c r="H230" s="1" t="s">
        <v>3113</v>
      </c>
      <c r="I230" s="4" t="s">
        <v>94</v>
      </c>
      <c r="J230" s="1" t="s">
        <v>2998</v>
      </c>
    </row>
    <row r="231" spans="1:10" ht="48" x14ac:dyDescent="0.2">
      <c r="A231" s="11" t="s">
        <v>1701</v>
      </c>
      <c r="B231" s="11" t="s">
        <v>1702</v>
      </c>
      <c r="C231" s="4" t="b">
        <v>1</v>
      </c>
      <c r="D231" s="4" t="b">
        <v>0</v>
      </c>
      <c r="E231" s="4" t="b">
        <v>1</v>
      </c>
      <c r="F231" s="4" t="s">
        <v>12</v>
      </c>
      <c r="G231" s="4" t="b">
        <v>1</v>
      </c>
      <c r="H231" s="4" t="s">
        <v>3112</v>
      </c>
      <c r="I231" s="4" t="s">
        <v>94</v>
      </c>
      <c r="J231" s="1"/>
    </row>
    <row r="232" spans="1:10" ht="48" x14ac:dyDescent="0.2">
      <c r="A232" s="11" t="s">
        <v>1705</v>
      </c>
      <c r="B232" s="11" t="s">
        <v>1706</v>
      </c>
      <c r="C232" s="4" t="b">
        <v>1</v>
      </c>
      <c r="D232" s="4" t="b">
        <v>0</v>
      </c>
      <c r="E232" s="4" t="b">
        <v>1</v>
      </c>
      <c r="F232" s="4" t="s">
        <v>12</v>
      </c>
      <c r="G232" s="4" t="b">
        <v>1</v>
      </c>
      <c r="H232" s="4" t="s">
        <v>3111</v>
      </c>
      <c r="I232" s="4" t="s">
        <v>94</v>
      </c>
      <c r="J232" s="1" t="s">
        <v>2998</v>
      </c>
    </row>
    <row r="233" spans="1:10" ht="64" x14ac:dyDescent="0.2">
      <c r="A233" s="11" t="s">
        <v>1707</v>
      </c>
      <c r="B233" s="11" t="s">
        <v>1708</v>
      </c>
      <c r="C233" s="4" t="b">
        <v>1</v>
      </c>
      <c r="D233" s="4" t="b">
        <v>0</v>
      </c>
      <c r="E233" s="4" t="b">
        <v>1</v>
      </c>
      <c r="F233" s="4" t="s">
        <v>12</v>
      </c>
      <c r="G233" s="4" t="b">
        <v>1</v>
      </c>
      <c r="H233" s="4" t="s">
        <v>3110</v>
      </c>
      <c r="I233" s="4" t="s">
        <v>94</v>
      </c>
      <c r="J233" s="1"/>
    </row>
    <row r="234" spans="1:10" ht="96" x14ac:dyDescent="0.2">
      <c r="A234" s="11" t="s">
        <v>1721</v>
      </c>
      <c r="B234" s="11" t="s">
        <v>1722</v>
      </c>
      <c r="C234" s="4" t="b">
        <v>1</v>
      </c>
      <c r="D234" s="4" t="b">
        <v>0</v>
      </c>
      <c r="E234" s="4" t="b">
        <v>1</v>
      </c>
      <c r="F234" s="4" t="s">
        <v>12</v>
      </c>
      <c r="G234" s="4" t="b">
        <v>1</v>
      </c>
      <c r="H234" s="4" t="s">
        <v>3109</v>
      </c>
      <c r="I234" s="4" t="s">
        <v>94</v>
      </c>
      <c r="J234" s="1"/>
    </row>
    <row r="235" spans="1:10" ht="208" x14ac:dyDescent="0.2">
      <c r="A235" s="11" t="s">
        <v>1723</v>
      </c>
      <c r="B235" s="11" t="s">
        <v>1724</v>
      </c>
      <c r="C235" s="4" t="b">
        <v>1</v>
      </c>
      <c r="D235" s="4" t="b">
        <v>0</v>
      </c>
      <c r="E235" s="4" t="b">
        <v>1</v>
      </c>
      <c r="F235" s="4" t="s">
        <v>12</v>
      </c>
      <c r="G235" s="4" t="b">
        <v>1</v>
      </c>
      <c r="H235" s="4" t="s">
        <v>3108</v>
      </c>
      <c r="I235" s="4" t="s">
        <v>94</v>
      </c>
      <c r="J235" s="1"/>
    </row>
    <row r="236" spans="1:10" ht="64" x14ac:dyDescent="0.2">
      <c r="A236" s="11" t="s">
        <v>1735</v>
      </c>
      <c r="B236" s="11" t="s">
        <v>1736</v>
      </c>
      <c r="C236" s="4" t="b">
        <v>1</v>
      </c>
      <c r="D236" s="4" t="b">
        <v>0</v>
      </c>
      <c r="E236" s="4" t="b">
        <v>1</v>
      </c>
      <c r="F236" s="4" t="s">
        <v>12</v>
      </c>
      <c r="G236" s="4" t="b">
        <v>1</v>
      </c>
      <c r="H236" s="4" t="s">
        <v>3105</v>
      </c>
      <c r="I236" s="4" t="s">
        <v>94</v>
      </c>
      <c r="J236" s="1" t="s">
        <v>2998</v>
      </c>
    </row>
    <row r="237" spans="1:10" ht="128" x14ac:dyDescent="0.2">
      <c r="A237" s="11" t="s">
        <v>1737</v>
      </c>
      <c r="B237" s="11" t="s">
        <v>1738</v>
      </c>
      <c r="C237" s="4" t="b">
        <v>1</v>
      </c>
      <c r="D237" s="4" t="b">
        <v>0</v>
      </c>
      <c r="E237" s="4" t="b">
        <v>1</v>
      </c>
      <c r="F237" s="4" t="s">
        <v>12</v>
      </c>
      <c r="G237" s="4" t="b">
        <v>1</v>
      </c>
      <c r="H237" s="4" t="s">
        <v>3100</v>
      </c>
      <c r="I237" s="4" t="s">
        <v>94</v>
      </c>
      <c r="J237" s="1"/>
    </row>
    <row r="238" spans="1:10" ht="224" x14ac:dyDescent="0.2">
      <c r="A238" s="11" t="s">
        <v>1741</v>
      </c>
      <c r="B238" s="11" t="s">
        <v>1742</v>
      </c>
      <c r="C238" s="4" t="b">
        <v>1</v>
      </c>
      <c r="D238" s="4" t="b">
        <v>0</v>
      </c>
      <c r="E238" s="4" t="b">
        <v>1</v>
      </c>
      <c r="F238" s="4" t="s">
        <v>12</v>
      </c>
      <c r="G238" s="4" t="b">
        <v>1</v>
      </c>
      <c r="H238" s="4" t="s">
        <v>3098</v>
      </c>
      <c r="I238" s="4" t="s">
        <v>94</v>
      </c>
      <c r="J238" s="1" t="s">
        <v>2998</v>
      </c>
    </row>
    <row r="239" spans="1:10" ht="32" x14ac:dyDescent="0.2">
      <c r="A239" s="11" t="s">
        <v>1751</v>
      </c>
      <c r="B239" s="11" t="s">
        <v>1752</v>
      </c>
      <c r="C239" s="4" t="b">
        <v>1</v>
      </c>
      <c r="D239" s="4" t="b">
        <v>0</v>
      </c>
      <c r="E239" s="4" t="b">
        <v>1</v>
      </c>
      <c r="F239" s="4" t="s">
        <v>12</v>
      </c>
      <c r="G239" s="4" t="b">
        <v>1</v>
      </c>
      <c r="H239" s="4" t="s">
        <v>3097</v>
      </c>
      <c r="I239" s="4" t="s">
        <v>94</v>
      </c>
      <c r="J239" s="1"/>
    </row>
    <row r="240" spans="1:10" ht="48" x14ac:dyDescent="0.2">
      <c r="A240" s="11" t="s">
        <v>1753</v>
      </c>
      <c r="B240" s="11" t="s">
        <v>1754</v>
      </c>
      <c r="C240" s="4" t="b">
        <v>1</v>
      </c>
      <c r="D240" s="4" t="b">
        <v>0</v>
      </c>
      <c r="E240" s="4" t="b">
        <v>1</v>
      </c>
      <c r="F240" s="4" t="s">
        <v>12</v>
      </c>
      <c r="G240" s="4" t="b">
        <v>1</v>
      </c>
      <c r="H240" s="4"/>
      <c r="I240" s="4" t="s">
        <v>94</v>
      </c>
      <c r="J240" s="1"/>
    </row>
    <row r="241" spans="1:10" ht="96" x14ac:dyDescent="0.2">
      <c r="A241" s="11" t="s">
        <v>1757</v>
      </c>
      <c r="B241" s="11" t="s">
        <v>1758</v>
      </c>
      <c r="C241" s="4" t="b">
        <v>1</v>
      </c>
      <c r="D241" s="4" t="b">
        <v>0</v>
      </c>
      <c r="E241" s="4" t="b">
        <v>1</v>
      </c>
      <c r="F241" s="4" t="s">
        <v>12</v>
      </c>
      <c r="G241" s="4" t="b">
        <v>1</v>
      </c>
      <c r="H241" s="4" t="s">
        <v>3096</v>
      </c>
      <c r="I241" s="4" t="s">
        <v>94</v>
      </c>
      <c r="J241" s="1"/>
    </row>
    <row r="242" spans="1:10" ht="48" x14ac:dyDescent="0.2">
      <c r="A242" s="11" t="s">
        <v>1771</v>
      </c>
      <c r="B242" s="11" t="s">
        <v>1772</v>
      </c>
      <c r="C242" s="4" t="b">
        <v>1</v>
      </c>
      <c r="D242" s="4" t="b">
        <v>0</v>
      </c>
      <c r="E242" s="4" t="b">
        <v>1</v>
      </c>
      <c r="F242" s="4" t="s">
        <v>12</v>
      </c>
      <c r="G242" s="4" t="b">
        <v>1</v>
      </c>
      <c r="H242" s="4" t="s">
        <v>3070</v>
      </c>
      <c r="I242" s="4" t="s">
        <v>94</v>
      </c>
      <c r="J242" s="1"/>
    </row>
    <row r="243" spans="1:10" ht="16" x14ac:dyDescent="0.2">
      <c r="A243" s="11" t="s">
        <v>1773</v>
      </c>
      <c r="B243" s="11" t="s">
        <v>1774</v>
      </c>
      <c r="C243" s="4" t="b">
        <v>1</v>
      </c>
      <c r="D243" s="4" t="b">
        <v>0</v>
      </c>
      <c r="E243" s="4" t="b">
        <v>1</v>
      </c>
      <c r="F243" s="4" t="s">
        <v>12</v>
      </c>
      <c r="G243" s="4" t="b">
        <v>1</v>
      </c>
      <c r="H243" s="4"/>
      <c r="I243" s="4" t="s">
        <v>94</v>
      </c>
      <c r="J243" s="1"/>
    </row>
    <row r="244" spans="1:10" ht="64" x14ac:dyDescent="0.2">
      <c r="A244" s="11" t="s">
        <v>1775</v>
      </c>
      <c r="B244" s="11" t="s">
        <v>1776</v>
      </c>
      <c r="C244" s="4" t="b">
        <v>1</v>
      </c>
      <c r="D244" s="4" t="b">
        <v>0</v>
      </c>
      <c r="E244" s="4" t="b">
        <v>1</v>
      </c>
      <c r="F244" s="4" t="s">
        <v>12</v>
      </c>
      <c r="G244" s="4" t="b">
        <v>1</v>
      </c>
      <c r="H244" s="4" t="s">
        <v>3069</v>
      </c>
      <c r="I244" s="4" t="s">
        <v>94</v>
      </c>
      <c r="J244" s="1"/>
    </row>
    <row r="245" spans="1:10" ht="32" x14ac:dyDescent="0.2">
      <c r="A245" s="11" t="s">
        <v>1785</v>
      </c>
      <c r="B245" s="11" t="s">
        <v>1786</v>
      </c>
      <c r="C245" s="4" t="b">
        <v>1</v>
      </c>
      <c r="D245" s="4" t="b">
        <v>0</v>
      </c>
      <c r="E245" s="4" t="b">
        <v>1</v>
      </c>
      <c r="F245" s="4" t="s">
        <v>12</v>
      </c>
      <c r="G245" s="4" t="b">
        <v>1</v>
      </c>
      <c r="H245" s="4"/>
      <c r="I245" s="4" t="s">
        <v>1309</v>
      </c>
      <c r="J245" s="1"/>
    </row>
    <row r="246" spans="1:10" ht="224" x14ac:dyDescent="0.2">
      <c r="A246" s="11" t="s">
        <v>1801</v>
      </c>
      <c r="B246" s="11" t="s">
        <v>1802</v>
      </c>
      <c r="C246" s="4" t="b">
        <v>1</v>
      </c>
      <c r="D246" s="4" t="b">
        <v>0</v>
      </c>
      <c r="E246" s="4" t="b">
        <v>1</v>
      </c>
      <c r="F246" s="4" t="s">
        <v>12</v>
      </c>
      <c r="G246" s="4" t="b">
        <v>1</v>
      </c>
      <c r="H246" s="4" t="s">
        <v>3067</v>
      </c>
      <c r="I246" s="4" t="s">
        <v>1309</v>
      </c>
      <c r="J246" s="1"/>
    </row>
    <row r="247" spans="1:10" ht="160" x14ac:dyDescent="0.2">
      <c r="A247" s="11" t="s">
        <v>1803</v>
      </c>
      <c r="B247" s="11" t="s">
        <v>1804</v>
      </c>
      <c r="C247" s="4" t="b">
        <v>1</v>
      </c>
      <c r="D247" s="4" t="b">
        <v>0</v>
      </c>
      <c r="E247" s="4" t="b">
        <v>1</v>
      </c>
      <c r="F247" s="4" t="s">
        <v>12</v>
      </c>
      <c r="G247" s="4" t="b">
        <v>1</v>
      </c>
      <c r="H247" s="4" t="s">
        <v>3066</v>
      </c>
      <c r="I247" s="4" t="s">
        <v>1309</v>
      </c>
      <c r="J247" s="1"/>
    </row>
    <row r="248" spans="1:10" ht="224" x14ac:dyDescent="0.2">
      <c r="A248" s="11" t="s">
        <v>1817</v>
      </c>
      <c r="B248" s="11" t="s">
        <v>1818</v>
      </c>
      <c r="C248" s="4" t="b">
        <v>1</v>
      </c>
      <c r="D248" s="4" t="b">
        <v>0</v>
      </c>
      <c r="E248" s="4" t="b">
        <v>1</v>
      </c>
      <c r="F248" s="4" t="s">
        <v>12</v>
      </c>
      <c r="G248" s="4" t="b">
        <v>1</v>
      </c>
      <c r="H248" s="4" t="s">
        <v>3064</v>
      </c>
      <c r="I248" s="4" t="s">
        <v>621</v>
      </c>
      <c r="J248" s="1"/>
    </row>
    <row r="249" spans="1:10" ht="48" x14ac:dyDescent="0.2">
      <c r="A249" s="11" t="s">
        <v>1837</v>
      </c>
      <c r="B249" s="11" t="s">
        <v>1838</v>
      </c>
      <c r="C249" s="4" t="b">
        <v>1</v>
      </c>
      <c r="D249" s="4" t="b">
        <v>0</v>
      </c>
      <c r="E249" s="4" t="b">
        <v>1</v>
      </c>
      <c r="F249" s="4" t="s">
        <v>12</v>
      </c>
      <c r="G249" s="4" t="b">
        <v>1</v>
      </c>
      <c r="H249" s="4" t="s">
        <v>3062</v>
      </c>
      <c r="I249" s="4" t="s">
        <v>621</v>
      </c>
      <c r="J249" s="1"/>
    </row>
    <row r="250" spans="1:10" ht="32" x14ac:dyDescent="0.2">
      <c r="A250" s="11" t="s">
        <v>1839</v>
      </c>
      <c r="B250" s="11" t="s">
        <v>1840</v>
      </c>
      <c r="C250" s="4" t="b">
        <v>1</v>
      </c>
      <c r="D250" s="4" t="b">
        <v>0</v>
      </c>
      <c r="E250" s="4" t="b">
        <v>1</v>
      </c>
      <c r="F250" s="4" t="s">
        <v>12</v>
      </c>
      <c r="G250" s="4" t="b">
        <v>1</v>
      </c>
      <c r="H250" s="4" t="s">
        <v>3060</v>
      </c>
      <c r="I250" s="4" t="s">
        <v>621</v>
      </c>
      <c r="J250" s="1"/>
    </row>
    <row r="251" spans="1:10" ht="32" x14ac:dyDescent="0.2">
      <c r="A251" s="11" t="s">
        <v>1851</v>
      </c>
      <c r="B251" s="11" t="s">
        <v>1852</v>
      </c>
      <c r="C251" s="4" t="b">
        <v>1</v>
      </c>
      <c r="D251" s="4" t="b">
        <v>0</v>
      </c>
      <c r="E251" s="4" t="b">
        <v>1</v>
      </c>
      <c r="F251" s="4" t="s">
        <v>12</v>
      </c>
      <c r="G251" s="4" t="b">
        <v>1</v>
      </c>
      <c r="H251" s="4" t="s">
        <v>3061</v>
      </c>
      <c r="I251" s="4" t="s">
        <v>621</v>
      </c>
      <c r="J251" s="1"/>
    </row>
    <row r="252" spans="1:10" ht="144" x14ac:dyDescent="0.2">
      <c r="A252" s="11" t="s">
        <v>1855</v>
      </c>
      <c r="B252" s="11" t="s">
        <v>1856</v>
      </c>
      <c r="C252" s="4" t="b">
        <v>1</v>
      </c>
      <c r="D252" s="4" t="b">
        <v>0</v>
      </c>
      <c r="E252" s="4" t="b">
        <v>1</v>
      </c>
      <c r="F252" s="4" t="s">
        <v>12</v>
      </c>
      <c r="G252" s="4" t="b">
        <v>1</v>
      </c>
      <c r="H252" s="4" t="s">
        <v>3059</v>
      </c>
      <c r="I252" s="4" t="s">
        <v>621</v>
      </c>
      <c r="J252" s="1"/>
    </row>
    <row r="253" spans="1:10" ht="32" x14ac:dyDescent="0.2">
      <c r="A253" s="11" t="s">
        <v>1857</v>
      </c>
      <c r="B253" s="11" t="s">
        <v>1858</v>
      </c>
      <c r="C253" s="4" t="b">
        <v>1</v>
      </c>
      <c r="D253" s="4" t="b">
        <v>0</v>
      </c>
      <c r="E253" s="4" t="b">
        <v>1</v>
      </c>
      <c r="F253" s="4" t="s">
        <v>12</v>
      </c>
      <c r="G253" s="4" t="b">
        <v>1</v>
      </c>
      <c r="H253" s="4"/>
      <c r="I253" s="4" t="s">
        <v>621</v>
      </c>
      <c r="J253" s="1"/>
    </row>
    <row r="254" spans="1:10" ht="48" x14ac:dyDescent="0.2">
      <c r="A254" s="11" t="s">
        <v>1867</v>
      </c>
      <c r="B254" s="11" t="s">
        <v>1868</v>
      </c>
      <c r="C254" s="4" t="b">
        <v>1</v>
      </c>
      <c r="D254" s="4" t="b">
        <v>0</v>
      </c>
      <c r="E254" s="4" t="b">
        <v>1</v>
      </c>
      <c r="F254" s="4" t="s">
        <v>12</v>
      </c>
      <c r="G254" s="4" t="b">
        <v>1</v>
      </c>
      <c r="H254" s="4" t="s">
        <v>3058</v>
      </c>
      <c r="I254" s="4" t="s">
        <v>621</v>
      </c>
      <c r="J254" s="1"/>
    </row>
    <row r="255" spans="1:10" ht="128" x14ac:dyDescent="0.2">
      <c r="A255" s="11" t="s">
        <v>1875</v>
      </c>
      <c r="B255" s="11" t="s">
        <v>1876</v>
      </c>
      <c r="C255" s="4" t="b">
        <v>1</v>
      </c>
      <c r="D255" s="4" t="b">
        <v>0</v>
      </c>
      <c r="E255" s="4" t="b">
        <v>1</v>
      </c>
      <c r="F255" s="4" t="s">
        <v>12</v>
      </c>
      <c r="G255" s="4" t="b">
        <v>1</v>
      </c>
      <c r="H255" s="4" t="s">
        <v>3057</v>
      </c>
      <c r="I255" s="4" t="s">
        <v>621</v>
      </c>
      <c r="J255" s="1"/>
    </row>
    <row r="256" spans="1:10" ht="32" x14ac:dyDescent="0.2">
      <c r="A256" s="11" t="s">
        <v>1877</v>
      </c>
      <c r="B256" s="11" t="s">
        <v>1878</v>
      </c>
      <c r="C256" s="4" t="b">
        <v>1</v>
      </c>
      <c r="D256" s="4" t="b">
        <v>0</v>
      </c>
      <c r="E256" s="4" t="b">
        <v>1</v>
      </c>
      <c r="F256" s="4" t="s">
        <v>12</v>
      </c>
      <c r="G256" s="4" t="b">
        <v>1</v>
      </c>
      <c r="H256" s="4"/>
      <c r="I256" s="4" t="s">
        <v>621</v>
      </c>
      <c r="J256" s="1"/>
    </row>
    <row r="257" spans="1:10" ht="96" x14ac:dyDescent="0.2">
      <c r="A257" s="11" t="s">
        <v>1887</v>
      </c>
      <c r="B257" s="11" t="s">
        <v>1888</v>
      </c>
      <c r="C257" s="4" t="b">
        <v>1</v>
      </c>
      <c r="D257" s="4" t="b">
        <v>0</v>
      </c>
      <c r="E257" s="4" t="b">
        <v>1</v>
      </c>
      <c r="F257" s="4" t="s">
        <v>12</v>
      </c>
      <c r="G257" s="4" t="b">
        <v>1</v>
      </c>
      <c r="H257" s="4" t="s">
        <v>3054</v>
      </c>
      <c r="I257" s="4" t="s">
        <v>621</v>
      </c>
      <c r="J257" s="1"/>
    </row>
    <row r="258" spans="1:10" ht="48" x14ac:dyDescent="0.2">
      <c r="A258" s="11" t="s">
        <v>1889</v>
      </c>
      <c r="B258" s="11" t="s">
        <v>1890</v>
      </c>
      <c r="C258" s="4" t="b">
        <v>1</v>
      </c>
      <c r="D258" s="4" t="b">
        <v>0</v>
      </c>
      <c r="E258" s="4" t="b">
        <v>1</v>
      </c>
      <c r="F258" s="4" t="s">
        <v>12</v>
      </c>
      <c r="G258" s="4" t="b">
        <v>1</v>
      </c>
      <c r="H258" s="4" t="s">
        <v>3053</v>
      </c>
      <c r="I258" s="4" t="s">
        <v>621</v>
      </c>
      <c r="J258" s="1"/>
    </row>
    <row r="259" spans="1:10" ht="80" x14ac:dyDescent="0.2">
      <c r="A259" s="11" t="s">
        <v>1899</v>
      </c>
      <c r="B259" s="11" t="s">
        <v>1900</v>
      </c>
      <c r="C259" s="4" t="b">
        <v>1</v>
      </c>
      <c r="D259" s="4" t="b">
        <v>0</v>
      </c>
      <c r="E259" s="4" t="b">
        <v>1</v>
      </c>
      <c r="F259" s="4" t="s">
        <v>12</v>
      </c>
      <c r="G259" s="4" t="b">
        <v>1</v>
      </c>
      <c r="H259" s="4" t="s">
        <v>3051</v>
      </c>
      <c r="I259" s="4" t="s">
        <v>621</v>
      </c>
      <c r="J259" s="1"/>
    </row>
    <row r="260" spans="1:10" ht="32" x14ac:dyDescent="0.2">
      <c r="A260" s="11" t="s">
        <v>1913</v>
      </c>
      <c r="B260" s="11" t="s">
        <v>1914</v>
      </c>
      <c r="C260" s="4" t="b">
        <v>1</v>
      </c>
      <c r="D260" s="4" t="b">
        <v>0</v>
      </c>
      <c r="E260" s="4" t="b">
        <v>1</v>
      </c>
      <c r="F260" s="4" t="s">
        <v>12</v>
      </c>
      <c r="G260" s="4" t="b">
        <v>1</v>
      </c>
      <c r="H260" s="4"/>
      <c r="I260" s="4" t="s">
        <v>621</v>
      </c>
      <c r="J260" s="1"/>
    </row>
    <row r="261" spans="1:10" ht="32" x14ac:dyDescent="0.2">
      <c r="A261" s="11" t="s">
        <v>1919</v>
      </c>
      <c r="B261" s="11" t="s">
        <v>1920</v>
      </c>
      <c r="C261" s="4" t="b">
        <v>1</v>
      </c>
      <c r="D261" s="4" t="b">
        <v>0</v>
      </c>
      <c r="E261" s="4" t="b">
        <v>1</v>
      </c>
      <c r="F261" s="4" t="s">
        <v>12</v>
      </c>
      <c r="G261" s="4" t="b">
        <v>1</v>
      </c>
      <c r="H261" s="4" t="s">
        <v>2992</v>
      </c>
      <c r="I261" s="4" t="s">
        <v>621</v>
      </c>
      <c r="J261" s="1"/>
    </row>
    <row r="262" spans="1:10" ht="32" x14ac:dyDescent="0.2">
      <c r="A262" s="11" t="s">
        <v>1933</v>
      </c>
      <c r="B262" s="11" t="s">
        <v>1934</v>
      </c>
      <c r="C262" s="4" t="b">
        <v>1</v>
      </c>
      <c r="D262" s="4" t="b">
        <v>0</v>
      </c>
      <c r="E262" s="4" t="b">
        <v>1</v>
      </c>
      <c r="F262" s="4" t="s">
        <v>12</v>
      </c>
      <c r="G262" s="4" t="b">
        <v>1</v>
      </c>
      <c r="H262" s="4" t="s">
        <v>3046</v>
      </c>
      <c r="I262" s="4" t="s">
        <v>621</v>
      </c>
      <c r="J262" s="1"/>
    </row>
    <row r="263" spans="1:10" ht="32" x14ac:dyDescent="0.2">
      <c r="A263" s="11" t="s">
        <v>1945</v>
      </c>
      <c r="B263" s="11" t="s">
        <v>1946</v>
      </c>
      <c r="C263" s="4" t="b">
        <v>1</v>
      </c>
      <c r="D263" s="4" t="b">
        <v>0</v>
      </c>
      <c r="E263" s="4" t="b">
        <v>1</v>
      </c>
      <c r="F263" s="4" t="s">
        <v>12</v>
      </c>
      <c r="G263" s="4" t="b">
        <v>1</v>
      </c>
      <c r="H263" s="4" t="s">
        <v>3045</v>
      </c>
      <c r="I263" s="4" t="s">
        <v>621</v>
      </c>
      <c r="J263" s="1"/>
    </row>
    <row r="264" spans="1:10" ht="128" x14ac:dyDescent="0.2">
      <c r="A264" s="11" t="s">
        <v>1955</v>
      </c>
      <c r="B264" s="11" t="s">
        <v>1956</v>
      </c>
      <c r="C264" s="4" t="b">
        <v>1</v>
      </c>
      <c r="D264" s="4" t="b">
        <v>0</v>
      </c>
      <c r="E264" s="4" t="b">
        <v>1</v>
      </c>
      <c r="F264" s="4" t="s">
        <v>12</v>
      </c>
      <c r="G264" s="4" t="b">
        <v>1</v>
      </c>
      <c r="H264" s="4" t="s">
        <v>3044</v>
      </c>
      <c r="I264" s="4" t="s">
        <v>14</v>
      </c>
      <c r="J264" s="1"/>
    </row>
    <row r="265" spans="1:10" ht="64" x14ac:dyDescent="0.2">
      <c r="A265" s="11" t="s">
        <v>1957</v>
      </c>
      <c r="B265" s="11" t="s">
        <v>1958</v>
      </c>
      <c r="C265" s="4" t="b">
        <v>1</v>
      </c>
      <c r="D265" s="4" t="b">
        <v>0</v>
      </c>
      <c r="E265" s="4" t="b">
        <v>1</v>
      </c>
      <c r="F265" s="4" t="s">
        <v>12</v>
      </c>
      <c r="G265" s="4" t="b">
        <v>1</v>
      </c>
      <c r="H265" s="4" t="s">
        <v>3043</v>
      </c>
      <c r="I265" s="4" t="s">
        <v>14</v>
      </c>
      <c r="J265" s="1"/>
    </row>
    <row r="266" spans="1:10" ht="160" x14ac:dyDescent="0.2">
      <c r="A266" s="11" t="s">
        <v>1977</v>
      </c>
      <c r="B266" s="11" t="s">
        <v>1978</v>
      </c>
      <c r="C266" s="4" t="b">
        <v>1</v>
      </c>
      <c r="D266" s="4" t="b">
        <v>0</v>
      </c>
      <c r="E266" s="4" t="b">
        <v>1</v>
      </c>
      <c r="F266" s="4" t="s">
        <v>12</v>
      </c>
      <c r="G266" s="4" t="b">
        <v>1</v>
      </c>
      <c r="H266" s="4" t="s">
        <v>3040</v>
      </c>
      <c r="I266" s="4" t="s">
        <v>26</v>
      </c>
      <c r="J266" s="1" t="s">
        <v>2998</v>
      </c>
    </row>
    <row r="267" spans="1:10" ht="80" x14ac:dyDescent="0.2">
      <c r="A267" s="11" t="s">
        <v>1979</v>
      </c>
      <c r="B267" s="11" t="s">
        <v>1980</v>
      </c>
      <c r="C267" s="4" t="b">
        <v>1</v>
      </c>
      <c r="D267" s="4" t="b">
        <v>0</v>
      </c>
      <c r="E267" s="4" t="b">
        <v>1</v>
      </c>
      <c r="F267" s="4" t="s">
        <v>12</v>
      </c>
      <c r="G267" s="4" t="b">
        <v>1</v>
      </c>
      <c r="H267" s="4" t="s">
        <v>3037</v>
      </c>
      <c r="I267" s="4" t="s">
        <v>26</v>
      </c>
      <c r="J267" s="1"/>
    </row>
    <row r="268" spans="1:10" ht="112" x14ac:dyDescent="0.2">
      <c r="A268" s="11" t="s">
        <v>1983</v>
      </c>
      <c r="B268" s="11" t="s">
        <v>1984</v>
      </c>
      <c r="C268" s="4" t="b">
        <v>1</v>
      </c>
      <c r="D268" s="4" t="b">
        <v>0</v>
      </c>
      <c r="E268" s="4" t="b">
        <v>1</v>
      </c>
      <c r="F268" s="4" t="s">
        <v>12</v>
      </c>
      <c r="G268" s="4" t="b">
        <v>1</v>
      </c>
      <c r="H268" s="4" t="s">
        <v>3036</v>
      </c>
      <c r="I268" s="4" t="s">
        <v>26</v>
      </c>
      <c r="J268" s="1"/>
    </row>
    <row r="269" spans="1:10" ht="32" x14ac:dyDescent="0.2">
      <c r="A269" s="11" t="s">
        <v>1991</v>
      </c>
      <c r="B269" s="11" t="s">
        <v>1992</v>
      </c>
      <c r="C269" s="4" t="b">
        <v>1</v>
      </c>
      <c r="D269" s="4" t="b">
        <v>0</v>
      </c>
      <c r="E269" s="4" t="b">
        <v>1</v>
      </c>
      <c r="F269" s="4" t="s">
        <v>12</v>
      </c>
      <c r="G269" s="4" t="b">
        <v>1</v>
      </c>
      <c r="H269" s="4" t="s">
        <v>3035</v>
      </c>
      <c r="I269" s="4" t="s">
        <v>26</v>
      </c>
      <c r="J269" s="1"/>
    </row>
    <row r="270" spans="1:10" ht="128" x14ac:dyDescent="0.2">
      <c r="A270" s="11" t="s">
        <v>2022</v>
      </c>
      <c r="B270" s="11" t="s">
        <v>2023</v>
      </c>
      <c r="C270" s="4" t="b">
        <v>1</v>
      </c>
      <c r="D270" s="4" t="b">
        <v>0</v>
      </c>
      <c r="E270" s="4" t="b">
        <v>1</v>
      </c>
      <c r="F270" s="4" t="s">
        <v>12</v>
      </c>
      <c r="G270" s="4" t="b">
        <v>1</v>
      </c>
      <c r="H270" s="4" t="s">
        <v>3034</v>
      </c>
      <c r="I270" s="4" t="s">
        <v>2005</v>
      </c>
      <c r="J270" s="1"/>
    </row>
    <row r="271" spans="1:10" ht="224" x14ac:dyDescent="0.2">
      <c r="A271" s="11" t="s">
        <v>2024</v>
      </c>
      <c r="B271" s="11" t="s">
        <v>2025</v>
      </c>
      <c r="C271" s="4" t="b">
        <v>1</v>
      </c>
      <c r="D271" s="4" t="b">
        <v>0</v>
      </c>
      <c r="E271" s="4" t="b">
        <v>1</v>
      </c>
      <c r="F271" s="4" t="s">
        <v>12</v>
      </c>
      <c r="G271" s="4" t="b">
        <v>1</v>
      </c>
      <c r="H271" s="4" t="s">
        <v>3033</v>
      </c>
      <c r="I271" s="4" t="s">
        <v>2005</v>
      </c>
      <c r="J271" s="1"/>
    </row>
    <row r="272" spans="1:10" ht="128" x14ac:dyDescent="0.2">
      <c r="A272" s="11" t="s">
        <v>2040</v>
      </c>
      <c r="B272" s="11" t="s">
        <v>2041</v>
      </c>
      <c r="C272" s="4" t="b">
        <v>1</v>
      </c>
      <c r="D272" s="4" t="b">
        <v>0</v>
      </c>
      <c r="E272" s="4" t="b">
        <v>1</v>
      </c>
      <c r="F272" s="4" t="s">
        <v>12</v>
      </c>
      <c r="G272" s="4" t="b">
        <v>1</v>
      </c>
      <c r="H272" s="4" t="s">
        <v>3270</v>
      </c>
      <c r="I272" s="4" t="s">
        <v>98</v>
      </c>
    </row>
    <row r="273" spans="1:9" ht="160" x14ac:dyDescent="0.2">
      <c r="A273" s="11" t="s">
        <v>2044</v>
      </c>
      <c r="B273" s="11" t="s">
        <v>2045</v>
      </c>
      <c r="C273" s="4" t="b">
        <v>1</v>
      </c>
      <c r="D273" s="4" t="b">
        <v>0</v>
      </c>
      <c r="E273" s="4" t="b">
        <v>1</v>
      </c>
      <c r="F273" s="4" t="s">
        <v>12</v>
      </c>
      <c r="G273" s="4" t="b">
        <v>1</v>
      </c>
      <c r="H273" s="4" t="s">
        <v>3269</v>
      </c>
      <c r="I273" s="4" t="s">
        <v>98</v>
      </c>
    </row>
    <row r="274" spans="1:9" ht="32" x14ac:dyDescent="0.2">
      <c r="A274" s="11" t="s">
        <v>2056</v>
      </c>
      <c r="B274" s="11" t="s">
        <v>2057</v>
      </c>
      <c r="C274" s="4" t="b">
        <v>1</v>
      </c>
      <c r="D274" s="4" t="b">
        <v>0</v>
      </c>
      <c r="E274" s="4" t="b">
        <v>1</v>
      </c>
      <c r="F274" s="4" t="s">
        <v>12</v>
      </c>
      <c r="G274" s="4" t="b">
        <v>1</v>
      </c>
      <c r="H274" s="4" t="s">
        <v>3268</v>
      </c>
      <c r="I274" s="4" t="s">
        <v>98</v>
      </c>
    </row>
    <row r="275" spans="1:9" ht="160" x14ac:dyDescent="0.2">
      <c r="A275" s="11" t="s">
        <v>2060</v>
      </c>
      <c r="B275" s="11" t="s">
        <v>2061</v>
      </c>
      <c r="C275" s="4" t="b">
        <v>1</v>
      </c>
      <c r="D275" s="4" t="b">
        <v>0</v>
      </c>
      <c r="E275" s="4" t="b">
        <v>1</v>
      </c>
      <c r="F275" s="4" t="s">
        <v>12</v>
      </c>
      <c r="G275" s="4" t="b">
        <v>1</v>
      </c>
      <c r="H275" s="4" t="s">
        <v>3266</v>
      </c>
      <c r="I275" s="4" t="s">
        <v>98</v>
      </c>
    </row>
    <row r="276" spans="1:9" ht="48" x14ac:dyDescent="0.2">
      <c r="A276" s="11" t="s">
        <v>2064</v>
      </c>
      <c r="B276" s="11" t="s">
        <v>2065</v>
      </c>
      <c r="C276" s="4" t="b">
        <v>1</v>
      </c>
      <c r="D276" s="4" t="b">
        <v>0</v>
      </c>
      <c r="E276" s="4" t="b">
        <v>1</v>
      </c>
      <c r="F276" s="4" t="s">
        <v>12</v>
      </c>
      <c r="G276" s="4" t="b">
        <v>1</v>
      </c>
      <c r="H276" s="4" t="s">
        <v>3265</v>
      </c>
      <c r="I276" s="4" t="s">
        <v>98</v>
      </c>
    </row>
    <row r="277" spans="1:9" ht="48" x14ac:dyDescent="0.2">
      <c r="A277" s="11" t="s">
        <v>2066</v>
      </c>
      <c r="B277" s="11" t="s">
        <v>2067</v>
      </c>
      <c r="C277" s="4" t="b">
        <v>1</v>
      </c>
      <c r="D277" s="4" t="b">
        <v>0</v>
      </c>
      <c r="E277" s="4" t="b">
        <v>1</v>
      </c>
      <c r="F277" s="4" t="s">
        <v>12</v>
      </c>
      <c r="G277" s="4" t="b">
        <v>1</v>
      </c>
      <c r="H277" s="4" t="s">
        <v>3264</v>
      </c>
      <c r="I277" s="4" t="s">
        <v>98</v>
      </c>
    </row>
    <row r="278" spans="1:9" ht="112" x14ac:dyDescent="0.2">
      <c r="A278" s="11" t="s">
        <v>2068</v>
      </c>
      <c r="B278" s="11" t="s">
        <v>2069</v>
      </c>
      <c r="C278" s="4" t="b">
        <v>1</v>
      </c>
      <c r="D278" s="4" t="b">
        <v>0</v>
      </c>
      <c r="E278" s="4" t="b">
        <v>1</v>
      </c>
      <c r="F278" s="4" t="s">
        <v>12</v>
      </c>
      <c r="G278" s="4" t="b">
        <v>1</v>
      </c>
      <c r="H278" s="4" t="s">
        <v>3263</v>
      </c>
      <c r="I278" s="4" t="s">
        <v>98</v>
      </c>
    </row>
    <row r="279" spans="1:9" ht="64" x14ac:dyDescent="0.2">
      <c r="A279" s="11" t="s">
        <v>2072</v>
      </c>
      <c r="B279" s="11" t="s">
        <v>2073</v>
      </c>
      <c r="C279" s="4" t="b">
        <v>1</v>
      </c>
      <c r="D279" s="4" t="b">
        <v>0</v>
      </c>
      <c r="E279" s="4" t="b">
        <v>1</v>
      </c>
      <c r="F279" s="4" t="s">
        <v>12</v>
      </c>
      <c r="G279" s="4" t="b">
        <v>1</v>
      </c>
      <c r="H279" s="4" t="s">
        <v>3262</v>
      </c>
      <c r="I279" s="4" t="s">
        <v>98</v>
      </c>
    </row>
    <row r="280" spans="1:9" ht="176" x14ac:dyDescent="0.2">
      <c r="A280" s="11" t="s">
        <v>2082</v>
      </c>
      <c r="B280" s="11" t="s">
        <v>2083</v>
      </c>
      <c r="C280" s="4" t="b">
        <v>1</v>
      </c>
      <c r="D280" s="4" t="b">
        <v>0</v>
      </c>
      <c r="E280" s="4" t="b">
        <v>1</v>
      </c>
      <c r="F280" s="4" t="s">
        <v>12</v>
      </c>
      <c r="G280" s="4" t="b">
        <v>1</v>
      </c>
      <c r="H280" s="4" t="s">
        <v>3261</v>
      </c>
      <c r="I280" s="4" t="s">
        <v>98</v>
      </c>
    </row>
    <row r="281" spans="1:9" ht="128" x14ac:dyDescent="0.2">
      <c r="A281" s="11" t="s">
        <v>2092</v>
      </c>
      <c r="B281" s="11" t="s">
        <v>2093</v>
      </c>
      <c r="C281" s="4" t="b">
        <v>1</v>
      </c>
      <c r="D281" s="4" t="b">
        <v>0</v>
      </c>
      <c r="E281" s="4" t="b">
        <v>1</v>
      </c>
      <c r="F281" s="4" t="s">
        <v>12</v>
      </c>
      <c r="G281" s="4" t="b">
        <v>1</v>
      </c>
      <c r="H281" s="4" t="s">
        <v>3260</v>
      </c>
      <c r="I281" s="4" t="s">
        <v>98</v>
      </c>
    </row>
    <row r="282" spans="1:9" ht="160" x14ac:dyDescent="0.2">
      <c r="A282" s="11" t="s">
        <v>2094</v>
      </c>
      <c r="B282" s="11" t="s">
        <v>2095</v>
      </c>
      <c r="C282" s="4" t="b">
        <v>1</v>
      </c>
      <c r="D282" s="4" t="b">
        <v>0</v>
      </c>
      <c r="E282" s="4" t="b">
        <v>1</v>
      </c>
      <c r="F282" s="4" t="s">
        <v>12</v>
      </c>
      <c r="G282" s="4" t="b">
        <v>1</v>
      </c>
      <c r="H282" s="4" t="s">
        <v>3259</v>
      </c>
      <c r="I282" s="4" t="s">
        <v>98</v>
      </c>
    </row>
    <row r="283" spans="1:9" ht="48" x14ac:dyDescent="0.2">
      <c r="A283" s="11" t="s">
        <v>2096</v>
      </c>
      <c r="B283" s="11" t="s">
        <v>2097</v>
      </c>
      <c r="C283" s="4" t="b">
        <v>1</v>
      </c>
      <c r="D283" s="4" t="b">
        <v>0</v>
      </c>
      <c r="E283" s="4" t="b">
        <v>1</v>
      </c>
      <c r="F283" s="4" t="s">
        <v>12</v>
      </c>
      <c r="G283" s="4" t="b">
        <v>1</v>
      </c>
      <c r="H283" s="4" t="s">
        <v>3258</v>
      </c>
      <c r="I283" s="4" t="s">
        <v>98</v>
      </c>
    </row>
    <row r="284" spans="1:9" ht="160" x14ac:dyDescent="0.2">
      <c r="A284" s="11" t="s">
        <v>2114</v>
      </c>
      <c r="B284" s="11" t="s">
        <v>2115</v>
      </c>
      <c r="C284" s="4" t="b">
        <v>1</v>
      </c>
      <c r="D284" s="4" t="b">
        <v>0</v>
      </c>
      <c r="E284" s="4" t="b">
        <v>1</v>
      </c>
      <c r="F284" s="4" t="s">
        <v>12</v>
      </c>
      <c r="G284" s="4" t="b">
        <v>1</v>
      </c>
      <c r="H284" s="4" t="s">
        <v>3257</v>
      </c>
      <c r="I284" s="4" t="s">
        <v>98</v>
      </c>
    </row>
    <row r="285" spans="1:9" ht="128" x14ac:dyDescent="0.2">
      <c r="A285" s="11" t="s">
        <v>2116</v>
      </c>
      <c r="B285" s="11" t="s">
        <v>2117</v>
      </c>
      <c r="C285" s="4" t="b">
        <v>1</v>
      </c>
      <c r="D285" s="4" t="b">
        <v>0</v>
      </c>
      <c r="E285" s="4" t="b">
        <v>1</v>
      </c>
      <c r="F285" s="4" t="s">
        <v>12</v>
      </c>
      <c r="G285" s="4" t="b">
        <v>1</v>
      </c>
      <c r="H285" s="4" t="s">
        <v>3256</v>
      </c>
      <c r="I285" s="4" t="s">
        <v>98</v>
      </c>
    </row>
    <row r="286" spans="1:9" ht="64" x14ac:dyDescent="0.2">
      <c r="A286" s="11" t="s">
        <v>2122</v>
      </c>
      <c r="B286" s="11" t="s">
        <v>2123</v>
      </c>
      <c r="C286" s="4" t="b">
        <v>1</v>
      </c>
      <c r="D286" s="4" t="b">
        <v>0</v>
      </c>
      <c r="E286" s="4" t="b">
        <v>1</v>
      </c>
      <c r="F286" s="4" t="s">
        <v>12</v>
      </c>
      <c r="G286" s="4" t="b">
        <v>1</v>
      </c>
      <c r="H286" s="4" t="s">
        <v>3254</v>
      </c>
      <c r="I286" s="4" t="s">
        <v>98</v>
      </c>
    </row>
    <row r="287" spans="1:9" ht="48" x14ac:dyDescent="0.2">
      <c r="A287" s="11" t="s">
        <v>2126</v>
      </c>
      <c r="B287" s="11" t="s">
        <v>2127</v>
      </c>
      <c r="C287" s="4" t="b">
        <v>1</v>
      </c>
      <c r="D287" s="4" t="b">
        <v>0</v>
      </c>
      <c r="E287" s="4" t="b">
        <v>1</v>
      </c>
      <c r="F287" s="4" t="s">
        <v>12</v>
      </c>
      <c r="G287" s="4" t="b">
        <v>1</v>
      </c>
      <c r="H287" s="4" t="s">
        <v>3253</v>
      </c>
      <c r="I287" s="4" t="s">
        <v>98</v>
      </c>
    </row>
    <row r="288" spans="1:9" ht="48" x14ac:dyDescent="0.2">
      <c r="A288" s="11" t="s">
        <v>2130</v>
      </c>
      <c r="B288" s="11" t="s">
        <v>2131</v>
      </c>
      <c r="C288" s="4" t="b">
        <v>1</v>
      </c>
      <c r="D288" s="4" t="b">
        <v>0</v>
      </c>
      <c r="E288" s="4" t="b">
        <v>1</v>
      </c>
      <c r="F288" s="4" t="s">
        <v>12</v>
      </c>
      <c r="G288" s="4" t="b">
        <v>1</v>
      </c>
      <c r="H288" s="4" t="s">
        <v>3252</v>
      </c>
      <c r="I288" s="4" t="s">
        <v>98</v>
      </c>
    </row>
    <row r="289" spans="1:10" ht="128" x14ac:dyDescent="0.2">
      <c r="A289" s="11" t="s">
        <v>2138</v>
      </c>
      <c r="B289" s="11" t="s">
        <v>2139</v>
      </c>
      <c r="C289" s="4" t="b">
        <v>1</v>
      </c>
      <c r="D289" s="4" t="b">
        <v>0</v>
      </c>
      <c r="E289" s="4" t="b">
        <v>1</v>
      </c>
      <c r="F289" s="4" t="s">
        <v>12</v>
      </c>
      <c r="G289" s="4" t="b">
        <v>1</v>
      </c>
      <c r="H289" s="4" t="s">
        <v>3250</v>
      </c>
      <c r="I289" s="4" t="s">
        <v>98</v>
      </c>
    </row>
    <row r="290" spans="1:10" ht="48" x14ac:dyDescent="0.2">
      <c r="A290" s="11" t="s">
        <v>2146</v>
      </c>
      <c r="B290" s="11" t="s">
        <v>2147</v>
      </c>
      <c r="C290" s="4" t="b">
        <v>1</v>
      </c>
      <c r="D290" s="4" t="b">
        <v>0</v>
      </c>
      <c r="E290" s="4" t="b">
        <v>1</v>
      </c>
      <c r="F290" s="4" t="s">
        <v>12</v>
      </c>
      <c r="G290" s="4" t="b">
        <v>1</v>
      </c>
      <c r="H290" s="4"/>
      <c r="I290" s="4" t="s">
        <v>94</v>
      </c>
      <c r="J290" s="1"/>
    </row>
    <row r="291" spans="1:10" ht="128" x14ac:dyDescent="0.2">
      <c r="A291" s="11" t="s">
        <v>2152</v>
      </c>
      <c r="B291" s="11" t="s">
        <v>2153</v>
      </c>
      <c r="C291" s="4" t="b">
        <v>1</v>
      </c>
      <c r="D291" s="4" t="b">
        <v>0</v>
      </c>
      <c r="E291" s="4" t="b">
        <v>1</v>
      </c>
      <c r="F291" s="4" t="s">
        <v>12</v>
      </c>
      <c r="G291" s="4" t="b">
        <v>1</v>
      </c>
      <c r="H291" s="4" t="s">
        <v>3029</v>
      </c>
      <c r="I291" s="4" t="s">
        <v>94</v>
      </c>
      <c r="J291" s="1"/>
    </row>
    <row r="292" spans="1:10" ht="128" x14ac:dyDescent="0.2">
      <c r="A292" s="11" t="s">
        <v>2158</v>
      </c>
      <c r="B292" s="11" t="s">
        <v>2159</v>
      </c>
      <c r="C292" s="4" t="b">
        <v>1</v>
      </c>
      <c r="D292" s="4" t="b">
        <v>0</v>
      </c>
      <c r="E292" s="4" t="b">
        <v>1</v>
      </c>
      <c r="F292" s="4" t="s">
        <v>12</v>
      </c>
      <c r="G292" s="4" t="b">
        <v>1</v>
      </c>
      <c r="H292" s="4" t="s">
        <v>3028</v>
      </c>
      <c r="I292" s="4" t="s">
        <v>94</v>
      </c>
      <c r="J292" s="1" t="s">
        <v>2998</v>
      </c>
    </row>
    <row r="293" spans="1:10" ht="80" x14ac:dyDescent="0.2">
      <c r="A293" s="11" t="s">
        <v>2160</v>
      </c>
      <c r="B293" s="11" t="s">
        <v>2161</v>
      </c>
      <c r="C293" s="4" t="b">
        <v>1</v>
      </c>
      <c r="D293" s="4" t="b">
        <v>0</v>
      </c>
      <c r="E293" s="4" t="b">
        <v>1</v>
      </c>
      <c r="F293" s="4" t="s">
        <v>12</v>
      </c>
      <c r="G293" s="4" t="b">
        <v>1</v>
      </c>
      <c r="H293" s="4" t="s">
        <v>3027</v>
      </c>
      <c r="I293" s="4" t="s">
        <v>94</v>
      </c>
      <c r="J293" s="1"/>
    </row>
    <row r="294" spans="1:10" ht="160" x14ac:dyDescent="0.2">
      <c r="A294" s="11" t="s">
        <v>2182</v>
      </c>
      <c r="B294" s="11" t="s">
        <v>2183</v>
      </c>
      <c r="C294" s="4" t="b">
        <v>1</v>
      </c>
      <c r="D294" s="4" t="b">
        <v>0</v>
      </c>
      <c r="E294" s="4" t="b">
        <v>1</v>
      </c>
      <c r="F294" s="4" t="s">
        <v>12</v>
      </c>
      <c r="G294" s="4" t="b">
        <v>1</v>
      </c>
      <c r="H294" s="4" t="s">
        <v>3026</v>
      </c>
      <c r="I294" s="4" t="s">
        <v>94</v>
      </c>
      <c r="J294" s="1"/>
    </row>
    <row r="295" spans="1:10" ht="80" x14ac:dyDescent="0.2">
      <c r="A295" s="11" t="s">
        <v>2184</v>
      </c>
      <c r="B295" s="11" t="s">
        <v>2185</v>
      </c>
      <c r="C295" s="4" t="b">
        <v>1</v>
      </c>
      <c r="D295" s="4" t="b">
        <v>0</v>
      </c>
      <c r="E295" s="4" t="b">
        <v>1</v>
      </c>
      <c r="F295" s="4" t="s">
        <v>12</v>
      </c>
      <c r="G295" s="4" t="b">
        <v>1</v>
      </c>
      <c r="H295" s="4" t="s">
        <v>3025</v>
      </c>
      <c r="I295" s="4" t="s">
        <v>94</v>
      </c>
      <c r="J295" s="1"/>
    </row>
    <row r="296" spans="1:10" ht="48" x14ac:dyDescent="0.2">
      <c r="A296" s="11" t="s">
        <v>2212</v>
      </c>
      <c r="B296" s="11" t="s">
        <v>2213</v>
      </c>
      <c r="C296" s="4" t="b">
        <v>1</v>
      </c>
      <c r="D296" s="4" t="b">
        <v>0</v>
      </c>
      <c r="E296" s="4" t="b">
        <v>1</v>
      </c>
      <c r="F296" s="4" t="s">
        <v>12</v>
      </c>
      <c r="G296" s="4" t="b">
        <v>1</v>
      </c>
      <c r="H296" s="4" t="s">
        <v>3016</v>
      </c>
      <c r="I296" s="4" t="s">
        <v>94</v>
      </c>
      <c r="J296" s="1"/>
    </row>
    <row r="297" spans="1:10" ht="32" x14ac:dyDescent="0.2">
      <c r="A297" s="11" t="s">
        <v>2222</v>
      </c>
      <c r="B297" s="11" t="s">
        <v>2223</v>
      </c>
      <c r="C297" s="4" t="b">
        <v>1</v>
      </c>
      <c r="D297" s="4" t="b">
        <v>0</v>
      </c>
      <c r="E297" s="4" t="b">
        <v>1</v>
      </c>
      <c r="F297" s="4" t="s">
        <v>12</v>
      </c>
      <c r="G297" s="4" t="b">
        <v>1</v>
      </c>
      <c r="H297" s="4" t="s">
        <v>3015</v>
      </c>
      <c r="I297" s="4" t="s">
        <v>20</v>
      </c>
      <c r="J297" s="1"/>
    </row>
    <row r="298" spans="1:10" ht="48" x14ac:dyDescent="0.2">
      <c r="A298" s="11" t="s">
        <v>2224</v>
      </c>
      <c r="B298" s="11" t="s">
        <v>2225</v>
      </c>
      <c r="C298" s="4" t="b">
        <v>1</v>
      </c>
      <c r="D298" s="4" t="b">
        <v>0</v>
      </c>
      <c r="E298" s="4" t="b">
        <v>1</v>
      </c>
      <c r="F298" s="4" t="s">
        <v>12</v>
      </c>
      <c r="G298" s="4" t="b">
        <v>1</v>
      </c>
      <c r="H298" s="4" t="s">
        <v>3014</v>
      </c>
      <c r="I298" s="4" t="s">
        <v>20</v>
      </c>
      <c r="J298" s="1"/>
    </row>
    <row r="299" spans="1:10" ht="64" x14ac:dyDescent="0.2">
      <c r="A299" s="11" t="s">
        <v>2238</v>
      </c>
      <c r="B299" s="11" t="s">
        <v>2239</v>
      </c>
      <c r="C299" s="4" t="b">
        <v>1</v>
      </c>
      <c r="D299" s="4" t="b">
        <v>0</v>
      </c>
      <c r="E299" s="4" t="b">
        <v>1</v>
      </c>
      <c r="F299" s="4" t="s">
        <v>12</v>
      </c>
      <c r="G299" s="4" t="b">
        <v>1</v>
      </c>
      <c r="H299" s="4" t="s">
        <v>3013</v>
      </c>
      <c r="I299" s="4" t="s">
        <v>20</v>
      </c>
      <c r="J299" s="1"/>
    </row>
    <row r="300" spans="1:10" ht="112" x14ac:dyDescent="0.2">
      <c r="A300" s="11" t="s">
        <v>2242</v>
      </c>
      <c r="B300" s="11" t="s">
        <v>2243</v>
      </c>
      <c r="C300" s="4" t="b">
        <v>1</v>
      </c>
      <c r="D300" s="4" t="b">
        <v>0</v>
      </c>
      <c r="E300" s="4" t="b">
        <v>1</v>
      </c>
      <c r="F300" s="4" t="s">
        <v>12</v>
      </c>
      <c r="G300" s="4" t="b">
        <v>1</v>
      </c>
      <c r="H300" s="4" t="s">
        <v>3012</v>
      </c>
      <c r="I300" s="4" t="s">
        <v>20</v>
      </c>
      <c r="J300" s="1"/>
    </row>
    <row r="301" spans="1:10" ht="64" x14ac:dyDescent="0.2">
      <c r="A301" s="11" t="s">
        <v>2256</v>
      </c>
      <c r="B301" s="11" t="s">
        <v>2257</v>
      </c>
      <c r="C301" s="4" t="b">
        <v>1</v>
      </c>
      <c r="D301" s="4" t="b">
        <v>0</v>
      </c>
      <c r="E301" s="4" t="b">
        <v>1</v>
      </c>
      <c r="F301" s="4" t="s">
        <v>12</v>
      </c>
      <c r="G301" s="4" t="b">
        <v>1</v>
      </c>
      <c r="H301" s="4" t="s">
        <v>3011</v>
      </c>
      <c r="I301" s="4" t="s">
        <v>20</v>
      </c>
      <c r="J301" s="1"/>
    </row>
    <row r="302" spans="1:10" ht="112" x14ac:dyDescent="0.2">
      <c r="A302" s="11" t="s">
        <v>2260</v>
      </c>
      <c r="B302" s="11" t="s">
        <v>2261</v>
      </c>
      <c r="C302" s="4" t="b">
        <v>1</v>
      </c>
      <c r="D302" s="4" t="b">
        <v>0</v>
      </c>
      <c r="E302" s="4" t="b">
        <v>1</v>
      </c>
      <c r="F302" s="4" t="s">
        <v>12</v>
      </c>
      <c r="G302" s="4" t="b">
        <v>1</v>
      </c>
      <c r="H302" s="4" t="s">
        <v>3010</v>
      </c>
      <c r="I302" s="4" t="s">
        <v>1336</v>
      </c>
      <c r="J302" s="1"/>
    </row>
    <row r="303" spans="1:10" ht="48" x14ac:dyDescent="0.2">
      <c r="A303" s="11" t="s">
        <v>2276</v>
      </c>
      <c r="B303" s="11" t="s">
        <v>2277</v>
      </c>
      <c r="C303" s="4" t="b">
        <v>1</v>
      </c>
      <c r="D303" s="4" t="b">
        <v>0</v>
      </c>
      <c r="E303" s="4" t="b">
        <v>1</v>
      </c>
      <c r="F303" s="4" t="s">
        <v>12</v>
      </c>
      <c r="G303" s="4" t="b">
        <v>1</v>
      </c>
      <c r="H303" s="4" t="s">
        <v>3007</v>
      </c>
      <c r="I303" s="4" t="s">
        <v>621</v>
      </c>
      <c r="J303" s="1"/>
    </row>
    <row r="304" spans="1:10" ht="32" x14ac:dyDescent="0.2">
      <c r="A304" s="11" t="s">
        <v>2280</v>
      </c>
      <c r="B304" s="11" t="s">
        <v>2281</v>
      </c>
      <c r="C304" s="4" t="b">
        <v>1</v>
      </c>
      <c r="D304" s="4" t="b">
        <v>0</v>
      </c>
      <c r="E304" s="4" t="b">
        <v>1</v>
      </c>
      <c r="F304" s="4" t="s">
        <v>12</v>
      </c>
      <c r="G304" s="4" t="b">
        <v>1</v>
      </c>
      <c r="H304" s="4"/>
      <c r="I304" s="4" t="s">
        <v>621</v>
      </c>
      <c r="J304" s="1"/>
    </row>
    <row r="305" spans="1:10" ht="160" x14ac:dyDescent="0.2">
      <c r="A305" s="11" t="s">
        <v>2288</v>
      </c>
      <c r="B305" s="11" t="s">
        <v>2289</v>
      </c>
      <c r="C305" s="4" t="b">
        <v>1</v>
      </c>
      <c r="D305" s="4" t="b">
        <v>0</v>
      </c>
      <c r="E305" s="4" t="b">
        <v>1</v>
      </c>
      <c r="F305" s="4" t="s">
        <v>12</v>
      </c>
      <c r="G305" s="4" t="b">
        <v>1</v>
      </c>
      <c r="H305" s="4" t="s">
        <v>3005</v>
      </c>
      <c r="I305" s="4" t="s">
        <v>621</v>
      </c>
      <c r="J305" s="1"/>
    </row>
    <row r="306" spans="1:10" ht="32" x14ac:dyDescent="0.2">
      <c r="A306" s="11" t="s">
        <v>2292</v>
      </c>
      <c r="B306" s="11" t="s">
        <v>2293</v>
      </c>
      <c r="C306" s="4" t="b">
        <v>1</v>
      </c>
      <c r="D306" s="4" t="b">
        <v>0</v>
      </c>
      <c r="E306" s="4" t="b">
        <v>1</v>
      </c>
      <c r="F306" s="4" t="s">
        <v>12</v>
      </c>
      <c r="G306" s="4" t="b">
        <v>1</v>
      </c>
      <c r="H306" s="4"/>
      <c r="I306" s="4" t="s">
        <v>621</v>
      </c>
      <c r="J306" s="1"/>
    </row>
    <row r="307" spans="1:10" ht="32" x14ac:dyDescent="0.2">
      <c r="A307" s="11" t="s">
        <v>2300</v>
      </c>
      <c r="B307" s="11" t="s">
        <v>2301</v>
      </c>
      <c r="C307" s="4" t="b">
        <v>1</v>
      </c>
      <c r="D307" s="4" t="b">
        <v>0</v>
      </c>
      <c r="E307" s="4" t="b">
        <v>1</v>
      </c>
      <c r="F307" s="4" t="s">
        <v>12</v>
      </c>
      <c r="G307" s="4" t="b">
        <v>1</v>
      </c>
      <c r="H307" s="4"/>
      <c r="I307" s="4" t="s">
        <v>621</v>
      </c>
      <c r="J307" s="1"/>
    </row>
    <row r="308" spans="1:10" ht="16" x14ac:dyDescent="0.2">
      <c r="A308" s="11" t="s">
        <v>2306</v>
      </c>
      <c r="B308" s="11" t="s">
        <v>2307</v>
      </c>
      <c r="C308" s="4" t="b">
        <v>1</v>
      </c>
      <c r="D308" s="4" t="b">
        <v>0</v>
      </c>
      <c r="E308" s="4" t="b">
        <v>1</v>
      </c>
      <c r="F308" s="4" t="s">
        <v>12</v>
      </c>
      <c r="G308" s="4" t="b">
        <v>1</v>
      </c>
      <c r="H308" s="4"/>
      <c r="I308" s="4" t="s">
        <v>621</v>
      </c>
      <c r="J308" s="1"/>
    </row>
    <row r="309" spans="1:10" ht="48" x14ac:dyDescent="0.2">
      <c r="A309" s="11" t="s">
        <v>2308</v>
      </c>
      <c r="B309" s="11" t="s">
        <v>2309</v>
      </c>
      <c r="C309" s="4" t="b">
        <v>1</v>
      </c>
      <c r="D309" s="4" t="b">
        <v>0</v>
      </c>
      <c r="E309" s="4" t="b">
        <v>1</v>
      </c>
      <c r="F309" s="4" t="s">
        <v>12</v>
      </c>
      <c r="G309" s="4" t="b">
        <v>1</v>
      </c>
      <c r="H309" s="4" t="s">
        <v>3004</v>
      </c>
      <c r="I309" s="4" t="s">
        <v>621</v>
      </c>
      <c r="J309" s="1"/>
    </row>
    <row r="310" spans="1:10" ht="112" x14ac:dyDescent="0.2">
      <c r="A310" s="11" t="s">
        <v>2314</v>
      </c>
      <c r="B310" s="11" t="s">
        <v>2315</v>
      </c>
      <c r="C310" s="4" t="b">
        <v>1</v>
      </c>
      <c r="D310" s="4" t="b">
        <v>0</v>
      </c>
      <c r="E310" s="4" t="b">
        <v>1</v>
      </c>
      <c r="F310" s="4" t="s">
        <v>12</v>
      </c>
      <c r="G310" s="4" t="b">
        <v>1</v>
      </c>
      <c r="H310" s="4" t="s">
        <v>3002</v>
      </c>
      <c r="I310" s="4" t="s">
        <v>621</v>
      </c>
      <c r="J310" s="1"/>
    </row>
    <row r="311" spans="1:10" ht="48" x14ac:dyDescent="0.2">
      <c r="A311" s="11" t="s">
        <v>2326</v>
      </c>
      <c r="B311" s="11" t="s">
        <v>2327</v>
      </c>
      <c r="C311" s="4" t="b">
        <v>1</v>
      </c>
      <c r="D311" s="4" t="b">
        <v>0</v>
      </c>
      <c r="E311" s="4" t="b">
        <v>1</v>
      </c>
      <c r="F311" s="4" t="s">
        <v>12</v>
      </c>
      <c r="G311" s="4" t="b">
        <v>1</v>
      </c>
      <c r="H311" s="4" t="s">
        <v>2999</v>
      </c>
      <c r="I311" s="4" t="s">
        <v>1451</v>
      </c>
      <c r="J311" s="1" t="s">
        <v>2998</v>
      </c>
    </row>
    <row r="312" spans="1:10" ht="32" x14ac:dyDescent="0.2">
      <c r="A312" s="11" t="s">
        <v>2336</v>
      </c>
      <c r="B312" s="11" t="s">
        <v>2337</v>
      </c>
      <c r="C312" s="4" t="b">
        <v>1</v>
      </c>
      <c r="D312" s="4" t="b">
        <v>0</v>
      </c>
      <c r="E312" s="4" t="b">
        <v>1</v>
      </c>
      <c r="F312" s="4" t="s">
        <v>12</v>
      </c>
      <c r="G312" s="4" t="b">
        <v>1</v>
      </c>
      <c r="H312" s="4" t="s">
        <v>2996</v>
      </c>
      <c r="I312" s="4" t="s">
        <v>14</v>
      </c>
      <c r="J312" s="1"/>
    </row>
    <row r="313" spans="1:10" ht="48" x14ac:dyDescent="0.2">
      <c r="A313" s="11" t="s">
        <v>2344</v>
      </c>
      <c r="B313" s="11" t="s">
        <v>2345</v>
      </c>
      <c r="C313" s="4" t="b">
        <v>1</v>
      </c>
      <c r="D313" s="4" t="b">
        <v>0</v>
      </c>
      <c r="E313" s="4" t="b">
        <v>1</v>
      </c>
      <c r="F313" s="4" t="s">
        <v>12</v>
      </c>
      <c r="G313" s="4" t="b">
        <v>1</v>
      </c>
      <c r="H313" s="4" t="s">
        <v>2994</v>
      </c>
      <c r="I313" s="4" t="s">
        <v>26</v>
      </c>
      <c r="J313" s="1"/>
    </row>
    <row r="314" spans="1:10" ht="32" x14ac:dyDescent="0.2">
      <c r="A314" s="11" t="s">
        <v>2346</v>
      </c>
      <c r="B314" s="11" t="s">
        <v>2347</v>
      </c>
      <c r="C314" s="4" t="b">
        <v>1</v>
      </c>
      <c r="D314" s="4" t="b">
        <v>0</v>
      </c>
      <c r="E314" s="4" t="b">
        <v>1</v>
      </c>
      <c r="F314" s="4" t="s">
        <v>12</v>
      </c>
      <c r="G314" s="4" t="b">
        <v>1</v>
      </c>
      <c r="H314" s="4"/>
      <c r="I314" s="4" t="s">
        <v>26</v>
      </c>
      <c r="J314" s="1"/>
    </row>
    <row r="315" spans="1:10" ht="80" x14ac:dyDescent="0.2">
      <c r="A315" s="11" t="s">
        <v>2348</v>
      </c>
      <c r="B315" s="11" t="s">
        <v>2349</v>
      </c>
      <c r="C315" s="4" t="b">
        <v>1</v>
      </c>
      <c r="D315" s="4" t="b">
        <v>0</v>
      </c>
      <c r="E315" s="4" t="b">
        <v>1</v>
      </c>
      <c r="F315" s="4" t="s">
        <v>12</v>
      </c>
      <c r="G315" s="4" t="b">
        <v>1</v>
      </c>
      <c r="H315" s="4" t="s">
        <v>2993</v>
      </c>
      <c r="I315" s="4" t="s">
        <v>26</v>
      </c>
      <c r="J315" s="1"/>
    </row>
    <row r="316" spans="1:10" ht="256" x14ac:dyDescent="0.2">
      <c r="A316" s="11" t="s">
        <v>2354</v>
      </c>
      <c r="B316" s="11" t="s">
        <v>2355</v>
      </c>
      <c r="C316" s="4" t="b">
        <v>1</v>
      </c>
      <c r="D316" s="4" t="b">
        <v>0</v>
      </c>
      <c r="E316" s="4" t="b">
        <v>1</v>
      </c>
      <c r="F316" s="4" t="s">
        <v>12</v>
      </c>
      <c r="G316" s="4" t="b">
        <v>1</v>
      </c>
      <c r="H316" s="4" t="s">
        <v>2990</v>
      </c>
      <c r="I316" s="4" t="s">
        <v>26</v>
      </c>
      <c r="J316" s="4" t="s">
        <v>2998</v>
      </c>
    </row>
    <row r="317" spans="1:10" ht="80" x14ac:dyDescent="0.2">
      <c r="A317" s="11" t="s">
        <v>2362</v>
      </c>
      <c r="B317" s="11" t="s">
        <v>2363</v>
      </c>
      <c r="C317" s="4" t="b">
        <v>1</v>
      </c>
      <c r="D317" s="4" t="b">
        <v>0</v>
      </c>
      <c r="E317" s="4" t="b">
        <v>1</v>
      </c>
      <c r="F317" s="4" t="s">
        <v>12</v>
      </c>
      <c r="G317" s="4" t="b">
        <v>1</v>
      </c>
      <c r="H317" s="4" t="s">
        <v>2989</v>
      </c>
      <c r="I317" s="4" t="s">
        <v>26</v>
      </c>
      <c r="J317" s="1"/>
    </row>
    <row r="318" spans="1:10" ht="32" x14ac:dyDescent="0.2">
      <c r="A318" s="11" t="s">
        <v>2374</v>
      </c>
      <c r="B318" s="11" t="s">
        <v>2375</v>
      </c>
      <c r="C318" s="4" t="b">
        <v>1</v>
      </c>
      <c r="D318" s="4" t="b">
        <v>0</v>
      </c>
      <c r="E318" s="4" t="b">
        <v>1</v>
      </c>
      <c r="F318" s="4" t="s">
        <v>12</v>
      </c>
      <c r="G318" s="4" t="b">
        <v>1</v>
      </c>
      <c r="H318" s="4" t="s">
        <v>2985</v>
      </c>
      <c r="I318" s="4" t="s">
        <v>26</v>
      </c>
      <c r="J318" s="1"/>
    </row>
    <row r="319" spans="1:10" ht="64" x14ac:dyDescent="0.2">
      <c r="A319" s="11" t="s">
        <v>2378</v>
      </c>
      <c r="B319" s="11" t="s">
        <v>2379</v>
      </c>
      <c r="C319" s="4" t="b">
        <v>1</v>
      </c>
      <c r="D319" s="4" t="b">
        <v>0</v>
      </c>
      <c r="E319" s="4" t="b">
        <v>1</v>
      </c>
      <c r="F319" s="4" t="s">
        <v>12</v>
      </c>
      <c r="G319" s="4" t="b">
        <v>1</v>
      </c>
      <c r="H319" s="4" t="s">
        <v>2984</v>
      </c>
      <c r="I319" s="4" t="s">
        <v>26</v>
      </c>
      <c r="J319" s="1"/>
    </row>
    <row r="320" spans="1:10" ht="32" x14ac:dyDescent="0.2">
      <c r="A320" s="11" t="s">
        <v>2390</v>
      </c>
      <c r="B320" s="11" t="s">
        <v>2391</v>
      </c>
      <c r="C320" s="4" t="b">
        <v>1</v>
      </c>
      <c r="D320" s="4" t="b">
        <v>0</v>
      </c>
      <c r="E320" s="4" t="b">
        <v>1</v>
      </c>
      <c r="F320" s="4" t="s">
        <v>12</v>
      </c>
      <c r="G320" s="4" t="b">
        <v>1</v>
      </c>
      <c r="H320" s="4" t="s">
        <v>3249</v>
      </c>
      <c r="I320" s="4" t="s">
        <v>98</v>
      </c>
    </row>
    <row r="321" spans="1:10" ht="64" x14ac:dyDescent="0.2">
      <c r="A321" s="11" t="s">
        <v>2392</v>
      </c>
      <c r="B321" s="11" t="s">
        <v>2393</v>
      </c>
      <c r="C321" s="4" t="b">
        <v>1</v>
      </c>
      <c r="D321" s="4" t="b">
        <v>0</v>
      </c>
      <c r="E321" s="4" t="b">
        <v>1</v>
      </c>
      <c r="F321" s="4" t="s">
        <v>12</v>
      </c>
      <c r="G321" s="4" t="b">
        <v>1</v>
      </c>
      <c r="H321" s="4" t="s">
        <v>3248</v>
      </c>
      <c r="I321" s="4" t="s">
        <v>98</v>
      </c>
    </row>
    <row r="322" spans="1:10" ht="80" x14ac:dyDescent="0.2">
      <c r="A322" s="11" t="s">
        <v>2412</v>
      </c>
      <c r="B322" s="11" t="s">
        <v>2413</v>
      </c>
      <c r="C322" s="4" t="b">
        <v>1</v>
      </c>
      <c r="D322" s="4" t="b">
        <v>0</v>
      </c>
      <c r="E322" s="4" t="b">
        <v>1</v>
      </c>
      <c r="F322" s="4" t="s">
        <v>12</v>
      </c>
      <c r="G322" s="4" t="b">
        <v>1</v>
      </c>
      <c r="H322" s="4" t="s">
        <v>3246</v>
      </c>
      <c r="I322" s="4" t="s">
        <v>98</v>
      </c>
    </row>
    <row r="323" spans="1:10" ht="144" x14ac:dyDescent="0.2">
      <c r="A323" s="11" t="s">
        <v>2468</v>
      </c>
      <c r="B323" s="11" t="s">
        <v>2469</v>
      </c>
      <c r="C323" s="4" t="b">
        <v>1</v>
      </c>
      <c r="D323" s="4" t="b">
        <v>0</v>
      </c>
      <c r="E323" s="4" t="b">
        <v>1</v>
      </c>
      <c r="F323" s="4" t="s">
        <v>12</v>
      </c>
      <c r="G323" s="4" t="b">
        <v>1</v>
      </c>
      <c r="H323" s="4" t="s">
        <v>2982</v>
      </c>
      <c r="I323" s="4" t="s">
        <v>94</v>
      </c>
      <c r="J323" s="1"/>
    </row>
    <row r="324" spans="1:10" ht="16" x14ac:dyDescent="0.2">
      <c r="A324" s="11" t="s">
        <v>2474</v>
      </c>
      <c r="B324" s="11" t="s">
        <v>2475</v>
      </c>
      <c r="C324" s="4" t="b">
        <v>1</v>
      </c>
      <c r="D324" s="4" t="b">
        <v>0</v>
      </c>
      <c r="E324" s="4" t="b">
        <v>1</v>
      </c>
      <c r="F324" s="4" t="s">
        <v>12</v>
      </c>
      <c r="G324" s="4" t="b">
        <v>1</v>
      </c>
      <c r="H324" s="4"/>
      <c r="I324" s="4" t="s">
        <v>94</v>
      </c>
      <c r="J324" s="1"/>
    </row>
    <row r="325" spans="1:10" ht="176" x14ac:dyDescent="0.2">
      <c r="A325" s="11" t="s">
        <v>2484</v>
      </c>
      <c r="B325" s="11" t="s">
        <v>2485</v>
      </c>
      <c r="C325" s="4" t="b">
        <v>1</v>
      </c>
      <c r="D325" s="4" t="b">
        <v>0</v>
      </c>
      <c r="E325" s="4" t="b">
        <v>1</v>
      </c>
      <c r="F325" s="4" t="s">
        <v>12</v>
      </c>
      <c r="G325" s="4" t="b">
        <v>1</v>
      </c>
      <c r="H325" s="4" t="s">
        <v>2976</v>
      </c>
      <c r="I325" s="4" t="s">
        <v>94</v>
      </c>
      <c r="J325" s="1"/>
    </row>
    <row r="326" spans="1:10" ht="48" x14ac:dyDescent="0.2">
      <c r="A326" s="11" t="s">
        <v>2488</v>
      </c>
      <c r="B326" s="11" t="s">
        <v>2489</v>
      </c>
      <c r="C326" s="4" t="b">
        <v>1</v>
      </c>
      <c r="D326" s="4" t="b">
        <v>0</v>
      </c>
      <c r="E326" s="4" t="b">
        <v>1</v>
      </c>
      <c r="F326" s="4" t="s">
        <v>12</v>
      </c>
      <c r="G326" s="4" t="b">
        <v>1</v>
      </c>
      <c r="H326" s="4" t="s">
        <v>2975</v>
      </c>
      <c r="I326" s="4" t="s">
        <v>94</v>
      </c>
      <c r="J326" s="1"/>
    </row>
    <row r="327" spans="1:10" ht="16" x14ac:dyDescent="0.2">
      <c r="A327" s="11" t="s">
        <v>2502</v>
      </c>
      <c r="B327" s="11" t="s">
        <v>2503</v>
      </c>
      <c r="C327" s="4" t="b">
        <v>1</v>
      </c>
      <c r="D327" s="4" t="b">
        <v>0</v>
      </c>
      <c r="E327" s="4" t="b">
        <v>1</v>
      </c>
      <c r="F327" s="4" t="s">
        <v>12</v>
      </c>
      <c r="G327" s="4" t="b">
        <v>1</v>
      </c>
      <c r="H327" s="4" t="s">
        <v>2971</v>
      </c>
      <c r="I327" s="4" t="s">
        <v>94</v>
      </c>
      <c r="J327" s="1"/>
    </row>
    <row r="328" spans="1:10" ht="16" x14ac:dyDescent="0.2">
      <c r="A328" s="11" t="s">
        <v>2512</v>
      </c>
      <c r="B328" s="11" t="s">
        <v>2513</v>
      </c>
      <c r="C328" s="4" t="b">
        <v>1</v>
      </c>
      <c r="D328" s="4" t="b">
        <v>0</v>
      </c>
      <c r="E328" s="4" t="b">
        <v>1</v>
      </c>
      <c r="F328" s="4" t="s">
        <v>12</v>
      </c>
      <c r="G328" s="4" t="b">
        <v>1</v>
      </c>
      <c r="H328" s="4"/>
      <c r="I328" s="4" t="s">
        <v>94</v>
      </c>
      <c r="J328" s="1"/>
    </row>
    <row r="329" spans="1:10" ht="32" x14ac:dyDescent="0.2">
      <c r="A329" s="11" t="s">
        <v>2518</v>
      </c>
      <c r="B329" s="11" t="s">
        <v>2519</v>
      </c>
      <c r="C329" s="4" t="b">
        <v>1</v>
      </c>
      <c r="D329" s="4" t="b">
        <v>0</v>
      </c>
      <c r="E329" s="4" t="b">
        <v>1</v>
      </c>
      <c r="F329" s="4" t="s">
        <v>12</v>
      </c>
      <c r="G329" s="4" t="b">
        <v>1</v>
      </c>
      <c r="H329" s="4"/>
      <c r="I329" s="4" t="s">
        <v>94</v>
      </c>
      <c r="J329" s="1"/>
    </row>
    <row r="330" spans="1:10" ht="32" x14ac:dyDescent="0.2">
      <c r="A330" s="11" t="s">
        <v>2522</v>
      </c>
      <c r="B330" s="11" t="s">
        <v>2523</v>
      </c>
      <c r="C330" s="4" t="b">
        <v>1</v>
      </c>
      <c r="D330" s="4" t="b">
        <v>0</v>
      </c>
      <c r="E330" s="4" t="b">
        <v>1</v>
      </c>
      <c r="F330" s="4" t="s">
        <v>12</v>
      </c>
      <c r="G330" s="4" t="b">
        <v>1</v>
      </c>
      <c r="H330" s="1"/>
      <c r="I330" s="4" t="s">
        <v>94</v>
      </c>
      <c r="J330" s="1"/>
    </row>
    <row r="331" spans="1:10" ht="176" x14ac:dyDescent="0.2">
      <c r="A331" s="11" t="s">
        <v>2526</v>
      </c>
      <c r="B331" s="11" t="s">
        <v>2527</v>
      </c>
      <c r="C331" s="4" t="b">
        <v>1</v>
      </c>
      <c r="D331" s="4" t="b">
        <v>0</v>
      </c>
      <c r="E331" s="4" t="b">
        <v>1</v>
      </c>
      <c r="F331" s="4" t="s">
        <v>12</v>
      </c>
      <c r="G331" s="4" t="b">
        <v>1</v>
      </c>
      <c r="H331" s="4" t="s">
        <v>2967</v>
      </c>
      <c r="I331" s="4" t="s">
        <v>94</v>
      </c>
      <c r="J331" s="1"/>
    </row>
    <row r="332" spans="1:10" ht="272" x14ac:dyDescent="0.2">
      <c r="A332" s="11" t="s">
        <v>2528</v>
      </c>
      <c r="B332" s="11" t="s">
        <v>2529</v>
      </c>
      <c r="C332" s="4" t="b">
        <v>1</v>
      </c>
      <c r="D332" s="4" t="b">
        <v>0</v>
      </c>
      <c r="E332" s="4" t="b">
        <v>1</v>
      </c>
      <c r="F332" s="4" t="s">
        <v>12</v>
      </c>
      <c r="G332" s="4" t="b">
        <v>1</v>
      </c>
      <c r="H332" s="4" t="s">
        <v>2966</v>
      </c>
      <c r="I332" s="4" t="s">
        <v>94</v>
      </c>
      <c r="J332" s="1"/>
    </row>
    <row r="333" spans="1:10" ht="16" x14ac:dyDescent="0.2">
      <c r="A333" s="11" t="s">
        <v>2530</v>
      </c>
      <c r="B333" s="11" t="s">
        <v>2531</v>
      </c>
      <c r="C333" s="4" t="b">
        <v>1</v>
      </c>
      <c r="D333" s="4" t="b">
        <v>0</v>
      </c>
      <c r="E333" s="4" t="b">
        <v>1</v>
      </c>
      <c r="F333" s="4" t="s">
        <v>12</v>
      </c>
      <c r="G333" s="4" t="b">
        <v>1</v>
      </c>
      <c r="H333" s="4" t="s">
        <v>2965</v>
      </c>
      <c r="I333" s="4" t="s">
        <v>94</v>
      </c>
      <c r="J333" s="1"/>
    </row>
    <row r="334" spans="1:10" ht="96" x14ac:dyDescent="0.2">
      <c r="A334" s="11" t="s">
        <v>2550</v>
      </c>
      <c r="B334" s="11" t="s">
        <v>2551</v>
      </c>
      <c r="C334" s="4" t="b">
        <v>1</v>
      </c>
      <c r="D334" s="4" t="b">
        <v>0</v>
      </c>
      <c r="E334" s="4" t="b">
        <v>1</v>
      </c>
      <c r="F334" s="4" t="s">
        <v>12</v>
      </c>
      <c r="G334" s="4" t="b">
        <v>1</v>
      </c>
      <c r="H334" s="4" t="s">
        <v>2961</v>
      </c>
      <c r="I334" s="4" t="s">
        <v>1336</v>
      </c>
      <c r="J334" s="1"/>
    </row>
    <row r="335" spans="1:10" ht="112" x14ac:dyDescent="0.2">
      <c r="A335" s="11" t="s">
        <v>2556</v>
      </c>
      <c r="B335" s="11" t="s">
        <v>2557</v>
      </c>
      <c r="C335" s="4" t="b">
        <v>1</v>
      </c>
      <c r="D335" s="4" t="b">
        <v>0</v>
      </c>
      <c r="E335" s="4" t="b">
        <v>1</v>
      </c>
      <c r="F335" s="4" t="s">
        <v>12</v>
      </c>
      <c r="G335" s="4" t="b">
        <v>1</v>
      </c>
      <c r="H335" s="4" t="s">
        <v>2960</v>
      </c>
      <c r="I335" s="4" t="s">
        <v>621</v>
      </c>
      <c r="J335" s="1"/>
    </row>
    <row r="336" spans="1:10" ht="64" x14ac:dyDescent="0.2">
      <c r="A336" s="11" t="s">
        <v>2564</v>
      </c>
      <c r="B336" s="11" t="s">
        <v>2565</v>
      </c>
      <c r="C336" s="4" t="b">
        <v>1</v>
      </c>
      <c r="D336" s="4" t="b">
        <v>0</v>
      </c>
      <c r="E336" s="4" t="b">
        <v>1</v>
      </c>
      <c r="F336" s="4" t="s">
        <v>12</v>
      </c>
      <c r="G336" s="4" t="b">
        <v>1</v>
      </c>
      <c r="H336" s="4" t="s">
        <v>2959</v>
      </c>
      <c r="I336" s="4" t="s">
        <v>621</v>
      </c>
      <c r="J336" s="1"/>
    </row>
    <row r="337" spans="1:10" ht="48" x14ac:dyDescent="0.2">
      <c r="A337" s="11" t="s">
        <v>2568</v>
      </c>
      <c r="B337" s="11" t="s">
        <v>2569</v>
      </c>
      <c r="C337" s="4" t="b">
        <v>1</v>
      </c>
      <c r="D337" s="4" t="b">
        <v>0</v>
      </c>
      <c r="E337" s="4" t="b">
        <v>1</v>
      </c>
      <c r="F337" s="4" t="s">
        <v>12</v>
      </c>
      <c r="G337" s="4" t="b">
        <v>1</v>
      </c>
      <c r="H337" s="4" t="s">
        <v>2958</v>
      </c>
      <c r="I337" s="4" t="s">
        <v>621</v>
      </c>
      <c r="J337" s="1"/>
    </row>
    <row r="338" spans="1:10" ht="80" x14ac:dyDescent="0.2">
      <c r="A338" s="11" t="s">
        <v>2586</v>
      </c>
      <c r="B338" s="11" t="s">
        <v>2587</v>
      </c>
      <c r="C338" s="4" t="b">
        <v>1</v>
      </c>
      <c r="D338" s="4" t="b">
        <v>0</v>
      </c>
      <c r="E338" s="4" t="b">
        <v>1</v>
      </c>
      <c r="F338" s="4" t="s">
        <v>12</v>
      </c>
      <c r="G338" s="4" t="b">
        <v>1</v>
      </c>
      <c r="H338" s="4" t="s">
        <v>2955</v>
      </c>
      <c r="I338" s="4" t="s">
        <v>621</v>
      </c>
      <c r="J338" s="1"/>
    </row>
    <row r="339" spans="1:10" ht="80" x14ac:dyDescent="0.2">
      <c r="A339" s="11" t="s">
        <v>2590</v>
      </c>
      <c r="B339" s="11" t="s">
        <v>2591</v>
      </c>
      <c r="C339" s="4" t="b">
        <v>1</v>
      </c>
      <c r="D339" s="4" t="b">
        <v>0</v>
      </c>
      <c r="E339" s="4" t="b">
        <v>1</v>
      </c>
      <c r="F339" s="4" t="s">
        <v>12</v>
      </c>
      <c r="G339" s="4" t="b">
        <v>1</v>
      </c>
      <c r="H339" s="4" t="s">
        <v>2954</v>
      </c>
      <c r="I339" s="4" t="s">
        <v>621</v>
      </c>
      <c r="J339" s="1"/>
    </row>
    <row r="340" spans="1:10" ht="48" x14ac:dyDescent="0.2">
      <c r="A340" s="11" t="s">
        <v>2596</v>
      </c>
      <c r="B340" s="11" t="s">
        <v>2597</v>
      </c>
      <c r="C340" s="4" t="b">
        <v>1</v>
      </c>
      <c r="D340" s="4" t="b">
        <v>0</v>
      </c>
      <c r="E340" s="4" t="b">
        <v>1</v>
      </c>
      <c r="F340" s="4" t="s">
        <v>12</v>
      </c>
      <c r="G340" s="4" t="b">
        <v>1</v>
      </c>
      <c r="H340" s="4" t="s">
        <v>2953</v>
      </c>
      <c r="I340" s="4" t="s">
        <v>621</v>
      </c>
      <c r="J340" s="1"/>
    </row>
    <row r="341" spans="1:10" ht="32" x14ac:dyDescent="0.2">
      <c r="A341" s="11" t="s">
        <v>2610</v>
      </c>
      <c r="B341" s="11" t="s">
        <v>2611</v>
      </c>
      <c r="C341" s="4" t="b">
        <v>1</v>
      </c>
      <c r="D341" s="4" t="b">
        <v>0</v>
      </c>
      <c r="E341" s="4" t="b">
        <v>1</v>
      </c>
      <c r="F341" s="4" t="s">
        <v>12</v>
      </c>
      <c r="G341" s="4" t="b">
        <v>1</v>
      </c>
      <c r="H341" s="4" t="s">
        <v>2952</v>
      </c>
      <c r="I341" s="4" t="s">
        <v>621</v>
      </c>
      <c r="J341" s="1"/>
    </row>
    <row r="342" spans="1:10" ht="32" x14ac:dyDescent="0.2">
      <c r="A342" s="11" t="s">
        <v>2612</v>
      </c>
      <c r="B342" s="11" t="s">
        <v>2613</v>
      </c>
      <c r="C342" s="4" t="b">
        <v>1</v>
      </c>
      <c r="D342" s="4" t="b">
        <v>0</v>
      </c>
      <c r="E342" s="4" t="b">
        <v>1</v>
      </c>
      <c r="F342" s="4" t="s">
        <v>12</v>
      </c>
      <c r="G342" s="4" t="b">
        <v>1</v>
      </c>
      <c r="H342" s="4" t="s">
        <v>2951</v>
      </c>
      <c r="I342" s="4" t="s">
        <v>621</v>
      </c>
      <c r="J342" s="1"/>
    </row>
    <row r="343" spans="1:10" ht="32" x14ac:dyDescent="0.2">
      <c r="A343" s="11" t="s">
        <v>2618</v>
      </c>
      <c r="B343" s="11" t="s">
        <v>2619</v>
      </c>
      <c r="C343" s="4" t="b">
        <v>1</v>
      </c>
      <c r="D343" s="4" t="b">
        <v>0</v>
      </c>
      <c r="E343" s="4" t="b">
        <v>1</v>
      </c>
      <c r="F343" s="4" t="s">
        <v>12</v>
      </c>
      <c r="G343" s="4" t="b">
        <v>1</v>
      </c>
      <c r="H343" s="4" t="s">
        <v>2950</v>
      </c>
      <c r="I343" s="4" t="s">
        <v>621</v>
      </c>
      <c r="J343" s="1"/>
    </row>
    <row r="344" spans="1:10" ht="32" x14ac:dyDescent="0.2">
      <c r="A344" s="11" t="s">
        <v>2620</v>
      </c>
      <c r="B344" s="11" t="s">
        <v>2621</v>
      </c>
      <c r="C344" s="4" t="b">
        <v>1</v>
      </c>
      <c r="D344" s="4" t="b">
        <v>0</v>
      </c>
      <c r="E344" s="4" t="b">
        <v>1</v>
      </c>
      <c r="F344" s="4" t="s">
        <v>12</v>
      </c>
      <c r="G344" s="4" t="b">
        <v>1</v>
      </c>
      <c r="H344" s="4"/>
      <c r="I344" s="4" t="s">
        <v>621</v>
      </c>
      <c r="J344" s="1"/>
    </row>
    <row r="345" spans="1:10" ht="32" x14ac:dyDescent="0.2">
      <c r="A345" s="11" t="s">
        <v>2622</v>
      </c>
      <c r="B345" s="11" t="s">
        <v>2623</v>
      </c>
      <c r="C345" s="4" t="b">
        <v>1</v>
      </c>
      <c r="D345" s="4" t="b">
        <v>0</v>
      </c>
      <c r="E345" s="4" t="b">
        <v>1</v>
      </c>
      <c r="F345" s="4" t="s">
        <v>12</v>
      </c>
      <c r="G345" s="4" t="b">
        <v>1</v>
      </c>
      <c r="H345" s="4" t="s">
        <v>2945</v>
      </c>
      <c r="I345" s="4" t="s">
        <v>621</v>
      </c>
      <c r="J345" s="1"/>
    </row>
    <row r="346" spans="1:10" ht="32" x14ac:dyDescent="0.2">
      <c r="A346" s="11" t="s">
        <v>2626</v>
      </c>
      <c r="B346" s="11" t="s">
        <v>2627</v>
      </c>
      <c r="C346" s="4" t="b">
        <v>1</v>
      </c>
      <c r="D346" s="4" t="b">
        <v>0</v>
      </c>
      <c r="E346" s="4" t="b">
        <v>1</v>
      </c>
      <c r="F346" s="4" t="s">
        <v>12</v>
      </c>
      <c r="G346" s="4" t="b">
        <v>1</v>
      </c>
      <c r="H346" s="4" t="s">
        <v>2936</v>
      </c>
      <c r="I346" s="4" t="s">
        <v>621</v>
      </c>
      <c r="J346" s="1"/>
    </row>
    <row r="347" spans="1:10" ht="32" x14ac:dyDescent="0.2">
      <c r="A347" s="11" t="s">
        <v>2656</v>
      </c>
      <c r="B347" s="11" t="s">
        <v>2657</v>
      </c>
      <c r="C347" s="4" t="b">
        <v>1</v>
      </c>
      <c r="D347" s="4" t="b">
        <v>0</v>
      </c>
      <c r="E347" s="4" t="b">
        <v>1</v>
      </c>
      <c r="F347" s="4" t="s">
        <v>12</v>
      </c>
      <c r="G347" s="4" t="b">
        <v>1</v>
      </c>
      <c r="H347" s="4" t="s">
        <v>3241</v>
      </c>
      <c r="I347" s="4" t="s">
        <v>98</v>
      </c>
    </row>
    <row r="348" spans="1:10" ht="144" x14ac:dyDescent="0.2">
      <c r="A348" s="11" t="s">
        <v>2666</v>
      </c>
      <c r="B348" s="11" t="s">
        <v>2667</v>
      </c>
      <c r="C348" s="4" t="b">
        <v>1</v>
      </c>
      <c r="D348" s="4" t="b">
        <v>0</v>
      </c>
      <c r="E348" s="4" t="b">
        <v>1</v>
      </c>
      <c r="F348" s="4" t="s">
        <v>12</v>
      </c>
      <c r="G348" s="4" t="b">
        <v>1</v>
      </c>
      <c r="H348" s="4" t="s">
        <v>3242</v>
      </c>
      <c r="I348" s="4" t="s">
        <v>98</v>
      </c>
    </row>
    <row r="349" spans="1:10" ht="32" x14ac:dyDescent="0.2">
      <c r="A349" s="11" t="s">
        <v>2672</v>
      </c>
      <c r="B349" s="11" t="s">
        <v>2673</v>
      </c>
      <c r="C349" s="4" t="b">
        <v>1</v>
      </c>
      <c r="D349" s="4" t="b">
        <v>0</v>
      </c>
      <c r="E349" s="4" t="b">
        <v>1</v>
      </c>
      <c r="F349" s="4" t="s">
        <v>12</v>
      </c>
      <c r="G349" s="4" t="b">
        <v>1</v>
      </c>
      <c r="H349" s="4" t="s">
        <v>3243</v>
      </c>
      <c r="I349" s="4" t="s">
        <v>98</v>
      </c>
    </row>
    <row r="350" spans="1:10" ht="16" x14ac:dyDescent="0.2">
      <c r="A350" s="11" t="s">
        <v>2676</v>
      </c>
      <c r="B350" s="11" t="s">
        <v>2677</v>
      </c>
      <c r="C350" s="4" t="b">
        <v>1</v>
      </c>
      <c r="D350" s="4" t="b">
        <v>0</v>
      </c>
      <c r="E350" s="4" t="b">
        <v>1</v>
      </c>
      <c r="F350" s="4" t="s">
        <v>12</v>
      </c>
      <c r="G350" s="4" t="b">
        <v>1</v>
      </c>
      <c r="H350" s="4" t="s">
        <v>3244</v>
      </c>
      <c r="I350" s="4" t="s">
        <v>98</v>
      </c>
    </row>
    <row r="351" spans="1:10" ht="192" x14ac:dyDescent="0.2">
      <c r="A351" s="11" t="s">
        <v>2682</v>
      </c>
      <c r="B351" s="11" t="s">
        <v>2683</v>
      </c>
      <c r="C351" s="4" t="b">
        <v>1</v>
      </c>
      <c r="D351" s="4" t="b">
        <v>0</v>
      </c>
      <c r="E351" s="4" t="b">
        <v>1</v>
      </c>
      <c r="F351" s="4" t="s">
        <v>12</v>
      </c>
      <c r="G351" s="4" t="b">
        <v>1</v>
      </c>
      <c r="H351" s="4" t="s">
        <v>2935</v>
      </c>
      <c r="I351" s="4" t="s">
        <v>94</v>
      </c>
      <c r="J351" s="1"/>
    </row>
    <row r="352" spans="1:10" ht="80" x14ac:dyDescent="0.2">
      <c r="A352" s="11" t="s">
        <v>2690</v>
      </c>
      <c r="B352" s="11" t="s">
        <v>2691</v>
      </c>
      <c r="C352" s="4" t="b">
        <v>1</v>
      </c>
      <c r="D352" s="4" t="b">
        <v>0</v>
      </c>
      <c r="E352" s="4" t="b">
        <v>1</v>
      </c>
      <c r="F352" s="4" t="s">
        <v>12</v>
      </c>
      <c r="G352" s="4" t="b">
        <v>1</v>
      </c>
      <c r="H352" s="4" t="s">
        <v>2934</v>
      </c>
      <c r="I352" s="4" t="s">
        <v>94</v>
      </c>
      <c r="J352" s="1"/>
    </row>
    <row r="353" spans="1:10" ht="32" x14ac:dyDescent="0.2">
      <c r="A353" s="11" t="s">
        <v>2694</v>
      </c>
      <c r="B353" s="11" t="s">
        <v>2695</v>
      </c>
      <c r="C353" s="4" t="b">
        <v>1</v>
      </c>
      <c r="D353" s="4" t="b">
        <v>0</v>
      </c>
      <c r="E353" s="4" t="b">
        <v>1</v>
      </c>
      <c r="F353" s="4" t="s">
        <v>12</v>
      </c>
      <c r="G353" s="4" t="b">
        <v>1</v>
      </c>
      <c r="H353" s="4" t="s">
        <v>2933</v>
      </c>
      <c r="I353" s="4" t="s">
        <v>94</v>
      </c>
      <c r="J353" s="1"/>
    </row>
    <row r="354" spans="1:10" ht="48" x14ac:dyDescent="0.2">
      <c r="A354" s="11" t="s">
        <v>2702</v>
      </c>
      <c r="B354" s="11" t="s">
        <v>2703</v>
      </c>
      <c r="C354" s="4" t="b">
        <v>1</v>
      </c>
      <c r="D354" s="4" t="b">
        <v>0</v>
      </c>
      <c r="E354" s="4" t="b">
        <v>1</v>
      </c>
      <c r="F354" s="4" t="s">
        <v>12</v>
      </c>
      <c r="G354" s="4" t="b">
        <v>1</v>
      </c>
      <c r="H354" s="4" t="s">
        <v>2932</v>
      </c>
      <c r="I354" s="4" t="s">
        <v>94</v>
      </c>
      <c r="J354" s="1"/>
    </row>
    <row r="355" spans="1:10" ht="32" x14ac:dyDescent="0.2">
      <c r="A355" s="11" t="s">
        <v>2704</v>
      </c>
      <c r="B355" s="11" t="s">
        <v>2705</v>
      </c>
      <c r="C355" s="4" t="b">
        <v>1</v>
      </c>
      <c r="D355" s="4" t="b">
        <v>0</v>
      </c>
      <c r="E355" s="4" t="b">
        <v>1</v>
      </c>
      <c r="F355" s="4" t="s">
        <v>12</v>
      </c>
      <c r="G355" s="4" t="b">
        <v>1</v>
      </c>
      <c r="H355" s="4" t="s">
        <v>2931</v>
      </c>
      <c r="I355" s="4" t="s">
        <v>94</v>
      </c>
      <c r="J355" s="1"/>
    </row>
    <row r="356" spans="1:10" ht="96" x14ac:dyDescent="0.2">
      <c r="A356" s="11" t="s">
        <v>2708</v>
      </c>
      <c r="B356" s="11" t="s">
        <v>2709</v>
      </c>
      <c r="C356" s="4" t="b">
        <v>1</v>
      </c>
      <c r="D356" s="4" t="b">
        <v>0</v>
      </c>
      <c r="E356" s="4" t="b">
        <v>1</v>
      </c>
      <c r="F356" s="4" t="s">
        <v>12</v>
      </c>
      <c r="G356" s="4" t="b">
        <v>1</v>
      </c>
      <c r="H356" s="4" t="s">
        <v>2930</v>
      </c>
      <c r="I356" s="4" t="s">
        <v>94</v>
      </c>
      <c r="J356" s="1"/>
    </row>
    <row r="357" spans="1:10" ht="32" x14ac:dyDescent="0.2">
      <c r="A357" s="11" t="s">
        <v>2710</v>
      </c>
      <c r="B357" s="11" t="s">
        <v>2711</v>
      </c>
      <c r="C357" s="4" t="b">
        <v>1</v>
      </c>
      <c r="D357" s="4" t="b">
        <v>0</v>
      </c>
      <c r="E357" s="4" t="b">
        <v>1</v>
      </c>
      <c r="F357" s="4" t="s">
        <v>12</v>
      </c>
      <c r="G357" s="4" t="b">
        <v>1</v>
      </c>
      <c r="H357" s="4" t="s">
        <v>2929</v>
      </c>
      <c r="I357" s="4" t="s">
        <v>94</v>
      </c>
      <c r="J357" s="1"/>
    </row>
    <row r="358" spans="1:10" ht="48" x14ac:dyDescent="0.2">
      <c r="A358" s="11" t="s">
        <v>2718</v>
      </c>
      <c r="B358" s="11" t="s">
        <v>2719</v>
      </c>
      <c r="C358" s="4" t="b">
        <v>1</v>
      </c>
      <c r="D358" s="4" t="b">
        <v>0</v>
      </c>
      <c r="E358" s="4" t="b">
        <v>1</v>
      </c>
      <c r="F358" s="4" t="s">
        <v>12</v>
      </c>
      <c r="G358" s="4" t="b">
        <v>1</v>
      </c>
      <c r="H358" s="4"/>
      <c r="I358" s="4" t="s">
        <v>94</v>
      </c>
      <c r="J358" s="1"/>
    </row>
    <row r="359" spans="1:10" ht="64" x14ac:dyDescent="0.2">
      <c r="A359" s="11" t="s">
        <v>2742</v>
      </c>
      <c r="B359" s="11" t="s">
        <v>2743</v>
      </c>
      <c r="C359" s="4" t="b">
        <v>1</v>
      </c>
      <c r="D359" s="4" t="b">
        <v>0</v>
      </c>
      <c r="E359" s="4" t="b">
        <v>1</v>
      </c>
      <c r="F359" s="4" t="s">
        <v>12</v>
      </c>
      <c r="G359" s="4" t="b">
        <v>1</v>
      </c>
      <c r="H359" s="4" t="s">
        <v>2926</v>
      </c>
      <c r="I359" s="4" t="s">
        <v>94</v>
      </c>
      <c r="J359" s="1"/>
    </row>
    <row r="360" spans="1:10" ht="112" x14ac:dyDescent="0.2">
      <c r="A360" s="11" t="s">
        <v>2744</v>
      </c>
      <c r="B360" s="11" t="s">
        <v>2745</v>
      </c>
      <c r="C360" s="4" t="b">
        <v>1</v>
      </c>
      <c r="D360" s="4" t="b">
        <v>0</v>
      </c>
      <c r="E360" s="4" t="b">
        <v>1</v>
      </c>
      <c r="F360" s="4" t="s">
        <v>12</v>
      </c>
      <c r="G360" s="4" t="b">
        <v>1</v>
      </c>
      <c r="H360" s="4" t="s">
        <v>2925</v>
      </c>
      <c r="I360" s="4" t="s">
        <v>94</v>
      </c>
      <c r="J360" s="1"/>
    </row>
    <row r="361" spans="1:10" ht="16" x14ac:dyDescent="0.2">
      <c r="A361" s="11" t="s">
        <v>2754</v>
      </c>
      <c r="B361" s="11" t="s">
        <v>2755</v>
      </c>
      <c r="C361" s="4" t="b">
        <v>1</v>
      </c>
      <c r="D361" s="4" t="b">
        <v>0</v>
      </c>
      <c r="E361" s="4" t="b">
        <v>1</v>
      </c>
      <c r="F361" s="4" t="s">
        <v>12</v>
      </c>
      <c r="G361" s="4" t="b">
        <v>1</v>
      </c>
      <c r="H361" s="4" t="s">
        <v>2924</v>
      </c>
      <c r="I361" s="4" t="s">
        <v>94</v>
      </c>
      <c r="J361" s="1"/>
    </row>
    <row r="362" spans="1:10" ht="48" x14ac:dyDescent="0.2">
      <c r="A362" s="11" t="s">
        <v>2802</v>
      </c>
      <c r="B362" s="11" t="s">
        <v>2803</v>
      </c>
      <c r="C362" s="4" t="b">
        <v>1</v>
      </c>
      <c r="D362" s="4" t="b">
        <v>0</v>
      </c>
      <c r="E362" s="4" t="b">
        <v>1</v>
      </c>
      <c r="F362" s="4" t="s">
        <v>12</v>
      </c>
      <c r="G362" s="4" t="b">
        <v>1</v>
      </c>
      <c r="H362" s="4" t="s">
        <v>2921</v>
      </c>
      <c r="I362" s="4" t="s">
        <v>621</v>
      </c>
      <c r="J362" s="1"/>
    </row>
    <row r="363" spans="1:10" ht="32" x14ac:dyDescent="0.2">
      <c r="A363" s="11" t="s">
        <v>2810</v>
      </c>
      <c r="B363" s="11" t="s">
        <v>2811</v>
      </c>
      <c r="C363" s="4" t="b">
        <v>1</v>
      </c>
      <c r="D363" s="4" t="b">
        <v>0</v>
      </c>
      <c r="E363" s="4" t="b">
        <v>1</v>
      </c>
      <c r="F363" s="4" t="s">
        <v>12</v>
      </c>
      <c r="G363" s="4" t="b">
        <v>1</v>
      </c>
      <c r="H363" s="4" t="s">
        <v>2920</v>
      </c>
      <c r="I363" s="4" t="s">
        <v>621</v>
      </c>
      <c r="J363" s="1"/>
    </row>
    <row r="364" spans="1:10" ht="64" x14ac:dyDescent="0.2">
      <c r="A364" s="11" t="s">
        <v>2814</v>
      </c>
      <c r="B364" s="11" t="s">
        <v>2815</v>
      </c>
      <c r="C364" s="4" t="b">
        <v>1</v>
      </c>
      <c r="D364" s="4" t="b">
        <v>0</v>
      </c>
      <c r="E364" s="4" t="b">
        <v>1</v>
      </c>
      <c r="F364" s="4" t="s">
        <v>12</v>
      </c>
      <c r="G364" s="4" t="b">
        <v>1</v>
      </c>
      <c r="H364" s="4" t="s">
        <v>2917</v>
      </c>
      <c r="I364" s="4" t="s">
        <v>621</v>
      </c>
      <c r="J364" s="1"/>
    </row>
    <row r="365" spans="1:10" ht="64" x14ac:dyDescent="0.2">
      <c r="A365" s="11" t="s">
        <v>2816</v>
      </c>
      <c r="B365" s="11" t="s">
        <v>2817</v>
      </c>
      <c r="C365" s="4" t="b">
        <v>1</v>
      </c>
      <c r="D365" s="4" t="b">
        <v>0</v>
      </c>
      <c r="E365" s="4" t="b">
        <v>1</v>
      </c>
      <c r="F365" s="4" t="s">
        <v>12</v>
      </c>
      <c r="G365" s="4" t="b">
        <v>1</v>
      </c>
      <c r="H365" s="4" t="s">
        <v>2916</v>
      </c>
      <c r="I365" s="4" t="s">
        <v>621</v>
      </c>
      <c r="J365" s="1"/>
    </row>
    <row r="366" spans="1:10" ht="32" x14ac:dyDescent="0.2">
      <c r="A366" s="11" t="s">
        <v>2826</v>
      </c>
      <c r="B366" s="11" t="s">
        <v>2827</v>
      </c>
      <c r="C366" s="4" t="b">
        <v>1</v>
      </c>
      <c r="D366" s="4" t="b">
        <v>0</v>
      </c>
      <c r="E366" s="4" t="b">
        <v>1</v>
      </c>
      <c r="F366" s="4" t="s">
        <v>12</v>
      </c>
      <c r="G366" s="4" t="b">
        <v>1</v>
      </c>
      <c r="H366" s="4" t="s">
        <v>2912</v>
      </c>
      <c r="I366" s="4" t="s">
        <v>621</v>
      </c>
      <c r="J366" s="1"/>
    </row>
    <row r="367" spans="1:10" ht="32" x14ac:dyDescent="0.2">
      <c r="A367" s="11" t="s">
        <v>2830</v>
      </c>
      <c r="B367" s="11" t="s">
        <v>2831</v>
      </c>
      <c r="C367" s="4" t="b">
        <v>1</v>
      </c>
      <c r="D367" s="4" t="b">
        <v>0</v>
      </c>
      <c r="E367" s="4" t="b">
        <v>1</v>
      </c>
      <c r="F367" s="4" t="s">
        <v>12</v>
      </c>
      <c r="G367" s="4" t="b">
        <v>1</v>
      </c>
      <c r="H367" s="4" t="s">
        <v>2910</v>
      </c>
      <c r="I367" s="4" t="s">
        <v>621</v>
      </c>
      <c r="J367" s="1"/>
    </row>
    <row r="368" spans="1:10" ht="32" x14ac:dyDescent="0.2">
      <c r="A368" s="11" t="s">
        <v>2834</v>
      </c>
      <c r="B368" s="11" t="s">
        <v>2835</v>
      </c>
      <c r="C368" s="4" t="b">
        <v>1</v>
      </c>
      <c r="D368" s="4" t="b">
        <v>0</v>
      </c>
      <c r="E368" s="4" t="b">
        <v>1</v>
      </c>
      <c r="F368" s="4" t="s">
        <v>12</v>
      </c>
      <c r="G368" s="4" t="b">
        <v>1</v>
      </c>
      <c r="H368" s="4" t="s">
        <v>2909</v>
      </c>
      <c r="I368" s="4" t="s">
        <v>621</v>
      </c>
      <c r="J368" s="1"/>
    </row>
    <row r="369" spans="1:10" ht="32" x14ac:dyDescent="0.2">
      <c r="A369" s="11" t="s">
        <v>2838</v>
      </c>
      <c r="B369" s="11" t="s">
        <v>2839</v>
      </c>
      <c r="C369" s="4" t="b">
        <v>1</v>
      </c>
      <c r="D369" s="4" t="b">
        <v>0</v>
      </c>
      <c r="E369" s="4" t="b">
        <v>1</v>
      </c>
      <c r="F369" s="4" t="s">
        <v>12</v>
      </c>
      <c r="G369" s="4" t="b">
        <v>1</v>
      </c>
      <c r="H369" s="4" t="s">
        <v>2907</v>
      </c>
      <c r="I369" s="4" t="s">
        <v>621</v>
      </c>
      <c r="J369" s="1"/>
    </row>
    <row r="370" spans="1:10" ht="48" x14ac:dyDescent="0.2">
      <c r="A370" s="11" t="s">
        <v>2840</v>
      </c>
      <c r="B370" s="11" t="s">
        <v>2841</v>
      </c>
      <c r="C370" s="4" t="b">
        <v>1</v>
      </c>
      <c r="D370" s="4" t="b">
        <v>0</v>
      </c>
      <c r="E370" s="4" t="b">
        <v>1</v>
      </c>
      <c r="F370" s="4" t="s">
        <v>12</v>
      </c>
      <c r="G370" s="4" t="b">
        <v>1</v>
      </c>
      <c r="H370" s="4" t="s">
        <v>2908</v>
      </c>
      <c r="I370" s="4" t="s">
        <v>621</v>
      </c>
      <c r="J370" s="1"/>
    </row>
    <row r="371" spans="1:10" x14ac:dyDescent="0.2">
      <c r="A371" s="11"/>
      <c r="B371" s="11"/>
      <c r="C371" s="4"/>
      <c r="D371" s="4"/>
      <c r="E371" s="4"/>
      <c r="F371" s="4"/>
      <c r="G371" s="4"/>
      <c r="H371" s="4"/>
      <c r="I371" s="1"/>
    </row>
    <row r="372" spans="1:10" x14ac:dyDescent="0.2">
      <c r="A372" s="22"/>
      <c r="B372" s="22"/>
      <c r="C372" s="19"/>
      <c r="D372" s="19"/>
      <c r="E372" s="19"/>
      <c r="F372" s="19"/>
      <c r="G372" s="19"/>
      <c r="H372" s="19"/>
      <c r="I372" s="8"/>
    </row>
    <row r="373" spans="1:10" x14ac:dyDescent="0.2">
      <c r="A373" s="22"/>
      <c r="B373" s="22"/>
      <c r="C373" s="19"/>
      <c r="D373" s="19"/>
      <c r="E373" s="19"/>
      <c r="F373" s="19"/>
      <c r="G373" s="19"/>
      <c r="H373" s="19"/>
      <c r="I373" s="8"/>
    </row>
    <row r="374" spans="1:10" x14ac:dyDescent="0.2">
      <c r="A374" s="22"/>
      <c r="B374" s="22"/>
      <c r="C374" s="19"/>
      <c r="D374" s="19"/>
      <c r="E374" s="19"/>
      <c r="F374" s="19"/>
      <c r="G374" s="19"/>
      <c r="H374" s="19"/>
      <c r="I374" s="8"/>
    </row>
    <row r="375" spans="1:10" x14ac:dyDescent="0.2">
      <c r="A375" s="22"/>
      <c r="B375" s="22"/>
      <c r="C375" s="19"/>
      <c r="D375" s="19"/>
      <c r="E375" s="19"/>
      <c r="F375" s="19"/>
      <c r="G375" s="19"/>
      <c r="H375" s="19"/>
      <c r="I375" s="8"/>
    </row>
    <row r="376" spans="1:10" x14ac:dyDescent="0.2">
      <c r="A376" s="22"/>
      <c r="B376" s="22"/>
      <c r="C376" s="19"/>
      <c r="D376" s="19"/>
      <c r="E376" s="19"/>
      <c r="F376" s="19"/>
      <c r="G376" s="19"/>
      <c r="H376" s="19"/>
      <c r="I376" s="8"/>
    </row>
    <row r="377" spans="1:10" x14ac:dyDescent="0.2">
      <c r="A377" s="22"/>
      <c r="B377" s="22"/>
      <c r="C377" s="19"/>
      <c r="D377" s="19"/>
      <c r="E377" s="19"/>
      <c r="F377" s="19"/>
      <c r="G377" s="19"/>
      <c r="H377" s="19"/>
      <c r="I377" s="8"/>
    </row>
    <row r="378" spans="1:10" x14ac:dyDescent="0.2">
      <c r="A378" s="22"/>
      <c r="B378" s="22"/>
      <c r="C378" s="19"/>
      <c r="D378" s="19"/>
      <c r="E378" s="19"/>
      <c r="F378" s="19"/>
      <c r="G378" s="19"/>
      <c r="H378" s="19"/>
      <c r="I378" s="8"/>
    </row>
    <row r="379" spans="1:10" x14ac:dyDescent="0.2">
      <c r="A379" s="22"/>
      <c r="B379" s="22"/>
      <c r="C379" s="19"/>
      <c r="D379" s="19"/>
      <c r="E379" s="19"/>
      <c r="F379" s="19"/>
      <c r="G379" s="19"/>
      <c r="H379" s="19"/>
      <c r="I379" s="8"/>
    </row>
    <row r="380" spans="1:10" x14ac:dyDescent="0.2">
      <c r="A380" s="22"/>
      <c r="B380" s="22"/>
      <c r="C380" s="19"/>
      <c r="D380" s="19"/>
      <c r="E380" s="19"/>
      <c r="F380" s="19"/>
      <c r="G380" s="19"/>
      <c r="H380" s="19"/>
      <c r="I380" s="8"/>
    </row>
    <row r="381" spans="1:10" x14ac:dyDescent="0.2">
      <c r="A381" s="22"/>
      <c r="B381" s="22"/>
      <c r="C381" s="19"/>
      <c r="D381" s="19"/>
      <c r="E381" s="19"/>
      <c r="F381" s="19"/>
      <c r="G381" s="19"/>
      <c r="H381" s="19"/>
      <c r="I381" s="8"/>
    </row>
    <row r="382" spans="1:10" x14ac:dyDescent="0.2">
      <c r="A382" s="22"/>
      <c r="B382" s="22"/>
      <c r="C382" s="19"/>
      <c r="D382" s="19"/>
      <c r="E382" s="19"/>
      <c r="F382" s="19"/>
      <c r="G382" s="19"/>
      <c r="H382" s="19"/>
      <c r="I382" s="8"/>
    </row>
    <row r="383" spans="1:10" x14ac:dyDescent="0.2">
      <c r="A383" s="22"/>
      <c r="B383" s="22"/>
      <c r="C383" s="19"/>
      <c r="D383" s="19"/>
      <c r="E383" s="19"/>
      <c r="F383" s="19"/>
      <c r="G383" s="19"/>
      <c r="H383" s="19"/>
      <c r="I383" s="8"/>
    </row>
    <row r="384" spans="1:10" x14ac:dyDescent="0.2">
      <c r="A384" s="22"/>
      <c r="B384" s="22"/>
      <c r="C384" s="19"/>
      <c r="D384" s="19"/>
      <c r="E384" s="19"/>
      <c r="F384" s="19"/>
      <c r="G384" s="19"/>
      <c r="H384" s="19"/>
      <c r="I384" s="8"/>
    </row>
    <row r="385" spans="1:9" x14ac:dyDescent="0.2">
      <c r="A385" s="22"/>
      <c r="B385" s="22"/>
      <c r="C385" s="19"/>
      <c r="D385" s="19"/>
      <c r="E385" s="19"/>
      <c r="F385" s="19"/>
      <c r="G385" s="19"/>
      <c r="H385" s="19"/>
      <c r="I385" s="8"/>
    </row>
    <row r="386" spans="1:9" x14ac:dyDescent="0.2">
      <c r="A386" s="22"/>
      <c r="B386" s="22"/>
      <c r="C386" s="19"/>
      <c r="D386" s="19"/>
      <c r="E386" s="19"/>
      <c r="F386" s="19"/>
      <c r="G386" s="19"/>
      <c r="H386" s="19"/>
      <c r="I386" s="8"/>
    </row>
    <row r="387" spans="1:9" x14ac:dyDescent="0.2">
      <c r="A387" s="22"/>
      <c r="B387" s="22"/>
      <c r="C387" s="19"/>
      <c r="D387" s="19"/>
      <c r="E387" s="19"/>
      <c r="F387" s="19"/>
      <c r="G387" s="19"/>
      <c r="H387" s="19"/>
      <c r="I387" s="8"/>
    </row>
    <row r="388" spans="1:9" x14ac:dyDescent="0.2">
      <c r="A388" s="22"/>
      <c r="B388" s="22"/>
      <c r="C388" s="19"/>
      <c r="D388" s="19"/>
      <c r="E388" s="19"/>
      <c r="F388" s="19"/>
      <c r="G388" s="19"/>
      <c r="H388" s="19"/>
      <c r="I388" s="8"/>
    </row>
    <row r="389" spans="1:9" x14ac:dyDescent="0.2">
      <c r="A389" s="22"/>
      <c r="B389" s="22"/>
      <c r="C389" s="19"/>
      <c r="D389" s="19"/>
      <c r="E389" s="19"/>
      <c r="F389" s="19"/>
      <c r="G389" s="19"/>
      <c r="H389" s="19"/>
      <c r="I389" s="8"/>
    </row>
    <row r="390" spans="1:9" x14ac:dyDescent="0.2">
      <c r="A390" s="22"/>
      <c r="B390" s="22"/>
      <c r="C390" s="19"/>
      <c r="D390" s="19"/>
      <c r="E390" s="19"/>
      <c r="F390" s="19"/>
      <c r="G390" s="19"/>
      <c r="H390" s="19"/>
      <c r="I390" s="8"/>
    </row>
    <row r="391" spans="1:9" x14ac:dyDescent="0.2">
      <c r="A391" s="22"/>
      <c r="B391" s="22"/>
      <c r="C391" s="19"/>
      <c r="D391" s="19"/>
      <c r="E391" s="19"/>
      <c r="F391" s="19"/>
      <c r="G391" s="19"/>
      <c r="H391" s="19"/>
      <c r="I391" s="8"/>
    </row>
    <row r="392" spans="1:9" x14ac:dyDescent="0.2">
      <c r="A392" s="22"/>
      <c r="B392" s="22"/>
      <c r="C392" s="19"/>
      <c r="D392" s="19"/>
      <c r="E392" s="19"/>
      <c r="F392" s="19"/>
      <c r="G392" s="19"/>
      <c r="H392" s="19"/>
      <c r="I392" s="8"/>
    </row>
    <row r="393" spans="1:9" x14ac:dyDescent="0.2">
      <c r="A393" s="22"/>
      <c r="B393" s="22"/>
      <c r="C393" s="19"/>
      <c r="D393" s="19"/>
      <c r="E393" s="19"/>
      <c r="F393" s="19"/>
      <c r="G393" s="19"/>
      <c r="H393" s="19"/>
      <c r="I393" s="8"/>
    </row>
    <row r="394" spans="1:9" x14ac:dyDescent="0.2">
      <c r="A394" s="22"/>
      <c r="B394" s="22"/>
      <c r="C394" s="19"/>
      <c r="D394" s="19"/>
      <c r="E394" s="19"/>
      <c r="F394" s="19"/>
      <c r="G394" s="19"/>
      <c r="H394" s="19"/>
      <c r="I394" s="8"/>
    </row>
    <row r="395" spans="1:9" x14ac:dyDescent="0.2">
      <c r="A395" s="22"/>
      <c r="B395" s="22"/>
      <c r="C395" s="19"/>
      <c r="D395" s="19"/>
      <c r="E395" s="19"/>
      <c r="F395" s="19"/>
      <c r="G395" s="19"/>
      <c r="H395" s="19"/>
      <c r="I395" s="8"/>
    </row>
    <row r="396" spans="1:9" x14ac:dyDescent="0.2">
      <c r="A396" s="22"/>
      <c r="B396" s="22"/>
      <c r="C396" s="19"/>
      <c r="D396" s="19"/>
      <c r="E396" s="19"/>
      <c r="F396" s="19"/>
      <c r="G396" s="19"/>
      <c r="H396" s="19"/>
      <c r="I396" s="8"/>
    </row>
    <row r="397" spans="1:9" x14ac:dyDescent="0.2">
      <c r="A397" s="22"/>
      <c r="B397" s="22"/>
      <c r="C397" s="19"/>
      <c r="D397" s="19"/>
      <c r="E397" s="19"/>
      <c r="F397" s="19"/>
      <c r="G397" s="19"/>
      <c r="H397" s="19"/>
      <c r="I397" s="8"/>
    </row>
    <row r="398" spans="1:9" x14ac:dyDescent="0.2">
      <c r="A398" s="22"/>
      <c r="B398" s="22"/>
      <c r="C398" s="19"/>
      <c r="D398" s="19"/>
      <c r="E398" s="19"/>
      <c r="F398" s="19"/>
      <c r="G398" s="19"/>
      <c r="H398" s="19"/>
      <c r="I398" s="8"/>
    </row>
    <row r="399" spans="1:9" x14ac:dyDescent="0.2">
      <c r="A399" s="22"/>
      <c r="B399" s="22"/>
      <c r="C399" s="19"/>
      <c r="D399" s="19"/>
      <c r="E399" s="19"/>
      <c r="F399" s="19"/>
      <c r="G399" s="19"/>
      <c r="H399" s="19"/>
      <c r="I399" s="8"/>
    </row>
    <row r="400" spans="1:9" x14ac:dyDescent="0.2">
      <c r="A400" s="22"/>
      <c r="B400" s="22"/>
      <c r="C400" s="19"/>
      <c r="D400" s="19"/>
      <c r="E400" s="19"/>
      <c r="F400" s="19"/>
      <c r="G400" s="19"/>
      <c r="H400" s="19"/>
      <c r="I400" s="8"/>
    </row>
    <row r="401" spans="1:9" x14ac:dyDescent="0.2">
      <c r="A401" s="22"/>
      <c r="B401" s="22"/>
      <c r="C401" s="19"/>
      <c r="D401" s="19"/>
      <c r="E401" s="19"/>
      <c r="F401" s="19"/>
      <c r="G401" s="19"/>
      <c r="H401" s="19"/>
      <c r="I401" s="8"/>
    </row>
    <row r="402" spans="1:9" x14ac:dyDescent="0.2">
      <c r="A402" s="22"/>
      <c r="B402" s="22"/>
      <c r="C402" s="19"/>
      <c r="D402" s="19"/>
      <c r="E402" s="19"/>
      <c r="F402" s="19"/>
      <c r="G402" s="19"/>
      <c r="H402" s="19"/>
      <c r="I402" s="8"/>
    </row>
    <row r="403" spans="1:9" x14ac:dyDescent="0.2">
      <c r="A403" s="22"/>
      <c r="B403" s="22"/>
      <c r="C403" s="19"/>
      <c r="D403" s="19"/>
      <c r="E403" s="19"/>
      <c r="F403" s="19"/>
      <c r="G403" s="19"/>
      <c r="H403" s="19"/>
      <c r="I403" s="8"/>
    </row>
    <row r="404" spans="1:9" x14ac:dyDescent="0.2">
      <c r="A404" s="22"/>
      <c r="B404" s="22"/>
      <c r="C404" s="19"/>
      <c r="D404" s="19"/>
      <c r="E404" s="19"/>
      <c r="F404" s="19"/>
      <c r="G404" s="19"/>
      <c r="H404" s="19"/>
      <c r="I404" s="8"/>
    </row>
    <row r="405" spans="1:9" x14ac:dyDescent="0.2">
      <c r="A405" s="22"/>
      <c r="B405" s="22"/>
      <c r="C405" s="19"/>
      <c r="D405" s="19"/>
      <c r="E405" s="19"/>
      <c r="F405" s="19"/>
      <c r="G405" s="19"/>
      <c r="H405" s="19"/>
      <c r="I405" s="8"/>
    </row>
    <row r="406" spans="1:9" x14ac:dyDescent="0.2">
      <c r="A406" s="22"/>
      <c r="B406" s="22"/>
      <c r="C406" s="19"/>
      <c r="D406" s="19"/>
      <c r="E406" s="19"/>
      <c r="F406" s="19"/>
      <c r="G406" s="19"/>
      <c r="H406" s="19"/>
      <c r="I406" s="8"/>
    </row>
    <row r="407" spans="1:9" x14ac:dyDescent="0.2">
      <c r="A407" s="22"/>
      <c r="B407" s="22"/>
      <c r="C407" s="19"/>
      <c r="D407" s="19"/>
      <c r="E407" s="19"/>
      <c r="F407" s="19"/>
      <c r="G407" s="19"/>
      <c r="H407" s="19"/>
      <c r="I407" s="8"/>
    </row>
    <row r="408" spans="1:9" x14ac:dyDescent="0.2">
      <c r="A408" s="22"/>
      <c r="B408" s="22"/>
      <c r="C408" s="19"/>
      <c r="D408" s="19"/>
      <c r="E408" s="19"/>
      <c r="F408" s="19"/>
      <c r="G408" s="19"/>
      <c r="H408" s="19"/>
      <c r="I408" s="8"/>
    </row>
    <row r="409" spans="1:9" x14ac:dyDescent="0.2">
      <c r="A409" s="22"/>
      <c r="B409" s="22"/>
      <c r="C409" s="19"/>
      <c r="D409" s="19"/>
      <c r="E409" s="19"/>
      <c r="F409" s="19"/>
      <c r="G409" s="19"/>
      <c r="H409" s="19"/>
      <c r="I409" s="8"/>
    </row>
    <row r="410" spans="1:9" x14ac:dyDescent="0.2">
      <c r="A410" s="22"/>
      <c r="B410" s="22"/>
      <c r="C410" s="19"/>
      <c r="D410" s="19"/>
      <c r="E410" s="19"/>
      <c r="F410" s="19"/>
      <c r="G410" s="19"/>
      <c r="H410" s="19"/>
      <c r="I410" s="8"/>
    </row>
    <row r="411" spans="1:9" x14ac:dyDescent="0.2">
      <c r="A411" s="22"/>
      <c r="B411" s="22"/>
      <c r="C411" s="19"/>
      <c r="D411" s="19"/>
      <c r="E411" s="19"/>
      <c r="F411" s="19"/>
      <c r="G411" s="19"/>
      <c r="H411" s="19"/>
      <c r="I411" s="8"/>
    </row>
    <row r="412" spans="1:9" x14ac:dyDescent="0.2">
      <c r="A412" s="22"/>
      <c r="B412" s="22"/>
      <c r="C412" s="19"/>
      <c r="D412" s="19"/>
      <c r="E412" s="19"/>
      <c r="F412" s="19"/>
      <c r="G412" s="19"/>
      <c r="H412" s="19"/>
      <c r="I412" s="8"/>
    </row>
    <row r="413" spans="1:9" x14ac:dyDescent="0.2">
      <c r="A413" s="22"/>
      <c r="B413" s="22"/>
      <c r="C413" s="19"/>
      <c r="D413" s="19"/>
      <c r="E413" s="19"/>
      <c r="F413" s="19"/>
      <c r="G413" s="19"/>
      <c r="H413" s="19"/>
      <c r="I413" s="8"/>
    </row>
    <row r="414" spans="1:9" x14ac:dyDescent="0.2">
      <c r="A414" s="22"/>
      <c r="B414" s="22"/>
      <c r="C414" s="19"/>
      <c r="D414" s="19"/>
      <c r="E414" s="19"/>
      <c r="F414" s="19"/>
      <c r="G414" s="19"/>
      <c r="H414" s="19"/>
      <c r="I414" s="8"/>
    </row>
    <row r="415" spans="1:9" x14ac:dyDescent="0.2">
      <c r="A415" s="22"/>
      <c r="B415" s="22"/>
      <c r="C415" s="19"/>
      <c r="D415" s="19"/>
      <c r="E415" s="19"/>
      <c r="F415" s="19"/>
      <c r="G415" s="19"/>
      <c r="H415" s="19"/>
      <c r="I415" s="8"/>
    </row>
    <row r="416" spans="1:9" x14ac:dyDescent="0.2">
      <c r="A416" s="22"/>
      <c r="B416" s="22"/>
      <c r="C416" s="19"/>
      <c r="D416" s="19"/>
      <c r="E416" s="19"/>
      <c r="F416" s="19"/>
      <c r="G416" s="19"/>
      <c r="H416" s="19"/>
      <c r="I416" s="8"/>
    </row>
    <row r="417" spans="1:9" x14ac:dyDescent="0.2">
      <c r="A417" s="22"/>
      <c r="B417" s="22"/>
      <c r="C417" s="19"/>
      <c r="D417" s="19"/>
      <c r="E417" s="19"/>
      <c r="F417" s="19"/>
      <c r="G417" s="19"/>
      <c r="H417" s="19"/>
      <c r="I417" s="8"/>
    </row>
    <row r="418" spans="1:9" x14ac:dyDescent="0.2">
      <c r="A418" s="22"/>
      <c r="B418" s="22"/>
      <c r="C418" s="19"/>
      <c r="D418" s="19"/>
      <c r="E418" s="19"/>
      <c r="F418" s="19"/>
      <c r="G418" s="19"/>
      <c r="H418" s="19"/>
      <c r="I418" s="8"/>
    </row>
    <row r="419" spans="1:9" x14ac:dyDescent="0.2">
      <c r="A419" s="22"/>
      <c r="B419" s="22"/>
      <c r="C419" s="19"/>
      <c r="D419" s="19"/>
      <c r="E419" s="19"/>
      <c r="F419" s="19"/>
      <c r="G419" s="19"/>
      <c r="H419" s="19"/>
      <c r="I419" s="8"/>
    </row>
    <row r="420" spans="1:9" x14ac:dyDescent="0.2">
      <c r="A420" s="22"/>
      <c r="B420" s="22"/>
      <c r="C420" s="19"/>
      <c r="D420" s="19"/>
      <c r="E420" s="19"/>
      <c r="F420" s="19"/>
      <c r="G420" s="19"/>
      <c r="H420" s="19"/>
      <c r="I420" s="8"/>
    </row>
    <row r="421" spans="1:9" x14ac:dyDescent="0.2">
      <c r="A421" s="22"/>
      <c r="B421" s="22"/>
      <c r="C421" s="19"/>
      <c r="D421" s="19"/>
      <c r="E421" s="19"/>
      <c r="F421" s="19"/>
      <c r="G421" s="19"/>
      <c r="H421" s="19"/>
      <c r="I421" s="8"/>
    </row>
    <row r="422" spans="1:9" x14ac:dyDescent="0.2">
      <c r="A422" s="22"/>
      <c r="B422" s="22"/>
      <c r="C422" s="19"/>
      <c r="D422" s="19"/>
      <c r="E422" s="19"/>
      <c r="F422" s="19"/>
      <c r="G422" s="19"/>
      <c r="H422" s="19"/>
      <c r="I422" s="8"/>
    </row>
    <row r="423" spans="1:9" x14ac:dyDescent="0.2">
      <c r="A423" s="22"/>
      <c r="B423" s="22"/>
      <c r="C423" s="19"/>
      <c r="D423" s="19"/>
      <c r="E423" s="19"/>
      <c r="F423" s="19"/>
      <c r="G423" s="19"/>
      <c r="H423" s="19"/>
      <c r="I423" s="8"/>
    </row>
    <row r="424" spans="1:9" x14ac:dyDescent="0.2">
      <c r="A424" s="22"/>
      <c r="B424" s="22"/>
      <c r="C424" s="19"/>
      <c r="D424" s="19"/>
      <c r="E424" s="19"/>
      <c r="F424" s="19"/>
      <c r="G424" s="19"/>
      <c r="H424" s="19"/>
      <c r="I424" s="8"/>
    </row>
    <row r="425" spans="1:9" x14ac:dyDescent="0.2">
      <c r="A425" s="22"/>
      <c r="B425" s="22"/>
      <c r="C425" s="19"/>
      <c r="D425" s="19"/>
      <c r="E425" s="19"/>
      <c r="F425" s="19"/>
      <c r="G425" s="19"/>
      <c r="H425" s="19"/>
      <c r="I425" s="8"/>
    </row>
    <row r="426" spans="1:9" x14ac:dyDescent="0.2">
      <c r="A426" s="22"/>
      <c r="B426" s="22"/>
      <c r="C426" s="19"/>
      <c r="D426" s="19"/>
      <c r="E426" s="19"/>
      <c r="F426" s="19"/>
      <c r="G426" s="19"/>
      <c r="H426" s="19"/>
      <c r="I426" s="8"/>
    </row>
    <row r="427" spans="1:9" x14ac:dyDescent="0.2">
      <c r="A427" s="22"/>
      <c r="B427" s="22"/>
      <c r="C427" s="19"/>
      <c r="D427" s="19"/>
      <c r="E427" s="19"/>
      <c r="F427" s="19"/>
      <c r="G427" s="19"/>
      <c r="H427" s="19"/>
      <c r="I427" s="8"/>
    </row>
    <row r="428" spans="1:9" x14ac:dyDescent="0.2">
      <c r="A428" s="22"/>
      <c r="B428" s="22"/>
      <c r="C428" s="19"/>
      <c r="D428" s="19"/>
      <c r="E428" s="19"/>
      <c r="F428" s="19"/>
      <c r="G428" s="19"/>
      <c r="H428" s="19"/>
      <c r="I428" s="8"/>
    </row>
    <row r="429" spans="1:9" x14ac:dyDescent="0.2">
      <c r="A429" s="22"/>
      <c r="B429" s="22"/>
      <c r="C429" s="19"/>
      <c r="D429" s="19"/>
      <c r="E429" s="19"/>
      <c r="F429" s="19"/>
      <c r="G429" s="19"/>
      <c r="H429" s="19"/>
      <c r="I429" s="8"/>
    </row>
    <row r="430" spans="1:9" x14ac:dyDescent="0.2">
      <c r="A430" s="22"/>
      <c r="B430" s="22"/>
      <c r="C430" s="19"/>
      <c r="D430" s="19"/>
      <c r="E430" s="19"/>
      <c r="F430" s="19"/>
      <c r="G430" s="19"/>
      <c r="H430" s="19"/>
      <c r="I430" s="8"/>
    </row>
    <row r="431" spans="1:9" x14ac:dyDescent="0.2">
      <c r="A431" s="22"/>
      <c r="B431" s="22"/>
      <c r="C431" s="19"/>
      <c r="D431" s="19"/>
      <c r="E431" s="19"/>
      <c r="F431" s="19"/>
      <c r="G431" s="19"/>
      <c r="H431" s="19"/>
      <c r="I431" s="8"/>
    </row>
    <row r="432" spans="1:9" x14ac:dyDescent="0.2">
      <c r="A432" s="22"/>
      <c r="B432" s="22"/>
      <c r="C432" s="19"/>
      <c r="D432" s="19"/>
      <c r="E432" s="19"/>
      <c r="F432" s="19"/>
      <c r="G432" s="19"/>
      <c r="H432" s="19"/>
      <c r="I432" s="8"/>
    </row>
    <row r="433" spans="1:9" x14ac:dyDescent="0.2">
      <c r="A433" s="22"/>
      <c r="B433" s="22"/>
      <c r="C433" s="19"/>
      <c r="D433" s="19"/>
      <c r="E433" s="19"/>
      <c r="F433" s="19"/>
      <c r="G433" s="19"/>
      <c r="H433" s="19"/>
      <c r="I433" s="8"/>
    </row>
    <row r="434" spans="1:9" x14ac:dyDescent="0.2">
      <c r="A434" s="22"/>
      <c r="B434" s="22"/>
      <c r="C434" s="19"/>
      <c r="D434" s="19"/>
      <c r="E434" s="19"/>
      <c r="F434" s="19"/>
      <c r="G434" s="19"/>
      <c r="H434" s="19"/>
      <c r="I434" s="8"/>
    </row>
    <row r="435" spans="1:9" x14ac:dyDescent="0.2">
      <c r="A435" s="22"/>
      <c r="B435" s="22"/>
      <c r="C435" s="19"/>
      <c r="D435" s="19"/>
      <c r="E435" s="19"/>
      <c r="F435" s="19"/>
      <c r="G435" s="19"/>
      <c r="H435" s="19"/>
      <c r="I435" s="8"/>
    </row>
    <row r="436" spans="1:9" x14ac:dyDescent="0.2">
      <c r="A436" s="22"/>
      <c r="B436" s="22"/>
      <c r="C436" s="19"/>
      <c r="D436" s="19"/>
      <c r="E436" s="19"/>
      <c r="F436" s="19"/>
      <c r="G436" s="19"/>
      <c r="H436" s="19"/>
      <c r="I436" s="8"/>
    </row>
    <row r="437" spans="1:9" x14ac:dyDescent="0.2">
      <c r="A437" s="22"/>
      <c r="B437" s="22"/>
      <c r="C437" s="19"/>
      <c r="D437" s="19"/>
      <c r="E437" s="19"/>
      <c r="F437" s="19"/>
      <c r="G437" s="19"/>
      <c r="H437" s="19"/>
      <c r="I437" s="8"/>
    </row>
    <row r="438" spans="1:9" x14ac:dyDescent="0.2">
      <c r="A438" s="22"/>
      <c r="B438" s="22"/>
      <c r="C438" s="19"/>
      <c r="D438" s="19"/>
      <c r="E438" s="19"/>
      <c r="F438" s="19"/>
      <c r="G438" s="19"/>
      <c r="H438" s="19"/>
      <c r="I438" s="8"/>
    </row>
    <row r="439" spans="1:9" x14ac:dyDescent="0.2">
      <c r="A439" s="22"/>
      <c r="B439" s="22"/>
      <c r="C439" s="19"/>
      <c r="D439" s="19"/>
      <c r="E439" s="19"/>
      <c r="F439" s="19"/>
      <c r="G439" s="19"/>
      <c r="H439" s="19"/>
      <c r="I439" s="8"/>
    </row>
    <row r="440" spans="1:9" x14ac:dyDescent="0.2">
      <c r="A440" s="22"/>
      <c r="B440" s="22"/>
      <c r="C440" s="19"/>
      <c r="D440" s="19"/>
      <c r="E440" s="19"/>
      <c r="F440" s="19"/>
      <c r="G440" s="19"/>
      <c r="H440" s="19"/>
      <c r="I440" s="8"/>
    </row>
    <row r="441" spans="1:9" x14ac:dyDescent="0.2">
      <c r="A441" s="22"/>
      <c r="B441" s="22"/>
      <c r="C441" s="19"/>
      <c r="D441" s="19"/>
      <c r="E441" s="19"/>
      <c r="F441" s="19"/>
      <c r="G441" s="19"/>
      <c r="H441" s="19"/>
      <c r="I441" s="8"/>
    </row>
    <row r="442" spans="1:9" x14ac:dyDescent="0.2">
      <c r="A442" s="22"/>
      <c r="B442" s="22"/>
      <c r="C442" s="19"/>
      <c r="D442" s="19"/>
      <c r="E442" s="19"/>
      <c r="F442" s="19"/>
      <c r="G442" s="19"/>
      <c r="H442" s="19"/>
      <c r="I442" s="8"/>
    </row>
    <row r="443" spans="1:9" x14ac:dyDescent="0.2">
      <c r="A443" s="22"/>
      <c r="B443" s="22"/>
      <c r="C443" s="19"/>
      <c r="D443" s="19"/>
      <c r="E443" s="19"/>
      <c r="F443" s="19"/>
      <c r="G443" s="19"/>
      <c r="H443" s="19"/>
      <c r="I443" s="8"/>
    </row>
    <row r="444" spans="1:9" x14ac:dyDescent="0.2">
      <c r="A444" s="22"/>
      <c r="B444" s="22"/>
      <c r="C444" s="19"/>
      <c r="D444" s="19"/>
      <c r="E444" s="19"/>
      <c r="F444" s="19"/>
      <c r="G444" s="19"/>
      <c r="H444" s="19"/>
      <c r="I444" s="8"/>
    </row>
    <row r="445" spans="1:9" x14ac:dyDescent="0.2">
      <c r="A445" s="22"/>
      <c r="B445" s="22"/>
      <c r="C445" s="19"/>
      <c r="D445" s="19"/>
      <c r="E445" s="19"/>
      <c r="F445" s="19"/>
      <c r="G445" s="19"/>
      <c r="H445" s="19"/>
      <c r="I445" s="8"/>
    </row>
    <row r="446" spans="1:9" x14ac:dyDescent="0.2">
      <c r="A446" s="22"/>
      <c r="B446" s="22"/>
      <c r="C446" s="19"/>
      <c r="D446" s="19"/>
      <c r="E446" s="19"/>
      <c r="F446" s="19"/>
      <c r="G446" s="19"/>
      <c r="H446" s="19"/>
      <c r="I446" s="8"/>
    </row>
    <row r="447" spans="1:9" x14ac:dyDescent="0.2">
      <c r="A447" s="22"/>
      <c r="B447" s="22"/>
      <c r="C447" s="19"/>
      <c r="D447" s="19"/>
      <c r="E447" s="19"/>
      <c r="F447" s="19"/>
      <c r="G447" s="19"/>
      <c r="H447" s="19"/>
      <c r="I447" s="8"/>
    </row>
    <row r="448" spans="1:9" x14ac:dyDescent="0.2">
      <c r="A448" s="22"/>
      <c r="B448" s="22"/>
      <c r="C448" s="19"/>
      <c r="D448" s="19"/>
      <c r="E448" s="19"/>
      <c r="F448" s="19"/>
      <c r="G448" s="19"/>
      <c r="H448" s="19"/>
      <c r="I448" s="8"/>
    </row>
    <row r="449" spans="1:9" x14ac:dyDescent="0.2">
      <c r="A449" s="22"/>
      <c r="B449" s="22"/>
      <c r="C449" s="19"/>
      <c r="D449" s="19"/>
      <c r="E449" s="19"/>
      <c r="F449" s="19"/>
      <c r="G449" s="19"/>
      <c r="H449" s="19"/>
      <c r="I449" s="8"/>
    </row>
    <row r="450" spans="1:9" x14ac:dyDescent="0.2">
      <c r="A450" s="22"/>
      <c r="B450" s="22"/>
      <c r="C450" s="19"/>
      <c r="D450" s="19"/>
      <c r="E450" s="19"/>
      <c r="F450" s="19"/>
      <c r="G450" s="19"/>
      <c r="H450" s="19"/>
      <c r="I450" s="8"/>
    </row>
    <row r="451" spans="1:9" x14ac:dyDescent="0.2">
      <c r="A451" s="22"/>
      <c r="B451" s="22"/>
      <c r="C451" s="19"/>
      <c r="D451" s="19"/>
      <c r="E451" s="19"/>
      <c r="F451" s="19"/>
      <c r="G451" s="19"/>
      <c r="H451" s="19"/>
      <c r="I451" s="8"/>
    </row>
    <row r="452" spans="1:9" x14ac:dyDescent="0.2">
      <c r="A452" s="22"/>
      <c r="B452" s="22"/>
      <c r="C452" s="19"/>
      <c r="D452" s="19"/>
      <c r="E452" s="19"/>
      <c r="F452" s="19"/>
      <c r="G452" s="19"/>
      <c r="H452" s="19"/>
      <c r="I452" s="8"/>
    </row>
    <row r="453" spans="1:9" x14ac:dyDescent="0.2">
      <c r="A453" s="22"/>
      <c r="B453" s="22"/>
      <c r="C453" s="19"/>
      <c r="D453" s="19"/>
      <c r="E453" s="19"/>
      <c r="F453" s="19"/>
      <c r="G453" s="19"/>
      <c r="H453" s="19"/>
      <c r="I453" s="8"/>
    </row>
    <row r="454" spans="1:9" x14ac:dyDescent="0.2">
      <c r="A454" s="22"/>
      <c r="B454" s="22"/>
      <c r="C454" s="19"/>
      <c r="D454" s="19"/>
      <c r="E454" s="19"/>
      <c r="F454" s="19"/>
      <c r="G454" s="19"/>
      <c r="H454" s="19"/>
      <c r="I454" s="8"/>
    </row>
    <row r="455" spans="1:9" x14ac:dyDescent="0.2">
      <c r="A455" s="22"/>
      <c r="B455" s="22"/>
      <c r="C455" s="19"/>
      <c r="D455" s="19"/>
      <c r="E455" s="19"/>
      <c r="F455" s="19"/>
      <c r="G455" s="19"/>
      <c r="H455" s="19"/>
      <c r="I455" s="8"/>
    </row>
    <row r="456" spans="1:9" x14ac:dyDescent="0.2">
      <c r="A456" s="22"/>
      <c r="B456" s="22"/>
      <c r="C456" s="19"/>
      <c r="D456" s="19"/>
      <c r="E456" s="19"/>
      <c r="F456" s="19"/>
      <c r="G456" s="19"/>
      <c r="H456" s="19"/>
      <c r="I456" s="8"/>
    </row>
    <row r="457" spans="1:9" x14ac:dyDescent="0.2">
      <c r="A457" s="22"/>
      <c r="B457" s="22"/>
      <c r="C457" s="19"/>
      <c r="D457" s="19"/>
      <c r="E457" s="19"/>
      <c r="F457" s="19"/>
      <c r="G457" s="19"/>
      <c r="H457" s="19"/>
      <c r="I457" s="8"/>
    </row>
    <row r="458" spans="1:9" x14ac:dyDescent="0.2">
      <c r="A458" s="22"/>
      <c r="B458" s="22"/>
      <c r="C458" s="19"/>
      <c r="D458" s="19"/>
      <c r="E458" s="19"/>
      <c r="F458" s="19"/>
      <c r="G458" s="19"/>
      <c r="H458" s="19"/>
      <c r="I458" s="8"/>
    </row>
    <row r="459" spans="1:9" x14ac:dyDescent="0.2">
      <c r="A459" s="22"/>
      <c r="B459" s="22"/>
      <c r="C459" s="19"/>
      <c r="D459" s="19"/>
      <c r="E459" s="19"/>
      <c r="F459" s="19"/>
      <c r="G459" s="19"/>
      <c r="H459" s="19"/>
      <c r="I459" s="8"/>
    </row>
    <row r="460" spans="1:9" x14ac:dyDescent="0.2">
      <c r="A460" s="22"/>
      <c r="B460" s="22"/>
      <c r="C460" s="19"/>
      <c r="D460" s="19"/>
      <c r="E460" s="19"/>
      <c r="F460" s="19"/>
      <c r="G460" s="19"/>
      <c r="H460" s="19"/>
      <c r="I460" s="8"/>
    </row>
    <row r="461" spans="1:9" x14ac:dyDescent="0.2">
      <c r="A461" s="22"/>
      <c r="B461" s="22"/>
      <c r="C461" s="19"/>
      <c r="D461" s="19"/>
      <c r="E461" s="19"/>
      <c r="F461" s="19"/>
      <c r="G461" s="19"/>
      <c r="H461" s="19"/>
      <c r="I461" s="8"/>
    </row>
    <row r="462" spans="1:9" x14ac:dyDescent="0.2">
      <c r="A462" s="22"/>
      <c r="B462" s="22"/>
      <c r="C462" s="19"/>
      <c r="D462" s="19"/>
      <c r="E462" s="19"/>
      <c r="F462" s="19"/>
      <c r="G462" s="19"/>
      <c r="H462" s="19"/>
      <c r="I462" s="8"/>
    </row>
    <row r="463" spans="1:9" x14ac:dyDescent="0.2">
      <c r="A463" s="22"/>
      <c r="B463" s="22"/>
      <c r="C463" s="19"/>
      <c r="D463" s="19"/>
      <c r="E463" s="19"/>
      <c r="F463" s="19"/>
      <c r="G463" s="19"/>
      <c r="H463" s="19"/>
      <c r="I463" s="8"/>
    </row>
    <row r="464" spans="1:9" x14ac:dyDescent="0.2">
      <c r="A464" s="22"/>
      <c r="B464" s="22"/>
      <c r="C464" s="19"/>
      <c r="D464" s="19"/>
      <c r="E464" s="19"/>
      <c r="F464" s="19"/>
      <c r="G464" s="19"/>
      <c r="H464" s="19"/>
      <c r="I464" s="8"/>
    </row>
    <row r="465" spans="1:9" x14ac:dyDescent="0.2">
      <c r="A465" s="22"/>
      <c r="B465" s="22"/>
      <c r="C465" s="19"/>
      <c r="D465" s="19"/>
      <c r="E465" s="19"/>
      <c r="F465" s="19"/>
      <c r="G465" s="19"/>
      <c r="H465" s="19"/>
      <c r="I465" s="8"/>
    </row>
    <row r="466" spans="1:9" x14ac:dyDescent="0.2">
      <c r="A466" s="22"/>
      <c r="B466" s="22"/>
      <c r="C466" s="19"/>
      <c r="D466" s="19"/>
      <c r="E466" s="19"/>
      <c r="F466" s="19"/>
      <c r="G466" s="19"/>
      <c r="H466" s="19"/>
      <c r="I466" s="8"/>
    </row>
    <row r="467" spans="1:9" x14ac:dyDescent="0.2">
      <c r="A467" s="22"/>
      <c r="B467" s="22"/>
      <c r="C467" s="19"/>
      <c r="D467" s="19"/>
      <c r="E467" s="19"/>
      <c r="F467" s="19"/>
      <c r="G467" s="19"/>
      <c r="H467" s="19"/>
      <c r="I467" s="8"/>
    </row>
    <row r="468" spans="1:9" x14ac:dyDescent="0.2">
      <c r="A468" s="22"/>
      <c r="B468" s="22"/>
      <c r="C468" s="19"/>
      <c r="D468" s="19"/>
      <c r="E468" s="19"/>
      <c r="F468" s="19"/>
      <c r="G468" s="19"/>
      <c r="H468" s="19"/>
      <c r="I468" s="8"/>
    </row>
    <row r="469" spans="1:9" x14ac:dyDescent="0.2">
      <c r="A469" s="22"/>
      <c r="B469" s="22"/>
      <c r="C469" s="19"/>
      <c r="D469" s="19"/>
      <c r="E469" s="19"/>
      <c r="F469" s="19"/>
      <c r="G469" s="19"/>
      <c r="H469" s="19"/>
      <c r="I469" s="8"/>
    </row>
    <row r="470" spans="1:9" x14ac:dyDescent="0.2">
      <c r="A470" s="22"/>
      <c r="B470" s="22"/>
      <c r="C470" s="19"/>
      <c r="D470" s="19"/>
      <c r="E470" s="19"/>
      <c r="F470" s="19"/>
      <c r="G470" s="19"/>
      <c r="H470" s="19"/>
      <c r="I470" s="8"/>
    </row>
    <row r="471" spans="1:9" x14ac:dyDescent="0.2">
      <c r="A471" s="22"/>
      <c r="B471" s="22"/>
      <c r="C471" s="19"/>
      <c r="D471" s="19"/>
      <c r="E471" s="19"/>
      <c r="F471" s="19"/>
      <c r="G471" s="19"/>
      <c r="H471" s="19"/>
      <c r="I471" s="8"/>
    </row>
    <row r="472" spans="1:9" x14ac:dyDescent="0.2">
      <c r="A472" s="22"/>
      <c r="B472" s="22"/>
      <c r="C472" s="19"/>
      <c r="D472" s="19"/>
      <c r="E472" s="19"/>
      <c r="F472" s="19"/>
      <c r="G472" s="19"/>
      <c r="H472" s="19"/>
      <c r="I472" s="8"/>
    </row>
    <row r="473" spans="1:9" x14ac:dyDescent="0.2">
      <c r="A473" s="22"/>
      <c r="B473" s="22"/>
      <c r="C473" s="19"/>
      <c r="D473" s="19"/>
      <c r="E473" s="19"/>
      <c r="F473" s="19"/>
      <c r="G473" s="19"/>
      <c r="H473" s="19"/>
      <c r="I473" s="8"/>
    </row>
    <row r="474" spans="1:9" x14ac:dyDescent="0.2">
      <c r="A474" s="22"/>
      <c r="B474" s="22"/>
      <c r="C474" s="19"/>
      <c r="D474" s="19"/>
      <c r="E474" s="19"/>
      <c r="F474" s="19"/>
      <c r="G474" s="19"/>
      <c r="H474" s="19"/>
      <c r="I474" s="8"/>
    </row>
    <row r="475" spans="1:9" x14ac:dyDescent="0.2">
      <c r="A475" s="22"/>
      <c r="B475" s="22"/>
      <c r="C475" s="19"/>
      <c r="D475" s="19"/>
      <c r="E475" s="19"/>
      <c r="F475" s="19"/>
      <c r="G475" s="19"/>
      <c r="H475" s="19"/>
      <c r="I475" s="8"/>
    </row>
    <row r="476" spans="1:9" x14ac:dyDescent="0.2">
      <c r="A476" s="22"/>
      <c r="B476" s="22"/>
      <c r="C476" s="19"/>
      <c r="D476" s="19"/>
      <c r="E476" s="19"/>
      <c r="F476" s="19"/>
      <c r="G476" s="19"/>
      <c r="H476" s="19"/>
      <c r="I476" s="8"/>
    </row>
    <row r="477" spans="1:9" x14ac:dyDescent="0.2">
      <c r="A477" s="22"/>
      <c r="B477" s="22"/>
      <c r="C477" s="19"/>
      <c r="D477" s="19"/>
      <c r="E477" s="19"/>
      <c r="F477" s="19"/>
      <c r="G477" s="19"/>
      <c r="H477" s="19"/>
      <c r="I477" s="8"/>
    </row>
    <row r="478" spans="1:9" x14ac:dyDescent="0.2">
      <c r="A478" s="22"/>
      <c r="B478" s="22"/>
      <c r="C478" s="19"/>
      <c r="D478" s="19"/>
      <c r="E478" s="19"/>
      <c r="F478" s="19"/>
      <c r="G478" s="19"/>
      <c r="H478" s="19"/>
      <c r="I478" s="8"/>
    </row>
    <row r="479" spans="1:9" x14ac:dyDescent="0.2">
      <c r="A479" s="22"/>
      <c r="B479" s="22"/>
      <c r="C479" s="19"/>
      <c r="D479" s="19"/>
      <c r="E479" s="19"/>
      <c r="F479" s="19"/>
      <c r="G479" s="19"/>
      <c r="H479" s="19"/>
      <c r="I479" s="8"/>
    </row>
    <row r="480" spans="1:9" x14ac:dyDescent="0.2">
      <c r="A480" s="22"/>
      <c r="B480" s="22"/>
      <c r="C480" s="19"/>
      <c r="D480" s="19"/>
      <c r="E480" s="19"/>
      <c r="F480" s="19"/>
      <c r="G480" s="19"/>
      <c r="H480" s="19"/>
      <c r="I480" s="8"/>
    </row>
    <row r="481" spans="1:9" x14ac:dyDescent="0.2">
      <c r="A481" s="22"/>
      <c r="B481" s="22"/>
      <c r="C481" s="19"/>
      <c r="D481" s="19"/>
      <c r="E481" s="19"/>
      <c r="F481" s="19"/>
      <c r="G481" s="19"/>
      <c r="H481" s="19"/>
      <c r="I481" s="8"/>
    </row>
    <row r="482" spans="1:9" x14ac:dyDescent="0.2">
      <c r="A482" s="22"/>
      <c r="B482" s="22"/>
      <c r="C482" s="19"/>
      <c r="D482" s="19"/>
      <c r="E482" s="19"/>
      <c r="F482" s="19"/>
      <c r="G482" s="19"/>
      <c r="H482" s="19"/>
      <c r="I482" s="8"/>
    </row>
    <row r="483" spans="1:9" x14ac:dyDescent="0.2">
      <c r="A483" s="22"/>
      <c r="B483" s="22"/>
      <c r="C483" s="19"/>
      <c r="D483" s="19"/>
      <c r="E483" s="19"/>
      <c r="F483" s="19"/>
      <c r="G483" s="19"/>
      <c r="H483" s="19"/>
      <c r="I483" s="8"/>
    </row>
    <row r="484" spans="1:9" x14ac:dyDescent="0.2">
      <c r="A484" s="22"/>
      <c r="B484" s="22"/>
      <c r="C484" s="19"/>
      <c r="D484" s="19"/>
      <c r="E484" s="19"/>
      <c r="F484" s="19"/>
      <c r="G484" s="19"/>
      <c r="H484" s="19"/>
      <c r="I484" s="8"/>
    </row>
    <row r="485" spans="1:9" x14ac:dyDescent="0.2">
      <c r="A485" s="22"/>
      <c r="B485" s="22"/>
      <c r="C485" s="19"/>
      <c r="D485" s="19"/>
      <c r="E485" s="19"/>
      <c r="F485" s="19"/>
      <c r="G485" s="19"/>
      <c r="H485" s="19"/>
      <c r="I485" s="8"/>
    </row>
    <row r="486" spans="1:9" x14ac:dyDescent="0.2">
      <c r="A486" s="22"/>
      <c r="B486" s="22"/>
      <c r="C486" s="19"/>
      <c r="D486" s="19"/>
      <c r="E486" s="19"/>
      <c r="F486" s="19"/>
      <c r="G486" s="19"/>
      <c r="H486" s="19"/>
      <c r="I486" s="8"/>
    </row>
    <row r="487" spans="1:9" x14ac:dyDescent="0.2">
      <c r="A487" s="22"/>
      <c r="B487" s="22"/>
      <c r="C487" s="19"/>
      <c r="D487" s="19"/>
      <c r="E487" s="19"/>
      <c r="F487" s="19"/>
      <c r="G487" s="19"/>
      <c r="H487" s="19"/>
      <c r="I487" s="8"/>
    </row>
    <row r="488" spans="1:9" x14ac:dyDescent="0.2">
      <c r="A488" s="22"/>
      <c r="B488" s="22"/>
      <c r="C488" s="19"/>
      <c r="D488" s="19"/>
      <c r="E488" s="19"/>
      <c r="F488" s="19"/>
      <c r="G488" s="19"/>
      <c r="H488" s="19"/>
      <c r="I488" s="8"/>
    </row>
    <row r="489" spans="1:9" x14ac:dyDescent="0.2">
      <c r="A489" s="22"/>
      <c r="B489" s="22"/>
      <c r="C489" s="19"/>
      <c r="D489" s="19"/>
      <c r="E489" s="19"/>
      <c r="F489" s="19"/>
      <c r="G489" s="19"/>
      <c r="H489" s="19"/>
      <c r="I489" s="8"/>
    </row>
    <row r="490" spans="1:9" x14ac:dyDescent="0.2">
      <c r="A490" s="22"/>
      <c r="B490" s="22"/>
      <c r="C490" s="19"/>
      <c r="D490" s="19"/>
      <c r="E490" s="19"/>
      <c r="F490" s="19"/>
      <c r="G490" s="19"/>
      <c r="H490" s="19"/>
      <c r="I490" s="8"/>
    </row>
    <row r="491" spans="1:9" x14ac:dyDescent="0.2">
      <c r="A491" s="22"/>
      <c r="B491" s="22"/>
      <c r="C491" s="19"/>
      <c r="D491" s="19"/>
      <c r="E491" s="19"/>
      <c r="F491" s="19"/>
      <c r="G491" s="19"/>
      <c r="H491" s="19"/>
      <c r="I491" s="8"/>
    </row>
    <row r="492" spans="1:9" x14ac:dyDescent="0.2">
      <c r="A492" s="22"/>
      <c r="B492" s="22"/>
      <c r="C492" s="19"/>
      <c r="D492" s="19"/>
      <c r="E492" s="19"/>
      <c r="F492" s="19"/>
      <c r="G492" s="19"/>
      <c r="H492" s="19"/>
      <c r="I492" s="8"/>
    </row>
    <row r="493" spans="1:9" x14ac:dyDescent="0.2">
      <c r="A493" s="22"/>
      <c r="B493" s="22"/>
      <c r="C493" s="19"/>
      <c r="D493" s="19"/>
      <c r="E493" s="19"/>
      <c r="F493" s="19"/>
      <c r="G493" s="19"/>
      <c r="H493" s="19"/>
      <c r="I493" s="8"/>
    </row>
    <row r="494" spans="1:9" x14ac:dyDescent="0.2">
      <c r="A494" s="22"/>
      <c r="B494" s="22"/>
      <c r="C494" s="19"/>
      <c r="D494" s="19"/>
      <c r="E494" s="19"/>
      <c r="F494" s="19"/>
      <c r="G494" s="19"/>
      <c r="H494" s="19"/>
      <c r="I494" s="8"/>
    </row>
    <row r="495" spans="1:9" x14ac:dyDescent="0.2">
      <c r="A495" s="22"/>
      <c r="B495" s="22"/>
      <c r="C495" s="19"/>
      <c r="D495" s="19"/>
      <c r="E495" s="19"/>
      <c r="F495" s="19"/>
      <c r="G495" s="19"/>
      <c r="H495" s="19"/>
      <c r="I495" s="8"/>
    </row>
    <row r="496" spans="1:9" x14ac:dyDescent="0.2">
      <c r="A496" s="22"/>
      <c r="B496" s="22"/>
      <c r="C496" s="19"/>
      <c r="D496" s="19"/>
      <c r="E496" s="19"/>
      <c r="F496" s="19"/>
      <c r="G496" s="19"/>
      <c r="H496" s="19"/>
      <c r="I496" s="8"/>
    </row>
    <row r="497" spans="1:9" x14ac:dyDescent="0.2">
      <c r="A497" s="22"/>
      <c r="B497" s="22"/>
      <c r="C497" s="19"/>
      <c r="D497" s="19"/>
      <c r="E497" s="19"/>
      <c r="F497" s="19"/>
      <c r="G497" s="19"/>
      <c r="H497" s="19"/>
      <c r="I497" s="8"/>
    </row>
    <row r="498" spans="1:9" x14ac:dyDescent="0.2">
      <c r="A498" s="22"/>
      <c r="B498" s="22"/>
      <c r="C498" s="19"/>
      <c r="D498" s="19"/>
      <c r="E498" s="19"/>
      <c r="F498" s="19"/>
      <c r="G498" s="19"/>
      <c r="H498" s="19"/>
      <c r="I498" s="8"/>
    </row>
    <row r="499" spans="1:9" x14ac:dyDescent="0.2">
      <c r="A499" s="22"/>
      <c r="B499" s="22"/>
      <c r="C499" s="19"/>
      <c r="D499" s="19"/>
      <c r="E499" s="19"/>
      <c r="F499" s="19"/>
      <c r="G499" s="19"/>
      <c r="H499" s="19"/>
      <c r="I499" s="8"/>
    </row>
    <row r="500" spans="1:9" x14ac:dyDescent="0.2">
      <c r="A500" s="22"/>
      <c r="B500" s="22"/>
      <c r="C500" s="19"/>
      <c r="D500" s="19"/>
      <c r="E500" s="19"/>
      <c r="F500" s="19"/>
      <c r="G500" s="19"/>
      <c r="H500" s="19"/>
      <c r="I500" s="8"/>
    </row>
    <row r="501" spans="1:9" x14ac:dyDescent="0.2">
      <c r="A501" s="22"/>
      <c r="B501" s="22"/>
      <c r="C501" s="19"/>
      <c r="D501" s="19"/>
      <c r="E501" s="19"/>
      <c r="F501" s="19"/>
      <c r="G501" s="19"/>
      <c r="H501" s="19"/>
      <c r="I501" s="8"/>
    </row>
    <row r="502" spans="1:9" x14ac:dyDescent="0.2">
      <c r="A502" s="22"/>
      <c r="B502" s="22"/>
      <c r="C502" s="19"/>
      <c r="D502" s="19"/>
      <c r="E502" s="19"/>
      <c r="F502" s="19"/>
      <c r="G502" s="19"/>
      <c r="H502" s="19"/>
      <c r="I502" s="8"/>
    </row>
    <row r="503" spans="1:9" x14ac:dyDescent="0.2">
      <c r="A503" s="22"/>
      <c r="B503" s="22"/>
      <c r="C503" s="19"/>
      <c r="D503" s="19"/>
      <c r="E503" s="19"/>
      <c r="F503" s="19"/>
      <c r="G503" s="19"/>
      <c r="H503" s="19"/>
      <c r="I503" s="8"/>
    </row>
    <row r="504" spans="1:9" x14ac:dyDescent="0.2">
      <c r="A504" s="22"/>
      <c r="B504" s="22"/>
      <c r="C504" s="19"/>
      <c r="D504" s="19"/>
      <c r="E504" s="19"/>
      <c r="F504" s="19"/>
      <c r="G504" s="19"/>
      <c r="H504" s="19"/>
      <c r="I504" s="8"/>
    </row>
    <row r="505" spans="1:9" x14ac:dyDescent="0.2">
      <c r="A505" s="22"/>
      <c r="B505" s="22"/>
      <c r="C505" s="19"/>
      <c r="D505" s="19"/>
      <c r="E505" s="19"/>
      <c r="F505" s="19"/>
      <c r="G505" s="19"/>
      <c r="H505" s="19"/>
      <c r="I505" s="8"/>
    </row>
    <row r="506" spans="1:9" x14ac:dyDescent="0.2">
      <c r="A506" s="22"/>
      <c r="B506" s="22"/>
      <c r="C506" s="19"/>
      <c r="D506" s="19"/>
      <c r="E506" s="19"/>
      <c r="F506" s="19"/>
      <c r="G506" s="19"/>
      <c r="H506" s="19"/>
      <c r="I506" s="8"/>
    </row>
    <row r="507" spans="1:9" x14ac:dyDescent="0.2">
      <c r="A507" s="22"/>
      <c r="B507" s="22"/>
      <c r="C507" s="19"/>
      <c r="D507" s="19"/>
      <c r="E507" s="19"/>
      <c r="F507" s="19"/>
      <c r="G507" s="19"/>
      <c r="H507" s="19"/>
      <c r="I507" s="8"/>
    </row>
    <row r="508" spans="1:9" x14ac:dyDescent="0.2">
      <c r="A508" s="22"/>
      <c r="B508" s="22"/>
      <c r="C508" s="19"/>
      <c r="D508" s="19"/>
      <c r="E508" s="19"/>
      <c r="F508" s="19"/>
      <c r="G508" s="19"/>
      <c r="H508" s="19"/>
      <c r="I508" s="8"/>
    </row>
    <row r="509" spans="1:9" x14ac:dyDescent="0.2">
      <c r="A509" s="22"/>
      <c r="B509" s="22"/>
      <c r="C509" s="19"/>
      <c r="D509" s="19"/>
      <c r="E509" s="19"/>
      <c r="F509" s="19"/>
      <c r="G509" s="19"/>
      <c r="H509" s="19"/>
      <c r="I509" s="8"/>
    </row>
    <row r="510" spans="1:9" x14ac:dyDescent="0.2">
      <c r="A510" s="22"/>
      <c r="B510" s="22"/>
      <c r="C510" s="19"/>
      <c r="D510" s="19"/>
      <c r="E510" s="19"/>
      <c r="F510" s="19"/>
      <c r="G510" s="19"/>
      <c r="H510" s="19"/>
      <c r="I510" s="8"/>
    </row>
    <row r="511" spans="1:9" x14ac:dyDescent="0.2">
      <c r="A511" s="22"/>
      <c r="B511" s="22"/>
      <c r="C511" s="19"/>
      <c r="D511" s="19"/>
      <c r="E511" s="19"/>
      <c r="F511" s="19"/>
      <c r="G511" s="19"/>
      <c r="H511" s="19"/>
      <c r="I511" s="8"/>
    </row>
    <row r="512" spans="1:9" x14ac:dyDescent="0.2">
      <c r="A512" s="22"/>
      <c r="B512" s="22"/>
      <c r="C512" s="19"/>
      <c r="D512" s="19"/>
      <c r="E512" s="19"/>
      <c r="F512" s="19"/>
      <c r="G512" s="19"/>
      <c r="H512" s="19"/>
      <c r="I512" s="8"/>
    </row>
    <row r="513" spans="1:9" x14ac:dyDescent="0.2">
      <c r="A513" s="22"/>
      <c r="B513" s="22"/>
      <c r="C513" s="19"/>
      <c r="D513" s="19"/>
      <c r="E513" s="19"/>
      <c r="F513" s="19"/>
      <c r="G513" s="19"/>
      <c r="H513" s="19"/>
      <c r="I513" s="8"/>
    </row>
    <row r="514" spans="1:9" x14ac:dyDescent="0.2">
      <c r="A514" s="22"/>
      <c r="B514" s="22"/>
      <c r="C514" s="19"/>
      <c r="D514" s="19"/>
      <c r="E514" s="19"/>
      <c r="F514" s="19"/>
      <c r="G514" s="19"/>
      <c r="H514" s="19"/>
      <c r="I514" s="8"/>
    </row>
    <row r="515" spans="1:9" x14ac:dyDescent="0.2">
      <c r="A515" s="22"/>
      <c r="B515" s="22"/>
      <c r="C515" s="19"/>
      <c r="D515" s="19"/>
      <c r="E515" s="19"/>
      <c r="F515" s="19"/>
      <c r="G515" s="19"/>
      <c r="H515" s="19"/>
      <c r="I515" s="8"/>
    </row>
    <row r="516" spans="1:9" x14ac:dyDescent="0.2">
      <c r="A516" s="22"/>
      <c r="B516" s="22"/>
      <c r="C516" s="19"/>
      <c r="D516" s="19"/>
      <c r="E516" s="19"/>
      <c r="F516" s="19"/>
      <c r="G516" s="19"/>
      <c r="H516" s="19"/>
      <c r="I516" s="8"/>
    </row>
    <row r="517" spans="1:9" x14ac:dyDescent="0.2">
      <c r="A517" s="22"/>
      <c r="B517" s="22"/>
      <c r="C517" s="19"/>
      <c r="D517" s="19"/>
      <c r="E517" s="19"/>
      <c r="F517" s="19"/>
      <c r="G517" s="19"/>
      <c r="H517" s="19"/>
      <c r="I517" s="8"/>
    </row>
    <row r="518" spans="1:9" x14ac:dyDescent="0.2">
      <c r="A518" s="22"/>
      <c r="B518" s="22"/>
      <c r="C518" s="19"/>
      <c r="D518" s="19"/>
      <c r="E518" s="19"/>
      <c r="F518" s="19"/>
      <c r="G518" s="19"/>
      <c r="H518" s="19"/>
      <c r="I518" s="8"/>
    </row>
    <row r="519" spans="1:9" x14ac:dyDescent="0.2">
      <c r="A519" s="22"/>
      <c r="B519" s="22"/>
      <c r="C519" s="19"/>
      <c r="D519" s="19"/>
      <c r="E519" s="19"/>
      <c r="F519" s="19"/>
      <c r="G519" s="19"/>
      <c r="H519" s="19"/>
      <c r="I519" s="8"/>
    </row>
    <row r="520" spans="1:9" x14ac:dyDescent="0.2">
      <c r="A520" s="22"/>
      <c r="B520" s="22"/>
      <c r="C520" s="19"/>
      <c r="D520" s="19"/>
      <c r="E520" s="19"/>
      <c r="F520" s="19"/>
      <c r="G520" s="19"/>
      <c r="H520" s="19"/>
      <c r="I520" s="8"/>
    </row>
    <row r="521" spans="1:9" x14ac:dyDescent="0.2">
      <c r="A521" s="22"/>
      <c r="B521" s="22"/>
      <c r="C521" s="19"/>
      <c r="D521" s="19"/>
      <c r="E521" s="19"/>
      <c r="F521" s="19"/>
      <c r="G521" s="19"/>
      <c r="H521" s="19"/>
      <c r="I521" s="8"/>
    </row>
    <row r="522" spans="1:9" x14ac:dyDescent="0.2">
      <c r="A522" s="22"/>
      <c r="B522" s="22"/>
      <c r="C522" s="19"/>
      <c r="D522" s="19"/>
      <c r="E522" s="19"/>
      <c r="F522" s="19"/>
      <c r="G522" s="19"/>
      <c r="H522" s="19"/>
      <c r="I522" s="8"/>
    </row>
    <row r="523" spans="1:9" x14ac:dyDescent="0.2">
      <c r="A523" s="22"/>
      <c r="B523" s="22"/>
      <c r="C523" s="19"/>
      <c r="D523" s="19"/>
      <c r="E523" s="19"/>
      <c r="F523" s="19"/>
      <c r="G523" s="19"/>
      <c r="H523" s="19"/>
      <c r="I523" s="8"/>
    </row>
    <row r="524" spans="1:9" x14ac:dyDescent="0.2">
      <c r="A524" s="22"/>
      <c r="B524" s="22"/>
      <c r="C524" s="19"/>
      <c r="D524" s="19"/>
      <c r="E524" s="19"/>
      <c r="F524" s="19"/>
      <c r="G524" s="19"/>
      <c r="H524" s="19"/>
      <c r="I524" s="8"/>
    </row>
    <row r="525" spans="1:9" x14ac:dyDescent="0.2">
      <c r="A525" s="22"/>
      <c r="B525" s="22"/>
      <c r="C525" s="19"/>
      <c r="D525" s="19"/>
      <c r="E525" s="19"/>
      <c r="F525" s="19"/>
      <c r="G525" s="19"/>
      <c r="H525" s="19"/>
      <c r="I525" s="8"/>
    </row>
    <row r="526" spans="1:9" x14ac:dyDescent="0.2">
      <c r="A526" s="22"/>
      <c r="B526" s="22"/>
      <c r="C526" s="19"/>
      <c r="D526" s="19"/>
      <c r="E526" s="19"/>
      <c r="F526" s="19"/>
      <c r="G526" s="19"/>
      <c r="H526" s="19"/>
      <c r="I526" s="8"/>
    </row>
    <row r="527" spans="1:9" x14ac:dyDescent="0.2">
      <c r="A527" s="22"/>
      <c r="B527" s="22"/>
      <c r="C527" s="19"/>
      <c r="D527" s="19"/>
      <c r="E527" s="19"/>
      <c r="F527" s="19"/>
      <c r="G527" s="19"/>
      <c r="H527" s="19"/>
      <c r="I527" s="8"/>
    </row>
    <row r="528" spans="1:9" x14ac:dyDescent="0.2">
      <c r="A528" s="22"/>
      <c r="B528" s="22"/>
      <c r="C528" s="19"/>
      <c r="D528" s="19"/>
      <c r="E528" s="19"/>
      <c r="F528" s="19"/>
      <c r="G528" s="19"/>
      <c r="H528" s="19"/>
      <c r="I528" s="8"/>
    </row>
    <row r="529" spans="1:9" x14ac:dyDescent="0.2">
      <c r="A529" s="22"/>
      <c r="B529" s="22"/>
      <c r="C529" s="19"/>
      <c r="D529" s="19"/>
      <c r="E529" s="19"/>
      <c r="F529" s="19"/>
      <c r="G529" s="19"/>
      <c r="H529" s="19"/>
      <c r="I529" s="8"/>
    </row>
    <row r="530" spans="1:9" x14ac:dyDescent="0.2">
      <c r="A530" s="22"/>
      <c r="B530" s="22"/>
      <c r="C530" s="19"/>
      <c r="D530" s="19"/>
      <c r="E530" s="19"/>
      <c r="F530" s="19"/>
      <c r="G530" s="19"/>
      <c r="H530" s="19"/>
      <c r="I530" s="8"/>
    </row>
    <row r="531" spans="1:9" x14ac:dyDescent="0.2">
      <c r="A531" s="22"/>
      <c r="B531" s="22"/>
      <c r="C531" s="19"/>
      <c r="D531" s="19"/>
      <c r="E531" s="19"/>
      <c r="F531" s="19"/>
      <c r="G531" s="19"/>
      <c r="H531" s="19"/>
      <c r="I531" s="8"/>
    </row>
    <row r="532" spans="1:9" x14ac:dyDescent="0.2">
      <c r="A532" s="22"/>
      <c r="B532" s="22"/>
      <c r="C532" s="19"/>
      <c r="D532" s="19"/>
      <c r="E532" s="19"/>
      <c r="F532" s="19"/>
      <c r="G532" s="19"/>
      <c r="H532" s="19"/>
      <c r="I532" s="8"/>
    </row>
    <row r="533" spans="1:9" x14ac:dyDescent="0.2">
      <c r="A533" s="22"/>
      <c r="B533" s="22"/>
      <c r="C533" s="19"/>
      <c r="D533" s="19"/>
      <c r="E533" s="19"/>
      <c r="F533" s="19"/>
      <c r="G533" s="19"/>
      <c r="H533" s="19"/>
      <c r="I533" s="8"/>
    </row>
    <row r="534" spans="1:9" x14ac:dyDescent="0.2">
      <c r="A534" s="22"/>
      <c r="B534" s="22"/>
      <c r="C534" s="19"/>
      <c r="D534" s="19"/>
      <c r="E534" s="19"/>
      <c r="F534" s="19"/>
      <c r="G534" s="19"/>
      <c r="H534" s="19"/>
      <c r="I534" s="8"/>
    </row>
    <row r="535" spans="1:9" x14ac:dyDescent="0.2">
      <c r="A535" s="22"/>
      <c r="B535" s="22"/>
      <c r="C535" s="19"/>
      <c r="D535" s="19"/>
      <c r="E535" s="19"/>
      <c r="F535" s="19"/>
      <c r="G535" s="19"/>
      <c r="H535" s="19"/>
      <c r="I535" s="8"/>
    </row>
    <row r="536" spans="1:9" x14ac:dyDescent="0.2">
      <c r="A536" s="22"/>
      <c r="B536" s="22"/>
      <c r="C536" s="19"/>
      <c r="D536" s="19"/>
      <c r="E536" s="19"/>
      <c r="F536" s="19"/>
      <c r="G536" s="19"/>
      <c r="H536" s="19"/>
      <c r="I536" s="8"/>
    </row>
    <row r="537" spans="1:9" x14ac:dyDescent="0.2">
      <c r="A537" s="22"/>
      <c r="B537" s="22"/>
      <c r="C537" s="19"/>
      <c r="D537" s="19"/>
      <c r="E537" s="19"/>
      <c r="F537" s="19"/>
      <c r="G537" s="19"/>
      <c r="H537" s="19"/>
      <c r="I537" s="8"/>
    </row>
    <row r="538" spans="1:9" x14ac:dyDescent="0.2">
      <c r="A538" s="22"/>
      <c r="B538" s="22"/>
      <c r="C538" s="19"/>
      <c r="D538" s="19"/>
      <c r="E538" s="19"/>
      <c r="F538" s="19"/>
      <c r="G538" s="19"/>
      <c r="H538" s="19"/>
      <c r="I538" s="8"/>
    </row>
    <row r="539" spans="1:9" x14ac:dyDescent="0.2">
      <c r="A539" s="22"/>
      <c r="B539" s="22"/>
      <c r="C539" s="19"/>
      <c r="D539" s="19"/>
      <c r="E539" s="19"/>
      <c r="F539" s="19"/>
      <c r="G539" s="19"/>
      <c r="H539" s="19"/>
      <c r="I539" s="8"/>
    </row>
    <row r="540" spans="1:9" x14ac:dyDescent="0.2">
      <c r="A540" s="22"/>
      <c r="B540" s="22"/>
      <c r="C540" s="19"/>
      <c r="D540" s="19"/>
      <c r="E540" s="19"/>
      <c r="F540" s="19"/>
      <c r="G540" s="19"/>
      <c r="H540" s="19"/>
      <c r="I540" s="8"/>
    </row>
    <row r="541" spans="1:9" x14ac:dyDescent="0.2">
      <c r="A541" s="22"/>
      <c r="B541" s="22"/>
      <c r="C541" s="19"/>
      <c r="D541" s="19"/>
      <c r="E541" s="19"/>
      <c r="F541" s="19"/>
      <c r="G541" s="19"/>
      <c r="H541" s="19"/>
      <c r="I541" s="8"/>
    </row>
    <row r="542" spans="1:9" x14ac:dyDescent="0.2">
      <c r="A542" s="22"/>
      <c r="B542" s="22"/>
      <c r="C542" s="19"/>
      <c r="D542" s="19"/>
      <c r="E542" s="19"/>
      <c r="F542" s="19"/>
      <c r="G542" s="19"/>
      <c r="H542" s="19"/>
      <c r="I542" s="8"/>
    </row>
    <row r="543" spans="1:9" x14ac:dyDescent="0.2">
      <c r="A543" s="22"/>
      <c r="B543" s="22"/>
      <c r="C543" s="19"/>
      <c r="D543" s="19"/>
      <c r="E543" s="19"/>
      <c r="F543" s="19"/>
      <c r="G543" s="19"/>
      <c r="H543" s="19"/>
      <c r="I543" s="8"/>
    </row>
    <row r="544" spans="1:9" x14ac:dyDescent="0.2">
      <c r="A544" s="22"/>
      <c r="B544" s="22"/>
      <c r="C544" s="19"/>
      <c r="D544" s="19"/>
      <c r="E544" s="19"/>
      <c r="F544" s="19"/>
      <c r="G544" s="19"/>
      <c r="H544" s="19"/>
      <c r="I544" s="8"/>
    </row>
    <row r="545" spans="1:9" x14ac:dyDescent="0.2">
      <c r="A545" s="22"/>
      <c r="B545" s="22"/>
      <c r="C545" s="19"/>
      <c r="D545" s="19"/>
      <c r="E545" s="19"/>
      <c r="F545" s="19"/>
      <c r="G545" s="19"/>
      <c r="H545" s="19"/>
      <c r="I545" s="8"/>
    </row>
    <row r="546" spans="1:9" x14ac:dyDescent="0.2">
      <c r="A546" s="22"/>
      <c r="B546" s="22"/>
      <c r="C546" s="19"/>
      <c r="D546" s="19"/>
      <c r="E546" s="19"/>
      <c r="F546" s="19"/>
      <c r="G546" s="19"/>
      <c r="H546" s="19"/>
      <c r="I546" s="8"/>
    </row>
    <row r="547" spans="1:9" x14ac:dyDescent="0.2">
      <c r="A547" s="22"/>
      <c r="B547" s="22"/>
      <c r="C547" s="19"/>
      <c r="D547" s="19"/>
      <c r="E547" s="19"/>
      <c r="F547" s="19"/>
      <c r="G547" s="19"/>
      <c r="H547" s="19"/>
      <c r="I547" s="8"/>
    </row>
    <row r="548" spans="1:9" x14ac:dyDescent="0.2">
      <c r="A548" s="22"/>
      <c r="B548" s="22"/>
      <c r="C548" s="19"/>
      <c r="D548" s="19"/>
      <c r="E548" s="19"/>
      <c r="F548" s="19"/>
      <c r="G548" s="19"/>
      <c r="H548" s="19"/>
      <c r="I548" s="8"/>
    </row>
    <row r="549" spans="1:9" x14ac:dyDescent="0.2">
      <c r="A549" s="22"/>
      <c r="B549" s="22"/>
      <c r="C549" s="19"/>
      <c r="D549" s="19"/>
      <c r="E549" s="19"/>
      <c r="F549" s="19"/>
      <c r="G549" s="19"/>
      <c r="H549" s="19"/>
      <c r="I549" s="8"/>
    </row>
    <row r="550" spans="1:9" x14ac:dyDescent="0.2">
      <c r="A550" s="22"/>
      <c r="B550" s="22"/>
      <c r="C550" s="19"/>
      <c r="D550" s="19"/>
      <c r="E550" s="19"/>
      <c r="F550" s="19"/>
      <c r="G550" s="19"/>
      <c r="H550" s="19"/>
      <c r="I550" s="8"/>
    </row>
    <row r="551" spans="1:9" x14ac:dyDescent="0.2">
      <c r="A551" s="22"/>
      <c r="B551" s="22"/>
      <c r="C551" s="19"/>
      <c r="D551" s="19"/>
      <c r="E551" s="19"/>
      <c r="F551" s="19"/>
      <c r="G551" s="19"/>
      <c r="H551" s="19"/>
      <c r="I551" s="8"/>
    </row>
    <row r="552" spans="1:9" x14ac:dyDescent="0.2">
      <c r="A552" s="22"/>
      <c r="B552" s="22"/>
      <c r="C552" s="19"/>
      <c r="D552" s="19"/>
      <c r="E552" s="19"/>
      <c r="F552" s="19"/>
      <c r="G552" s="19"/>
      <c r="H552" s="19"/>
      <c r="I552" s="8"/>
    </row>
    <row r="553" spans="1:9" x14ac:dyDescent="0.2">
      <c r="A553" s="22"/>
      <c r="B553" s="22"/>
      <c r="C553" s="19"/>
      <c r="D553" s="19"/>
      <c r="E553" s="19"/>
      <c r="F553" s="19"/>
      <c r="G553" s="19"/>
      <c r="H553" s="19"/>
      <c r="I553" s="8"/>
    </row>
    <row r="554" spans="1:9" x14ac:dyDescent="0.2">
      <c r="A554" s="22"/>
      <c r="B554" s="22"/>
      <c r="C554" s="19"/>
      <c r="D554" s="19"/>
      <c r="E554" s="19"/>
      <c r="F554" s="19"/>
      <c r="G554" s="19"/>
      <c r="H554" s="19"/>
      <c r="I554" s="8"/>
    </row>
    <row r="555" spans="1:9" x14ac:dyDescent="0.2">
      <c r="A555" s="22"/>
      <c r="B555" s="22"/>
      <c r="C555" s="19"/>
      <c r="D555" s="19"/>
      <c r="E555" s="19"/>
      <c r="F555" s="19"/>
      <c r="G555" s="19"/>
      <c r="H555" s="19"/>
      <c r="I555" s="8"/>
    </row>
    <row r="556" spans="1:9" x14ac:dyDescent="0.2">
      <c r="A556" s="22"/>
      <c r="B556" s="22"/>
      <c r="C556" s="19"/>
      <c r="D556" s="19"/>
      <c r="E556" s="19"/>
      <c r="F556" s="19"/>
      <c r="G556" s="19"/>
      <c r="H556" s="19"/>
      <c r="I556" s="8"/>
    </row>
    <row r="557" spans="1:9" x14ac:dyDescent="0.2">
      <c r="A557" s="22"/>
      <c r="B557" s="22"/>
      <c r="C557" s="19"/>
      <c r="D557" s="19"/>
      <c r="E557" s="19"/>
      <c r="F557" s="19"/>
      <c r="G557" s="19"/>
      <c r="H557" s="19"/>
      <c r="I557" s="8"/>
    </row>
    <row r="558" spans="1:9" x14ac:dyDescent="0.2">
      <c r="A558" s="22"/>
      <c r="B558" s="22"/>
      <c r="C558" s="19"/>
      <c r="D558" s="19"/>
      <c r="E558" s="19"/>
      <c r="F558" s="19"/>
      <c r="G558" s="19"/>
      <c r="H558" s="19"/>
      <c r="I558" s="8"/>
    </row>
    <row r="559" spans="1:9" x14ac:dyDescent="0.2">
      <c r="A559" s="22"/>
      <c r="B559" s="22"/>
      <c r="C559" s="19"/>
      <c r="D559" s="19"/>
      <c r="E559" s="19"/>
      <c r="F559" s="19"/>
      <c r="G559" s="19"/>
      <c r="H559" s="19"/>
      <c r="I559" s="8"/>
    </row>
    <row r="560" spans="1:9" x14ac:dyDescent="0.2">
      <c r="A560" s="22"/>
      <c r="B560" s="22"/>
      <c r="C560" s="19"/>
      <c r="D560" s="19"/>
      <c r="E560" s="19"/>
      <c r="F560" s="19"/>
      <c r="G560" s="19"/>
      <c r="H560" s="19"/>
      <c r="I560" s="8"/>
    </row>
    <row r="561" spans="1:9" x14ac:dyDescent="0.2">
      <c r="A561" s="22"/>
      <c r="B561" s="22"/>
      <c r="C561" s="19"/>
      <c r="D561" s="19"/>
      <c r="E561" s="19"/>
      <c r="F561" s="19"/>
      <c r="G561" s="19"/>
      <c r="H561" s="19"/>
      <c r="I561" s="8"/>
    </row>
    <row r="562" spans="1:9" x14ac:dyDescent="0.2">
      <c r="A562" s="22"/>
      <c r="B562" s="22"/>
      <c r="C562" s="19"/>
      <c r="D562" s="19"/>
      <c r="E562" s="19"/>
      <c r="F562" s="19"/>
      <c r="G562" s="19"/>
      <c r="H562" s="19"/>
      <c r="I562" s="8"/>
    </row>
    <row r="563" spans="1:9" x14ac:dyDescent="0.2">
      <c r="A563" s="22"/>
      <c r="B563" s="22"/>
      <c r="C563" s="19"/>
      <c r="D563" s="19"/>
      <c r="E563" s="19"/>
      <c r="F563" s="19"/>
      <c r="G563" s="19"/>
      <c r="H563" s="19"/>
      <c r="I563" s="8"/>
    </row>
    <row r="564" spans="1:9" x14ac:dyDescent="0.2">
      <c r="A564" s="22"/>
      <c r="B564" s="22"/>
      <c r="C564" s="19"/>
      <c r="D564" s="19"/>
      <c r="E564" s="19"/>
      <c r="F564" s="19"/>
      <c r="G564" s="19"/>
      <c r="H564" s="19"/>
      <c r="I564" s="8"/>
    </row>
    <row r="565" spans="1:9" x14ac:dyDescent="0.2">
      <c r="A565" s="22"/>
      <c r="B565" s="22"/>
      <c r="C565" s="19"/>
      <c r="D565" s="19"/>
      <c r="E565" s="19"/>
      <c r="F565" s="19"/>
      <c r="G565" s="19"/>
      <c r="H565" s="19"/>
      <c r="I565" s="8"/>
    </row>
    <row r="566" spans="1:9" x14ac:dyDescent="0.2">
      <c r="A566" s="22"/>
      <c r="B566" s="22"/>
      <c r="C566" s="19"/>
      <c r="D566" s="19"/>
      <c r="E566" s="19"/>
      <c r="F566" s="19"/>
      <c r="G566" s="19"/>
      <c r="H566" s="19"/>
      <c r="I566" s="8"/>
    </row>
    <row r="567" spans="1:9" x14ac:dyDescent="0.2">
      <c r="A567" s="22"/>
      <c r="B567" s="22"/>
      <c r="C567" s="19"/>
      <c r="D567" s="19"/>
      <c r="E567" s="19"/>
      <c r="F567" s="19"/>
      <c r="G567" s="19"/>
      <c r="H567" s="19"/>
      <c r="I567" s="8"/>
    </row>
    <row r="568" spans="1:9" x14ac:dyDescent="0.2">
      <c r="A568" s="22"/>
      <c r="B568" s="22"/>
      <c r="C568" s="19"/>
      <c r="D568" s="19"/>
      <c r="E568" s="19"/>
      <c r="F568" s="19"/>
      <c r="G568" s="19"/>
      <c r="H568" s="19"/>
      <c r="I568" s="8"/>
    </row>
    <row r="569" spans="1:9" x14ac:dyDescent="0.2">
      <c r="A569" s="22"/>
      <c r="B569" s="22"/>
      <c r="C569" s="19"/>
      <c r="D569" s="19"/>
      <c r="E569" s="19"/>
      <c r="F569" s="19"/>
      <c r="G569" s="19"/>
      <c r="H569" s="19"/>
      <c r="I569" s="8"/>
    </row>
    <row r="570" spans="1:9" x14ac:dyDescent="0.2">
      <c r="A570" s="22"/>
      <c r="B570" s="22"/>
      <c r="C570" s="19"/>
      <c r="D570" s="19"/>
      <c r="E570" s="19"/>
      <c r="F570" s="19"/>
      <c r="G570" s="19"/>
      <c r="H570" s="19"/>
      <c r="I570" s="8"/>
    </row>
    <row r="571" spans="1:9" x14ac:dyDescent="0.2">
      <c r="A571" s="22"/>
      <c r="B571" s="22"/>
      <c r="C571" s="19"/>
      <c r="D571" s="19"/>
      <c r="E571" s="19"/>
      <c r="F571" s="19"/>
      <c r="G571" s="19"/>
      <c r="H571" s="19"/>
      <c r="I571" s="8"/>
    </row>
    <row r="572" spans="1:9" x14ac:dyDescent="0.2">
      <c r="A572" s="22"/>
      <c r="B572" s="22"/>
      <c r="C572" s="19"/>
      <c r="D572" s="19"/>
      <c r="E572" s="19"/>
      <c r="F572" s="19"/>
      <c r="G572" s="19"/>
      <c r="H572" s="19"/>
      <c r="I572" s="8"/>
    </row>
    <row r="573" spans="1:9" x14ac:dyDescent="0.2">
      <c r="A573" s="22"/>
      <c r="B573" s="22"/>
      <c r="C573" s="19"/>
      <c r="D573" s="19"/>
      <c r="E573" s="19"/>
      <c r="F573" s="19"/>
      <c r="G573" s="19"/>
      <c r="H573" s="19"/>
      <c r="I573" s="8"/>
    </row>
    <row r="574" spans="1:9" x14ac:dyDescent="0.2">
      <c r="A574" s="22"/>
      <c r="B574" s="22"/>
      <c r="C574" s="19"/>
      <c r="D574" s="19"/>
      <c r="E574" s="19"/>
      <c r="F574" s="19"/>
      <c r="G574" s="19"/>
      <c r="H574" s="19"/>
      <c r="I574" s="8"/>
    </row>
    <row r="575" spans="1:9" x14ac:dyDescent="0.2">
      <c r="A575" s="22"/>
      <c r="B575" s="22"/>
      <c r="C575" s="19"/>
      <c r="D575" s="19"/>
      <c r="E575" s="19"/>
      <c r="F575" s="19"/>
      <c r="G575" s="19"/>
      <c r="H575" s="19"/>
      <c r="I575" s="8"/>
    </row>
    <row r="576" spans="1:9" x14ac:dyDescent="0.2">
      <c r="A576" s="22"/>
      <c r="B576" s="22"/>
      <c r="C576" s="19"/>
      <c r="D576" s="19"/>
      <c r="E576" s="19"/>
      <c r="F576" s="19"/>
      <c r="G576" s="19"/>
      <c r="H576" s="19"/>
      <c r="I576" s="8"/>
    </row>
    <row r="577" spans="1:9" x14ac:dyDescent="0.2">
      <c r="A577" s="22"/>
      <c r="B577" s="22"/>
      <c r="C577" s="19"/>
      <c r="D577" s="19"/>
      <c r="E577" s="19"/>
      <c r="F577" s="19"/>
      <c r="G577" s="19"/>
      <c r="H577" s="19"/>
      <c r="I577" s="8"/>
    </row>
    <row r="578" spans="1:9" x14ac:dyDescent="0.2">
      <c r="A578" s="22"/>
      <c r="B578" s="22"/>
      <c r="C578" s="19"/>
      <c r="D578" s="19"/>
      <c r="E578" s="19"/>
      <c r="F578" s="19"/>
      <c r="G578" s="19"/>
      <c r="H578" s="19"/>
      <c r="I578" s="8"/>
    </row>
    <row r="579" spans="1:9" x14ac:dyDescent="0.2">
      <c r="A579" s="22"/>
      <c r="B579" s="22"/>
      <c r="C579" s="19"/>
      <c r="D579" s="19"/>
      <c r="E579" s="19"/>
      <c r="F579" s="19"/>
      <c r="G579" s="19"/>
      <c r="H579" s="19"/>
      <c r="I579" s="8"/>
    </row>
    <row r="580" spans="1:9" x14ac:dyDescent="0.2">
      <c r="A580" s="22"/>
      <c r="B580" s="22"/>
      <c r="C580" s="19"/>
      <c r="D580" s="19"/>
      <c r="E580" s="19"/>
      <c r="F580" s="19"/>
      <c r="G580" s="19"/>
      <c r="H580" s="19"/>
      <c r="I580" s="8"/>
    </row>
    <row r="581" spans="1:9" x14ac:dyDescent="0.2">
      <c r="A581" s="22"/>
      <c r="B581" s="22"/>
      <c r="C581" s="19"/>
      <c r="D581" s="19"/>
      <c r="E581" s="19"/>
      <c r="F581" s="19"/>
      <c r="G581" s="19"/>
      <c r="H581" s="19"/>
      <c r="I581" s="8"/>
    </row>
    <row r="582" spans="1:9" x14ac:dyDescent="0.2">
      <c r="A582" s="22"/>
      <c r="B582" s="22"/>
      <c r="C582" s="19"/>
      <c r="D582" s="19"/>
      <c r="E582" s="19"/>
      <c r="F582" s="19"/>
      <c r="G582" s="19"/>
      <c r="H582" s="19"/>
      <c r="I582" s="8"/>
    </row>
    <row r="583" spans="1:9" x14ac:dyDescent="0.2">
      <c r="A583" s="22"/>
      <c r="B583" s="22"/>
      <c r="C583" s="19"/>
      <c r="D583" s="19"/>
      <c r="E583" s="19"/>
      <c r="F583" s="19"/>
      <c r="G583" s="19"/>
      <c r="H583" s="19"/>
      <c r="I583" s="8"/>
    </row>
    <row r="584" spans="1:9" x14ac:dyDescent="0.2">
      <c r="A584" s="22"/>
      <c r="B584" s="22"/>
      <c r="C584" s="19"/>
      <c r="D584" s="19"/>
      <c r="E584" s="19"/>
      <c r="F584" s="19"/>
      <c r="G584" s="19"/>
      <c r="H584" s="19"/>
      <c r="I584" s="8"/>
    </row>
    <row r="585" spans="1:9" x14ac:dyDescent="0.2">
      <c r="A585" s="22"/>
      <c r="B585" s="22"/>
      <c r="C585" s="19"/>
      <c r="D585" s="19"/>
      <c r="E585" s="19"/>
      <c r="F585" s="19"/>
      <c r="G585" s="19"/>
      <c r="H585" s="19"/>
      <c r="I585" s="8"/>
    </row>
    <row r="586" spans="1:9" x14ac:dyDescent="0.2">
      <c r="A586" s="22"/>
      <c r="B586" s="22"/>
      <c r="C586" s="19"/>
      <c r="D586" s="19"/>
      <c r="E586" s="19"/>
      <c r="F586" s="19"/>
      <c r="G586" s="19"/>
      <c r="H586" s="19"/>
      <c r="I586" s="8"/>
    </row>
    <row r="587" spans="1:9" x14ac:dyDescent="0.2">
      <c r="A587" s="22"/>
      <c r="B587" s="22"/>
      <c r="C587" s="19"/>
      <c r="D587" s="19"/>
      <c r="E587" s="19"/>
      <c r="F587" s="19"/>
      <c r="G587" s="19"/>
      <c r="H587" s="19"/>
      <c r="I587" s="8"/>
    </row>
    <row r="588" spans="1:9" x14ac:dyDescent="0.2">
      <c r="A588" s="22"/>
      <c r="B588" s="22"/>
      <c r="C588" s="19"/>
      <c r="D588" s="19"/>
      <c r="E588" s="19"/>
      <c r="F588" s="19"/>
      <c r="G588" s="19"/>
      <c r="H588" s="19"/>
      <c r="I588" s="8"/>
    </row>
    <row r="589" spans="1:9" x14ac:dyDescent="0.2">
      <c r="A589" s="22"/>
      <c r="B589" s="22"/>
      <c r="C589" s="19"/>
      <c r="D589" s="19"/>
      <c r="E589" s="19"/>
      <c r="F589" s="19"/>
      <c r="G589" s="19"/>
      <c r="H589" s="19"/>
      <c r="I589" s="8"/>
    </row>
    <row r="590" spans="1:9" x14ac:dyDescent="0.2">
      <c r="A590" s="22"/>
      <c r="B590" s="22"/>
      <c r="C590" s="19"/>
      <c r="D590" s="19"/>
      <c r="E590" s="19"/>
      <c r="F590" s="19"/>
      <c r="G590" s="19"/>
      <c r="H590" s="19"/>
      <c r="I590" s="8"/>
    </row>
    <row r="591" spans="1:9" x14ac:dyDescent="0.2">
      <c r="A591" s="22"/>
      <c r="B591" s="22"/>
      <c r="C591" s="19"/>
      <c r="D591" s="19"/>
      <c r="E591" s="19"/>
      <c r="F591" s="19"/>
      <c r="G591" s="19"/>
      <c r="H591" s="19"/>
      <c r="I591" s="8"/>
    </row>
    <row r="592" spans="1:9" x14ac:dyDescent="0.2">
      <c r="A592" s="22"/>
      <c r="B592" s="22"/>
      <c r="C592" s="19"/>
      <c r="D592" s="19"/>
      <c r="E592" s="19"/>
      <c r="F592" s="19"/>
      <c r="G592" s="19"/>
      <c r="H592" s="19"/>
      <c r="I592" s="8"/>
    </row>
    <row r="593" spans="1:9" x14ac:dyDescent="0.2">
      <c r="A593" s="22"/>
      <c r="B593" s="22"/>
      <c r="C593" s="19"/>
      <c r="D593" s="19"/>
      <c r="E593" s="19"/>
      <c r="F593" s="19"/>
      <c r="G593" s="19"/>
      <c r="H593" s="19"/>
      <c r="I593" s="8"/>
    </row>
    <row r="594" spans="1:9" x14ac:dyDescent="0.2">
      <c r="A594" s="22"/>
      <c r="B594" s="22"/>
      <c r="C594" s="19"/>
      <c r="D594" s="19"/>
      <c r="E594" s="19"/>
      <c r="F594" s="19"/>
      <c r="G594" s="19"/>
      <c r="H594" s="19"/>
      <c r="I594" s="8"/>
    </row>
    <row r="595" spans="1:9" x14ac:dyDescent="0.2">
      <c r="A595" s="22"/>
      <c r="B595" s="22"/>
      <c r="C595" s="19"/>
      <c r="D595" s="19"/>
      <c r="E595" s="19"/>
      <c r="F595" s="19"/>
      <c r="G595" s="19"/>
      <c r="H595" s="19"/>
      <c r="I595" s="8"/>
    </row>
    <row r="596" spans="1:9" x14ac:dyDescent="0.2">
      <c r="A596" s="22"/>
      <c r="B596" s="22"/>
      <c r="C596" s="19"/>
      <c r="D596" s="19"/>
      <c r="E596" s="19"/>
      <c r="F596" s="19"/>
      <c r="G596" s="19"/>
      <c r="H596" s="19"/>
      <c r="I596" s="8"/>
    </row>
    <row r="597" spans="1:9" x14ac:dyDescent="0.2">
      <c r="A597" s="22"/>
      <c r="B597" s="22"/>
      <c r="C597" s="19"/>
      <c r="D597" s="19"/>
      <c r="E597" s="19"/>
      <c r="F597" s="19"/>
      <c r="G597" s="19"/>
      <c r="H597" s="19"/>
      <c r="I597" s="8"/>
    </row>
    <row r="598" spans="1:9" x14ac:dyDescent="0.2">
      <c r="A598" s="22"/>
      <c r="B598" s="22"/>
      <c r="C598" s="19"/>
      <c r="D598" s="19"/>
      <c r="E598" s="19"/>
      <c r="F598" s="19"/>
      <c r="G598" s="19"/>
      <c r="H598" s="19"/>
      <c r="I598" s="8"/>
    </row>
    <row r="599" spans="1:9" x14ac:dyDescent="0.2">
      <c r="A599" s="22"/>
      <c r="B599" s="22"/>
      <c r="C599" s="19"/>
      <c r="D599" s="19"/>
      <c r="E599" s="19"/>
      <c r="F599" s="19"/>
      <c r="G599" s="19"/>
      <c r="H599" s="19"/>
      <c r="I599" s="8"/>
    </row>
    <row r="600" spans="1:9" x14ac:dyDescent="0.2">
      <c r="A600" s="22"/>
      <c r="B600" s="22"/>
      <c r="C600" s="19"/>
      <c r="D600" s="19"/>
      <c r="E600" s="19"/>
      <c r="F600" s="19"/>
      <c r="G600" s="19"/>
      <c r="H600" s="19"/>
      <c r="I600" s="8"/>
    </row>
    <row r="601" spans="1:9" x14ac:dyDescent="0.2">
      <c r="A601" s="22"/>
      <c r="B601" s="22"/>
      <c r="C601" s="19"/>
      <c r="D601" s="19"/>
      <c r="E601" s="19"/>
      <c r="F601" s="19"/>
      <c r="G601" s="19"/>
      <c r="H601" s="19"/>
      <c r="I601" s="8"/>
    </row>
    <row r="602" spans="1:9" x14ac:dyDescent="0.2">
      <c r="A602" s="22"/>
      <c r="B602" s="22"/>
      <c r="C602" s="19"/>
      <c r="D602" s="19"/>
      <c r="E602" s="19"/>
      <c r="F602" s="19"/>
      <c r="G602" s="19"/>
      <c r="H602" s="19"/>
      <c r="I602" s="8"/>
    </row>
    <row r="603" spans="1:9" x14ac:dyDescent="0.2">
      <c r="A603" s="22"/>
      <c r="B603" s="22"/>
      <c r="C603" s="19"/>
      <c r="D603" s="19"/>
      <c r="E603" s="19"/>
      <c r="F603" s="19"/>
      <c r="G603" s="19"/>
      <c r="H603" s="19"/>
      <c r="I603" s="8"/>
    </row>
    <row r="604" spans="1:9" x14ac:dyDescent="0.2">
      <c r="A604" s="22"/>
      <c r="B604" s="22"/>
      <c r="C604" s="19"/>
      <c r="D604" s="19"/>
      <c r="E604" s="19"/>
      <c r="F604" s="19"/>
      <c r="G604" s="19"/>
      <c r="H604" s="19"/>
      <c r="I604" s="8"/>
    </row>
    <row r="605" spans="1:9" x14ac:dyDescent="0.2">
      <c r="A605" s="22"/>
      <c r="B605" s="22"/>
      <c r="C605" s="19"/>
      <c r="D605" s="19"/>
      <c r="E605" s="19"/>
      <c r="F605" s="19"/>
      <c r="G605" s="19"/>
      <c r="H605" s="19"/>
      <c r="I605" s="8"/>
    </row>
    <row r="606" spans="1:9" x14ac:dyDescent="0.2">
      <c r="A606" s="22"/>
      <c r="B606" s="22"/>
      <c r="C606" s="19"/>
      <c r="D606" s="19"/>
      <c r="E606" s="19"/>
      <c r="F606" s="19"/>
      <c r="G606" s="19"/>
      <c r="H606" s="19"/>
      <c r="I606" s="8"/>
    </row>
    <row r="607" spans="1:9" x14ac:dyDescent="0.2">
      <c r="A607" s="22"/>
      <c r="B607" s="22"/>
      <c r="C607" s="19"/>
      <c r="D607" s="19"/>
      <c r="E607" s="19"/>
      <c r="F607" s="19"/>
      <c r="G607" s="19"/>
      <c r="H607" s="19"/>
      <c r="I607" s="8"/>
    </row>
    <row r="608" spans="1:9" x14ac:dyDescent="0.2">
      <c r="A608" s="22"/>
      <c r="B608" s="22"/>
      <c r="C608" s="19"/>
      <c r="D608" s="19"/>
      <c r="E608" s="19"/>
      <c r="F608" s="19"/>
      <c r="G608" s="19"/>
      <c r="H608" s="19"/>
      <c r="I608" s="8"/>
    </row>
    <row r="609" spans="1:9" x14ac:dyDescent="0.2">
      <c r="A609" s="22"/>
      <c r="B609" s="22"/>
      <c r="C609" s="19"/>
      <c r="D609" s="19"/>
      <c r="E609" s="19"/>
      <c r="F609" s="19"/>
      <c r="G609" s="19"/>
      <c r="H609" s="19"/>
      <c r="I609" s="8"/>
    </row>
    <row r="610" spans="1:9" x14ac:dyDescent="0.2">
      <c r="A610" s="22"/>
      <c r="B610" s="22"/>
      <c r="C610" s="19"/>
      <c r="D610" s="19"/>
      <c r="E610" s="19"/>
      <c r="F610" s="19"/>
      <c r="G610" s="19"/>
      <c r="H610" s="20"/>
      <c r="I610" s="8"/>
    </row>
    <row r="611" spans="1:9" x14ac:dyDescent="0.2">
      <c r="A611" s="22"/>
      <c r="B611" s="22"/>
      <c r="C611" s="19"/>
      <c r="D611" s="19"/>
      <c r="E611" s="19"/>
      <c r="F611" s="19"/>
      <c r="G611" s="19"/>
      <c r="H611" s="19"/>
      <c r="I611" s="8"/>
    </row>
    <row r="612" spans="1:9" x14ac:dyDescent="0.2">
      <c r="A612" s="22"/>
      <c r="B612" s="22"/>
      <c r="C612" s="19"/>
      <c r="D612" s="19"/>
      <c r="E612" s="19"/>
      <c r="F612" s="19"/>
      <c r="G612" s="19"/>
      <c r="H612" s="19"/>
      <c r="I612" s="8"/>
    </row>
    <row r="613" spans="1:9" x14ac:dyDescent="0.2">
      <c r="A613" s="22"/>
      <c r="B613" s="22"/>
      <c r="C613" s="19"/>
      <c r="D613" s="19"/>
      <c r="E613" s="19"/>
      <c r="F613" s="19"/>
      <c r="G613" s="19"/>
      <c r="H613" s="19"/>
      <c r="I613" s="8"/>
    </row>
    <row r="614" spans="1:9" x14ac:dyDescent="0.2">
      <c r="A614" s="22"/>
      <c r="B614" s="22"/>
      <c r="C614" s="19"/>
      <c r="D614" s="19"/>
      <c r="E614" s="19"/>
      <c r="F614" s="19"/>
      <c r="G614" s="19"/>
      <c r="H614" s="19"/>
      <c r="I614" s="8"/>
    </row>
    <row r="615" spans="1:9" x14ac:dyDescent="0.2">
      <c r="A615" s="22"/>
      <c r="B615" s="22"/>
      <c r="C615" s="19"/>
      <c r="D615" s="19"/>
      <c r="E615" s="19"/>
      <c r="F615" s="19"/>
      <c r="G615" s="19"/>
      <c r="H615" s="19"/>
      <c r="I615" s="8"/>
    </row>
    <row r="616" spans="1:9" x14ac:dyDescent="0.2">
      <c r="A616" s="22"/>
      <c r="B616" s="22"/>
      <c r="C616" s="19"/>
      <c r="D616" s="19"/>
      <c r="E616" s="19"/>
      <c r="F616" s="19"/>
      <c r="G616" s="19"/>
      <c r="H616" s="19"/>
      <c r="I616" s="8"/>
    </row>
    <row r="617" spans="1:9" x14ac:dyDescent="0.2">
      <c r="A617" s="22"/>
      <c r="B617" s="22"/>
      <c r="C617" s="19"/>
      <c r="D617" s="19"/>
      <c r="E617" s="19"/>
      <c r="F617" s="19"/>
      <c r="G617" s="19"/>
      <c r="H617" s="19"/>
      <c r="I617" s="8"/>
    </row>
    <row r="618" spans="1:9" x14ac:dyDescent="0.2">
      <c r="A618" s="22"/>
      <c r="B618" s="22"/>
      <c r="C618" s="19"/>
      <c r="D618" s="19"/>
      <c r="E618" s="19"/>
      <c r="F618" s="19"/>
      <c r="G618" s="19"/>
      <c r="H618" s="19"/>
      <c r="I618" s="8"/>
    </row>
    <row r="619" spans="1:9" x14ac:dyDescent="0.2">
      <c r="A619" s="22"/>
      <c r="B619" s="22"/>
      <c r="C619" s="19"/>
      <c r="D619" s="19"/>
      <c r="E619" s="19"/>
      <c r="F619" s="19"/>
      <c r="G619" s="19"/>
      <c r="H619" s="19"/>
      <c r="I619" s="8"/>
    </row>
    <row r="620" spans="1:9" x14ac:dyDescent="0.2">
      <c r="A620" s="22"/>
      <c r="B620" s="22"/>
      <c r="C620" s="19"/>
      <c r="D620" s="19"/>
      <c r="E620" s="19"/>
      <c r="F620" s="19"/>
      <c r="G620" s="19"/>
      <c r="H620" s="19"/>
      <c r="I620" s="8"/>
    </row>
    <row r="621" spans="1:9" x14ac:dyDescent="0.2">
      <c r="A621" s="22"/>
      <c r="B621" s="22"/>
      <c r="C621" s="19"/>
      <c r="D621" s="19"/>
      <c r="E621" s="19"/>
      <c r="F621" s="19"/>
      <c r="G621" s="19"/>
      <c r="H621" s="19"/>
      <c r="I621" s="8"/>
    </row>
    <row r="622" spans="1:9" x14ac:dyDescent="0.2">
      <c r="A622" s="22"/>
      <c r="B622" s="22"/>
      <c r="C622" s="19"/>
      <c r="D622" s="19"/>
      <c r="E622" s="19"/>
      <c r="F622" s="19"/>
      <c r="G622" s="19"/>
      <c r="H622" s="19"/>
      <c r="I622" s="8"/>
    </row>
    <row r="623" spans="1:9" x14ac:dyDescent="0.2">
      <c r="A623" s="22"/>
      <c r="B623" s="22"/>
      <c r="C623" s="19"/>
      <c r="D623" s="19"/>
      <c r="E623" s="19"/>
      <c r="F623" s="19"/>
      <c r="G623" s="19"/>
      <c r="H623" s="19"/>
      <c r="I623" s="8"/>
    </row>
    <row r="624" spans="1:9" x14ac:dyDescent="0.2">
      <c r="A624" s="22"/>
      <c r="B624" s="22"/>
      <c r="C624" s="19"/>
      <c r="D624" s="19"/>
      <c r="E624" s="19"/>
      <c r="F624" s="19"/>
      <c r="G624" s="19"/>
      <c r="H624" s="19"/>
      <c r="I624" s="8"/>
    </row>
    <row r="625" spans="1:9" x14ac:dyDescent="0.2">
      <c r="A625" s="22"/>
      <c r="B625" s="22"/>
      <c r="C625" s="19"/>
      <c r="D625" s="19"/>
      <c r="E625" s="19"/>
      <c r="F625" s="19"/>
      <c r="G625" s="19"/>
      <c r="H625" s="19"/>
      <c r="I625" s="8"/>
    </row>
    <row r="626" spans="1:9" x14ac:dyDescent="0.2">
      <c r="A626" s="22"/>
      <c r="B626" s="22"/>
      <c r="C626" s="19"/>
      <c r="D626" s="19"/>
      <c r="E626" s="19"/>
      <c r="F626" s="19"/>
      <c r="G626" s="19"/>
      <c r="H626" s="19"/>
      <c r="I626" s="8"/>
    </row>
    <row r="627" spans="1:9" x14ac:dyDescent="0.2">
      <c r="A627" s="22"/>
      <c r="B627" s="22"/>
      <c r="C627" s="19"/>
      <c r="D627" s="19"/>
      <c r="E627" s="19"/>
      <c r="F627" s="19"/>
      <c r="G627" s="19"/>
      <c r="H627" s="19"/>
      <c r="I627" s="8"/>
    </row>
    <row r="628" spans="1:9" x14ac:dyDescent="0.2">
      <c r="A628" s="22"/>
      <c r="B628" s="22"/>
      <c r="C628" s="19"/>
      <c r="D628" s="19"/>
      <c r="E628" s="19"/>
      <c r="F628" s="19"/>
      <c r="G628" s="19"/>
      <c r="H628" s="19"/>
      <c r="I628" s="8"/>
    </row>
    <row r="629" spans="1:9" x14ac:dyDescent="0.2">
      <c r="A629" s="22"/>
      <c r="B629" s="22"/>
      <c r="C629" s="19"/>
      <c r="D629" s="19"/>
      <c r="E629" s="19"/>
      <c r="F629" s="19"/>
      <c r="G629" s="19"/>
      <c r="H629" s="19"/>
      <c r="I629" s="8"/>
    </row>
    <row r="630" spans="1:9" x14ac:dyDescent="0.2">
      <c r="A630" s="22"/>
      <c r="B630" s="22"/>
      <c r="C630" s="19"/>
      <c r="D630" s="19"/>
      <c r="E630" s="19"/>
      <c r="F630" s="19"/>
      <c r="G630" s="19"/>
      <c r="H630" s="19"/>
      <c r="I630" s="8"/>
    </row>
    <row r="631" spans="1:9" x14ac:dyDescent="0.2">
      <c r="A631" s="22"/>
      <c r="B631" s="22"/>
      <c r="C631" s="19"/>
      <c r="D631" s="19"/>
      <c r="E631" s="19"/>
      <c r="F631" s="19"/>
      <c r="G631" s="19"/>
      <c r="H631" s="19"/>
      <c r="I631" s="8"/>
    </row>
    <row r="632" spans="1:9" x14ac:dyDescent="0.2">
      <c r="A632" s="22"/>
      <c r="B632" s="22"/>
      <c r="C632" s="19"/>
      <c r="D632" s="19"/>
      <c r="E632" s="19"/>
      <c r="F632" s="19"/>
      <c r="G632" s="19"/>
      <c r="H632" s="19"/>
      <c r="I632" s="8"/>
    </row>
    <row r="633" spans="1:9" x14ac:dyDescent="0.2">
      <c r="A633" s="22"/>
      <c r="B633" s="22"/>
      <c r="C633" s="19"/>
      <c r="D633" s="19"/>
      <c r="E633" s="19"/>
      <c r="F633" s="19"/>
      <c r="G633" s="19"/>
      <c r="H633" s="19"/>
      <c r="I633" s="8"/>
    </row>
    <row r="634" spans="1:9" x14ac:dyDescent="0.2">
      <c r="A634" s="22"/>
      <c r="B634" s="22"/>
      <c r="C634" s="19"/>
      <c r="D634" s="19"/>
      <c r="E634" s="19"/>
      <c r="F634" s="19"/>
      <c r="G634" s="19"/>
      <c r="H634" s="19"/>
      <c r="I634" s="8"/>
    </row>
    <row r="635" spans="1:9" x14ac:dyDescent="0.2">
      <c r="A635" s="22"/>
      <c r="B635" s="22"/>
      <c r="C635" s="19"/>
      <c r="D635" s="19"/>
      <c r="E635" s="19"/>
      <c r="F635" s="19"/>
      <c r="G635" s="19"/>
      <c r="H635" s="19"/>
      <c r="I635" s="8"/>
    </row>
    <row r="636" spans="1:9" x14ac:dyDescent="0.2">
      <c r="A636" s="22"/>
      <c r="B636" s="22"/>
      <c r="C636" s="19"/>
      <c r="D636" s="19"/>
      <c r="E636" s="19"/>
      <c r="F636" s="19"/>
      <c r="G636" s="19"/>
      <c r="H636" s="19"/>
      <c r="I636" s="8"/>
    </row>
    <row r="637" spans="1:9" x14ac:dyDescent="0.2">
      <c r="A637" s="22"/>
      <c r="B637" s="22"/>
      <c r="C637" s="19"/>
      <c r="D637" s="19"/>
      <c r="E637" s="19"/>
      <c r="F637" s="19"/>
      <c r="G637" s="19"/>
      <c r="H637" s="19"/>
      <c r="I637" s="8"/>
    </row>
    <row r="638" spans="1:9" x14ac:dyDescent="0.2">
      <c r="A638" s="22"/>
      <c r="B638" s="22"/>
      <c r="C638" s="19"/>
      <c r="D638" s="19"/>
      <c r="E638" s="19"/>
      <c r="F638" s="19"/>
      <c r="G638" s="19"/>
      <c r="H638" s="19"/>
      <c r="I638" s="8"/>
    </row>
    <row r="639" spans="1:9" x14ac:dyDescent="0.2">
      <c r="A639" s="22"/>
      <c r="B639" s="22"/>
      <c r="C639" s="19"/>
      <c r="D639" s="19"/>
      <c r="E639" s="19"/>
      <c r="F639" s="19"/>
      <c r="G639" s="19"/>
      <c r="H639" s="19"/>
      <c r="I639" s="8"/>
    </row>
    <row r="640" spans="1:9" x14ac:dyDescent="0.2">
      <c r="A640" s="22"/>
      <c r="B640" s="22"/>
      <c r="C640" s="19"/>
      <c r="D640" s="19"/>
      <c r="E640" s="19"/>
      <c r="F640" s="19"/>
      <c r="G640" s="19"/>
      <c r="H640" s="19"/>
      <c r="I640" s="8"/>
    </row>
    <row r="641" spans="1:9" x14ac:dyDescent="0.2">
      <c r="A641" s="22"/>
      <c r="B641" s="22"/>
      <c r="C641" s="19"/>
      <c r="D641" s="19"/>
      <c r="E641" s="19"/>
      <c r="F641" s="19"/>
      <c r="G641" s="19"/>
      <c r="H641" s="19"/>
      <c r="I641" s="8"/>
    </row>
    <row r="642" spans="1:9" x14ac:dyDescent="0.2">
      <c r="A642" s="22"/>
      <c r="B642" s="22"/>
      <c r="C642" s="19"/>
      <c r="D642" s="19"/>
      <c r="E642" s="19"/>
      <c r="F642" s="19"/>
      <c r="G642" s="19"/>
      <c r="H642" s="19"/>
      <c r="I642" s="8"/>
    </row>
    <row r="643" spans="1:9" x14ac:dyDescent="0.2">
      <c r="A643" s="22"/>
      <c r="B643" s="22"/>
      <c r="C643" s="19"/>
      <c r="D643" s="19"/>
      <c r="E643" s="19"/>
      <c r="F643" s="19"/>
      <c r="G643" s="19"/>
      <c r="H643" s="19"/>
      <c r="I643" s="8"/>
    </row>
    <row r="644" spans="1:9" x14ac:dyDescent="0.2">
      <c r="A644" s="22"/>
      <c r="B644" s="22"/>
      <c r="C644" s="19"/>
      <c r="D644" s="19"/>
      <c r="E644" s="19"/>
      <c r="F644" s="19"/>
      <c r="G644" s="19"/>
      <c r="H644" s="19"/>
      <c r="I644" s="8"/>
    </row>
    <row r="645" spans="1:9" x14ac:dyDescent="0.2">
      <c r="A645" s="22"/>
      <c r="B645" s="22"/>
      <c r="C645" s="19"/>
      <c r="D645" s="19"/>
      <c r="E645" s="19"/>
      <c r="F645" s="19"/>
      <c r="G645" s="19"/>
      <c r="H645" s="19"/>
      <c r="I645" s="8"/>
    </row>
    <row r="646" spans="1:9" x14ac:dyDescent="0.2">
      <c r="A646" s="22"/>
      <c r="B646" s="22"/>
      <c r="C646" s="19"/>
      <c r="D646" s="19"/>
      <c r="E646" s="19"/>
      <c r="F646" s="19"/>
      <c r="G646" s="19"/>
      <c r="H646" s="19"/>
      <c r="I646" s="8"/>
    </row>
    <row r="647" spans="1:9" x14ac:dyDescent="0.2">
      <c r="A647" s="22"/>
      <c r="B647" s="22"/>
      <c r="C647" s="19"/>
      <c r="D647" s="19"/>
      <c r="E647" s="19"/>
      <c r="F647" s="19"/>
      <c r="G647" s="19"/>
      <c r="H647" s="19"/>
      <c r="I647" s="8"/>
    </row>
    <row r="648" spans="1:9" x14ac:dyDescent="0.2">
      <c r="A648" s="22"/>
      <c r="B648" s="22"/>
      <c r="C648" s="19"/>
      <c r="D648" s="19"/>
      <c r="E648" s="19"/>
      <c r="F648" s="19"/>
      <c r="G648" s="19"/>
      <c r="H648" s="19"/>
      <c r="I648" s="8"/>
    </row>
    <row r="649" spans="1:9" x14ac:dyDescent="0.2">
      <c r="A649" s="22"/>
      <c r="B649" s="22"/>
      <c r="C649" s="19"/>
      <c r="D649" s="19"/>
      <c r="E649" s="19"/>
      <c r="F649" s="19"/>
      <c r="G649" s="19"/>
      <c r="H649" s="19"/>
      <c r="I649" s="8"/>
    </row>
    <row r="650" spans="1:9" x14ac:dyDescent="0.2">
      <c r="A650" s="22"/>
      <c r="B650" s="22"/>
      <c r="C650" s="19"/>
      <c r="D650" s="19"/>
      <c r="E650" s="19"/>
      <c r="F650" s="19"/>
      <c r="G650" s="19"/>
      <c r="H650" s="19"/>
      <c r="I650" s="8"/>
    </row>
    <row r="651" spans="1:9" x14ac:dyDescent="0.2">
      <c r="A651" s="22"/>
      <c r="B651" s="22"/>
      <c r="C651" s="19"/>
      <c r="D651" s="19"/>
      <c r="E651" s="19"/>
      <c r="F651" s="19"/>
      <c r="G651" s="19"/>
      <c r="H651" s="19"/>
      <c r="I651" s="8"/>
    </row>
    <row r="652" spans="1:9" x14ac:dyDescent="0.2">
      <c r="A652" s="22"/>
      <c r="B652" s="22"/>
      <c r="C652" s="19"/>
      <c r="D652" s="19"/>
      <c r="E652" s="19"/>
      <c r="F652" s="19"/>
      <c r="G652" s="19"/>
      <c r="H652" s="19"/>
      <c r="I652" s="8"/>
    </row>
    <row r="653" spans="1:9" x14ac:dyDescent="0.2">
      <c r="A653" s="22"/>
      <c r="B653" s="22"/>
      <c r="C653" s="19"/>
      <c r="D653" s="19"/>
      <c r="E653" s="19"/>
      <c r="F653" s="19"/>
      <c r="G653" s="19"/>
      <c r="H653" s="19"/>
      <c r="I653" s="8"/>
    </row>
    <row r="654" spans="1:9" x14ac:dyDescent="0.2">
      <c r="A654" s="22"/>
      <c r="B654" s="22"/>
      <c r="C654" s="19"/>
      <c r="D654" s="19"/>
      <c r="E654" s="19"/>
      <c r="F654" s="19"/>
      <c r="G654" s="19"/>
      <c r="H654" s="19"/>
      <c r="I654" s="8"/>
    </row>
    <row r="655" spans="1:9" x14ac:dyDescent="0.2">
      <c r="A655" s="22"/>
      <c r="B655" s="22"/>
      <c r="C655" s="19"/>
      <c r="D655" s="19"/>
      <c r="E655" s="19"/>
      <c r="F655" s="19"/>
      <c r="G655" s="19"/>
      <c r="H655" s="19"/>
      <c r="I655" s="8"/>
    </row>
    <row r="656" spans="1:9" x14ac:dyDescent="0.2">
      <c r="A656" s="22"/>
      <c r="B656" s="22"/>
      <c r="C656" s="19"/>
      <c r="D656" s="19"/>
      <c r="E656" s="19"/>
      <c r="F656" s="19"/>
      <c r="G656" s="19"/>
      <c r="H656" s="19"/>
      <c r="I656" s="8"/>
    </row>
    <row r="657" spans="1:9" x14ac:dyDescent="0.2">
      <c r="A657" s="22"/>
      <c r="B657" s="22"/>
      <c r="C657" s="19"/>
      <c r="D657" s="19"/>
      <c r="E657" s="19"/>
      <c r="F657" s="19"/>
      <c r="G657" s="19"/>
      <c r="H657" s="19"/>
      <c r="I657" s="8"/>
    </row>
    <row r="658" spans="1:9" x14ac:dyDescent="0.2">
      <c r="A658" s="22"/>
      <c r="B658" s="22"/>
      <c r="C658" s="19"/>
      <c r="D658" s="19"/>
      <c r="E658" s="19"/>
      <c r="F658" s="19"/>
      <c r="G658" s="19"/>
      <c r="H658" s="19"/>
      <c r="I658" s="8"/>
    </row>
    <row r="659" spans="1:9" x14ac:dyDescent="0.2">
      <c r="A659" s="22"/>
      <c r="B659" s="22"/>
      <c r="C659" s="19"/>
      <c r="D659" s="19"/>
      <c r="E659" s="19"/>
      <c r="F659" s="19"/>
      <c r="G659" s="19"/>
      <c r="H659" s="19"/>
      <c r="I659" s="8"/>
    </row>
    <row r="660" spans="1:9" x14ac:dyDescent="0.2">
      <c r="A660" s="22"/>
      <c r="B660" s="22"/>
      <c r="C660" s="19"/>
      <c r="D660" s="19"/>
      <c r="E660" s="19"/>
      <c r="F660" s="19"/>
      <c r="G660" s="19"/>
      <c r="H660" s="19"/>
      <c r="I660" s="8"/>
    </row>
    <row r="661" spans="1:9" x14ac:dyDescent="0.2">
      <c r="A661" s="22"/>
      <c r="B661" s="22"/>
      <c r="C661" s="19"/>
      <c r="D661" s="19"/>
      <c r="E661" s="19"/>
      <c r="F661" s="19"/>
      <c r="G661" s="19"/>
      <c r="H661" s="19"/>
      <c r="I661" s="8"/>
    </row>
    <row r="662" spans="1:9" x14ac:dyDescent="0.2">
      <c r="A662" s="22"/>
      <c r="B662" s="22"/>
      <c r="C662" s="19"/>
      <c r="D662" s="19"/>
      <c r="E662" s="19"/>
      <c r="F662" s="19"/>
      <c r="G662" s="19"/>
      <c r="H662" s="19"/>
      <c r="I662" s="8"/>
    </row>
    <row r="663" spans="1:9" x14ac:dyDescent="0.2">
      <c r="A663" s="22"/>
      <c r="B663" s="22"/>
      <c r="C663" s="19"/>
      <c r="D663" s="19"/>
      <c r="E663" s="19"/>
      <c r="F663" s="19"/>
      <c r="G663" s="19"/>
      <c r="H663" s="19"/>
      <c r="I663" s="8"/>
    </row>
    <row r="664" spans="1:9" x14ac:dyDescent="0.2">
      <c r="A664" s="22"/>
      <c r="B664" s="22"/>
      <c r="C664" s="19"/>
      <c r="D664" s="19"/>
      <c r="E664" s="19"/>
      <c r="F664" s="19"/>
      <c r="G664" s="19"/>
      <c r="H664" s="19"/>
      <c r="I664" s="8"/>
    </row>
    <row r="665" spans="1:9" x14ac:dyDescent="0.2">
      <c r="A665" s="22"/>
      <c r="B665" s="22"/>
      <c r="C665" s="19"/>
      <c r="D665" s="19"/>
      <c r="E665" s="19"/>
      <c r="F665" s="19"/>
      <c r="G665" s="19"/>
      <c r="H665" s="19"/>
      <c r="I665" s="8"/>
    </row>
    <row r="666" spans="1:9" x14ac:dyDescent="0.2">
      <c r="A666" s="22"/>
      <c r="B666" s="22"/>
      <c r="C666" s="19"/>
      <c r="D666" s="19"/>
      <c r="E666" s="19"/>
      <c r="F666" s="19"/>
      <c r="G666" s="19"/>
      <c r="H666" s="19"/>
      <c r="I666" s="8"/>
    </row>
    <row r="667" spans="1:9" x14ac:dyDescent="0.2">
      <c r="A667" s="22"/>
      <c r="B667" s="22"/>
      <c r="C667" s="19"/>
      <c r="D667" s="19"/>
      <c r="E667" s="19"/>
      <c r="F667" s="19"/>
      <c r="G667" s="19"/>
      <c r="H667" s="19"/>
      <c r="I667" s="8"/>
    </row>
    <row r="668" spans="1:9" x14ac:dyDescent="0.2">
      <c r="A668" s="22"/>
      <c r="B668" s="22"/>
      <c r="C668" s="19"/>
      <c r="D668" s="19"/>
      <c r="E668" s="19"/>
      <c r="F668" s="19"/>
      <c r="G668" s="19"/>
      <c r="H668" s="19"/>
      <c r="I668" s="8"/>
    </row>
    <row r="669" spans="1:9" x14ac:dyDescent="0.2">
      <c r="A669" s="22"/>
      <c r="B669" s="22"/>
      <c r="C669" s="19"/>
      <c r="D669" s="19"/>
      <c r="E669" s="19"/>
      <c r="F669" s="19"/>
      <c r="G669" s="19"/>
      <c r="H669" s="19"/>
      <c r="I669" s="8"/>
    </row>
    <row r="670" spans="1:9" x14ac:dyDescent="0.2">
      <c r="A670" s="22"/>
      <c r="B670" s="22"/>
      <c r="C670" s="19"/>
      <c r="D670" s="19"/>
      <c r="E670" s="19"/>
      <c r="F670" s="19"/>
      <c r="G670" s="19"/>
      <c r="H670" s="19"/>
      <c r="I670" s="8"/>
    </row>
    <row r="671" spans="1:9" x14ac:dyDescent="0.2">
      <c r="A671" s="22"/>
      <c r="B671" s="22"/>
      <c r="C671" s="19"/>
      <c r="D671" s="19"/>
      <c r="E671" s="19"/>
      <c r="F671" s="19"/>
      <c r="G671" s="19"/>
      <c r="H671" s="19"/>
      <c r="I671" s="8"/>
    </row>
    <row r="672" spans="1:9" x14ac:dyDescent="0.2">
      <c r="A672" s="22"/>
      <c r="B672" s="22"/>
      <c r="C672" s="19"/>
      <c r="D672" s="19"/>
      <c r="E672" s="19"/>
      <c r="F672" s="19"/>
      <c r="G672" s="19"/>
      <c r="H672" s="19"/>
      <c r="I672" s="8"/>
    </row>
    <row r="673" spans="1:9" x14ac:dyDescent="0.2">
      <c r="A673" s="22"/>
      <c r="B673" s="22"/>
      <c r="C673" s="19"/>
      <c r="D673" s="19"/>
      <c r="E673" s="19"/>
      <c r="F673" s="19"/>
      <c r="G673" s="19"/>
      <c r="H673" s="19"/>
      <c r="I673" s="8"/>
    </row>
    <row r="674" spans="1:9" x14ac:dyDescent="0.2">
      <c r="A674" s="22"/>
      <c r="B674" s="22"/>
      <c r="C674" s="19"/>
      <c r="D674" s="19"/>
      <c r="E674" s="19"/>
      <c r="F674" s="19"/>
      <c r="G674" s="19"/>
      <c r="H674" s="19"/>
      <c r="I674" s="8"/>
    </row>
    <row r="675" spans="1:9" x14ac:dyDescent="0.2">
      <c r="A675" s="22"/>
      <c r="B675" s="22"/>
      <c r="C675" s="19"/>
      <c r="D675" s="19"/>
      <c r="E675" s="19"/>
      <c r="F675" s="19"/>
      <c r="G675" s="19"/>
      <c r="H675" s="19"/>
      <c r="I675" s="8"/>
    </row>
    <row r="676" spans="1:9" x14ac:dyDescent="0.2">
      <c r="A676" s="22"/>
      <c r="B676" s="22"/>
      <c r="C676" s="19"/>
      <c r="D676" s="19"/>
      <c r="E676" s="19"/>
      <c r="F676" s="19"/>
      <c r="G676" s="19"/>
      <c r="H676" s="19"/>
      <c r="I676" s="8"/>
    </row>
    <row r="677" spans="1:9" x14ac:dyDescent="0.2">
      <c r="A677" s="22"/>
      <c r="B677" s="22"/>
      <c r="C677" s="19"/>
      <c r="D677" s="19"/>
      <c r="E677" s="19"/>
      <c r="F677" s="19"/>
      <c r="G677" s="19"/>
      <c r="H677" s="19"/>
      <c r="I677" s="8"/>
    </row>
    <row r="678" spans="1:9" x14ac:dyDescent="0.2">
      <c r="A678" s="22"/>
      <c r="B678" s="22"/>
      <c r="C678" s="19"/>
      <c r="D678" s="19"/>
      <c r="E678" s="19"/>
      <c r="F678" s="19"/>
      <c r="G678" s="19"/>
      <c r="H678" s="19"/>
      <c r="I678" s="8"/>
    </row>
    <row r="679" spans="1:9" x14ac:dyDescent="0.2">
      <c r="A679" s="22"/>
      <c r="B679" s="22"/>
      <c r="C679" s="19"/>
      <c r="D679" s="19"/>
      <c r="E679" s="19"/>
      <c r="F679" s="19"/>
      <c r="G679" s="19"/>
      <c r="H679" s="19"/>
      <c r="I679" s="8"/>
    </row>
    <row r="680" spans="1:9" x14ac:dyDescent="0.2">
      <c r="A680" s="22"/>
      <c r="B680" s="22"/>
      <c r="C680" s="19"/>
      <c r="D680" s="19"/>
      <c r="E680" s="19"/>
      <c r="F680" s="19"/>
      <c r="G680" s="19"/>
      <c r="H680" s="19"/>
      <c r="I680" s="8"/>
    </row>
    <row r="681" spans="1:9" x14ac:dyDescent="0.2">
      <c r="A681" s="22"/>
      <c r="B681" s="22"/>
      <c r="C681" s="19"/>
      <c r="D681" s="19"/>
      <c r="E681" s="19"/>
      <c r="F681" s="19"/>
      <c r="G681" s="19"/>
      <c r="H681" s="19"/>
      <c r="I681" s="8"/>
    </row>
    <row r="682" spans="1:9" x14ac:dyDescent="0.2">
      <c r="A682" s="22"/>
      <c r="B682" s="22"/>
      <c r="C682" s="19"/>
      <c r="D682" s="19"/>
      <c r="E682" s="19"/>
      <c r="F682" s="19"/>
      <c r="G682" s="19"/>
      <c r="H682" s="19"/>
      <c r="I682" s="8"/>
    </row>
    <row r="683" spans="1:9" x14ac:dyDescent="0.2">
      <c r="A683" s="22"/>
      <c r="B683" s="22"/>
      <c r="C683" s="19"/>
      <c r="D683" s="19"/>
      <c r="E683" s="19"/>
      <c r="F683" s="19"/>
      <c r="G683" s="19"/>
      <c r="H683" s="19"/>
      <c r="I683" s="8"/>
    </row>
    <row r="684" spans="1:9" x14ac:dyDescent="0.2">
      <c r="A684" s="22"/>
      <c r="B684" s="22"/>
      <c r="C684" s="19"/>
      <c r="D684" s="19"/>
      <c r="E684" s="19"/>
      <c r="F684" s="19"/>
      <c r="G684" s="19"/>
      <c r="H684" s="19"/>
      <c r="I684" s="8"/>
    </row>
    <row r="685" spans="1:9" x14ac:dyDescent="0.2">
      <c r="A685" s="22"/>
      <c r="B685" s="22"/>
      <c r="C685" s="19"/>
      <c r="D685" s="19"/>
      <c r="E685" s="19"/>
      <c r="F685" s="19"/>
      <c r="G685" s="19"/>
      <c r="H685" s="19"/>
      <c r="I685" s="8"/>
    </row>
    <row r="686" spans="1:9" x14ac:dyDescent="0.2">
      <c r="A686" s="22"/>
      <c r="B686" s="22"/>
      <c r="C686" s="19"/>
      <c r="D686" s="19"/>
      <c r="E686" s="19"/>
      <c r="F686" s="19"/>
      <c r="G686" s="19"/>
      <c r="H686" s="19"/>
      <c r="I686" s="8"/>
    </row>
    <row r="687" spans="1:9" x14ac:dyDescent="0.2">
      <c r="A687" s="22"/>
      <c r="B687" s="22"/>
      <c r="C687" s="19"/>
      <c r="D687" s="19"/>
      <c r="E687" s="19"/>
      <c r="F687" s="19"/>
      <c r="G687" s="19"/>
      <c r="H687" s="19"/>
      <c r="I687" s="8"/>
    </row>
    <row r="688" spans="1:9" x14ac:dyDescent="0.2">
      <c r="A688" s="22"/>
      <c r="B688" s="22"/>
      <c r="C688" s="19"/>
      <c r="D688" s="19"/>
      <c r="E688" s="19"/>
      <c r="F688" s="19"/>
      <c r="G688" s="19"/>
      <c r="H688" s="19"/>
      <c r="I688" s="8"/>
    </row>
    <row r="689" spans="1:9" x14ac:dyDescent="0.2">
      <c r="A689" s="22"/>
      <c r="B689" s="22"/>
      <c r="C689" s="19"/>
      <c r="D689" s="19"/>
      <c r="E689" s="19"/>
      <c r="F689" s="19"/>
      <c r="G689" s="19"/>
      <c r="H689" s="19"/>
      <c r="I689" s="8"/>
    </row>
    <row r="690" spans="1:9" x14ac:dyDescent="0.2">
      <c r="A690" s="22"/>
      <c r="B690" s="22"/>
      <c r="C690" s="19"/>
      <c r="D690" s="19"/>
      <c r="E690" s="19"/>
      <c r="F690" s="19"/>
      <c r="G690" s="19"/>
      <c r="H690" s="19"/>
      <c r="I690" s="8"/>
    </row>
    <row r="691" spans="1:9" x14ac:dyDescent="0.2">
      <c r="A691" s="22"/>
      <c r="B691" s="22"/>
      <c r="C691" s="19"/>
      <c r="D691" s="19"/>
      <c r="E691" s="19"/>
      <c r="F691" s="19"/>
      <c r="G691" s="19"/>
      <c r="H691" s="19"/>
      <c r="I691" s="8"/>
    </row>
    <row r="692" spans="1:9" x14ac:dyDescent="0.2">
      <c r="A692" s="22"/>
      <c r="B692" s="22"/>
      <c r="C692" s="19"/>
      <c r="D692" s="19"/>
      <c r="E692" s="19"/>
      <c r="F692" s="19"/>
      <c r="G692" s="19"/>
      <c r="H692" s="19"/>
      <c r="I692" s="8"/>
    </row>
    <row r="693" spans="1:9" x14ac:dyDescent="0.2">
      <c r="A693" s="22"/>
      <c r="B693" s="22"/>
      <c r="C693" s="19"/>
      <c r="D693" s="19"/>
      <c r="E693" s="19"/>
      <c r="F693" s="19"/>
      <c r="G693" s="19"/>
      <c r="H693" s="19"/>
      <c r="I693" s="8"/>
    </row>
    <row r="694" spans="1:9" x14ac:dyDescent="0.2">
      <c r="A694" s="22"/>
      <c r="B694" s="22"/>
      <c r="C694" s="19"/>
      <c r="D694" s="19"/>
      <c r="E694" s="19"/>
      <c r="F694" s="19"/>
      <c r="G694" s="19"/>
      <c r="H694" s="19"/>
      <c r="I694" s="8"/>
    </row>
    <row r="695" spans="1:9" x14ac:dyDescent="0.2">
      <c r="A695" s="22"/>
      <c r="B695" s="22"/>
      <c r="C695" s="19"/>
      <c r="D695" s="19"/>
      <c r="E695" s="19"/>
      <c r="F695" s="19"/>
      <c r="G695" s="19"/>
      <c r="H695" s="19"/>
      <c r="I695" s="8"/>
    </row>
    <row r="696" spans="1:9" x14ac:dyDescent="0.2">
      <c r="A696" s="22"/>
      <c r="B696" s="22"/>
      <c r="C696" s="19"/>
      <c r="D696" s="19"/>
      <c r="E696" s="19"/>
      <c r="F696" s="19"/>
      <c r="G696" s="19"/>
      <c r="H696" s="19"/>
      <c r="I696" s="8"/>
    </row>
    <row r="697" spans="1:9" x14ac:dyDescent="0.2">
      <c r="A697" s="22"/>
      <c r="B697" s="22"/>
      <c r="C697" s="19"/>
      <c r="D697" s="19"/>
      <c r="E697" s="19"/>
      <c r="F697" s="19"/>
      <c r="G697" s="19"/>
      <c r="H697" s="19"/>
      <c r="I697" s="8"/>
    </row>
    <row r="698" spans="1:9" x14ac:dyDescent="0.2">
      <c r="A698" s="22"/>
      <c r="B698" s="22"/>
      <c r="C698" s="19"/>
      <c r="D698" s="19"/>
      <c r="E698" s="19"/>
      <c r="F698" s="19"/>
      <c r="G698" s="19"/>
      <c r="H698" s="19"/>
      <c r="I698" s="8"/>
    </row>
    <row r="699" spans="1:9" x14ac:dyDescent="0.2">
      <c r="A699" s="22"/>
      <c r="B699" s="22"/>
      <c r="C699" s="19"/>
      <c r="D699" s="19"/>
      <c r="E699" s="19"/>
      <c r="F699" s="19"/>
      <c r="G699" s="19"/>
      <c r="H699" s="19"/>
      <c r="I699" s="8"/>
    </row>
    <row r="700" spans="1:9" x14ac:dyDescent="0.2">
      <c r="A700" s="22"/>
      <c r="B700" s="22"/>
      <c r="C700" s="19"/>
      <c r="D700" s="19"/>
      <c r="E700" s="19"/>
      <c r="F700" s="19"/>
      <c r="G700" s="19"/>
      <c r="H700" s="19"/>
      <c r="I700" s="8"/>
    </row>
    <row r="701" spans="1:9" x14ac:dyDescent="0.2">
      <c r="A701" s="22"/>
      <c r="B701" s="22"/>
      <c r="C701" s="19"/>
      <c r="D701" s="19"/>
      <c r="E701" s="19"/>
      <c r="F701" s="19"/>
      <c r="G701" s="19"/>
      <c r="H701" s="19"/>
      <c r="I701" s="8"/>
    </row>
    <row r="702" spans="1:9" x14ac:dyDescent="0.2">
      <c r="A702" s="22"/>
      <c r="B702" s="22"/>
      <c r="C702" s="19"/>
      <c r="D702" s="19"/>
      <c r="E702" s="19"/>
      <c r="F702" s="19"/>
      <c r="G702" s="19"/>
      <c r="H702" s="19"/>
      <c r="I702" s="8"/>
    </row>
    <row r="703" spans="1:9" x14ac:dyDescent="0.2">
      <c r="A703" s="22"/>
      <c r="B703" s="22"/>
      <c r="C703" s="19"/>
      <c r="D703" s="19"/>
      <c r="E703" s="19"/>
      <c r="F703" s="19"/>
      <c r="G703" s="19"/>
      <c r="H703" s="19"/>
      <c r="I703" s="8"/>
    </row>
    <row r="704" spans="1:9" x14ac:dyDescent="0.2">
      <c r="A704" s="22"/>
      <c r="B704" s="22"/>
      <c r="C704" s="19"/>
      <c r="D704" s="19"/>
      <c r="E704" s="19"/>
      <c r="F704" s="19"/>
      <c r="G704" s="19"/>
      <c r="H704" s="19"/>
      <c r="I704" s="8"/>
    </row>
    <row r="705" spans="1:9" x14ac:dyDescent="0.2">
      <c r="A705" s="22"/>
      <c r="B705" s="22"/>
      <c r="C705" s="19"/>
      <c r="D705" s="19"/>
      <c r="E705" s="19"/>
      <c r="F705" s="19"/>
      <c r="G705" s="19"/>
      <c r="H705" s="19"/>
      <c r="I705" s="8"/>
    </row>
    <row r="706" spans="1:9" x14ac:dyDescent="0.2">
      <c r="A706" s="22"/>
      <c r="B706" s="22"/>
      <c r="C706" s="19"/>
      <c r="D706" s="19"/>
      <c r="E706" s="19"/>
      <c r="F706" s="19"/>
      <c r="G706" s="19"/>
      <c r="H706" s="19"/>
      <c r="I706" s="8"/>
    </row>
    <row r="707" spans="1:9" x14ac:dyDescent="0.2">
      <c r="A707" s="22"/>
      <c r="B707" s="22"/>
      <c r="C707" s="19"/>
      <c r="D707" s="19"/>
      <c r="E707" s="19"/>
      <c r="F707" s="19"/>
      <c r="G707" s="19"/>
      <c r="H707" s="19"/>
      <c r="I707" s="8"/>
    </row>
    <row r="708" spans="1:9" x14ac:dyDescent="0.2">
      <c r="A708" s="22"/>
      <c r="B708" s="22"/>
      <c r="C708" s="19"/>
      <c r="D708" s="19"/>
      <c r="E708" s="19"/>
      <c r="F708" s="19"/>
      <c r="G708" s="19"/>
      <c r="H708" s="19"/>
      <c r="I708" s="8"/>
    </row>
    <row r="709" spans="1:9" x14ac:dyDescent="0.2">
      <c r="A709" s="22"/>
      <c r="B709" s="22"/>
      <c r="C709" s="19"/>
      <c r="D709" s="19"/>
      <c r="E709" s="19"/>
      <c r="F709" s="19"/>
      <c r="G709" s="19"/>
      <c r="H709" s="19"/>
      <c r="I709" s="8"/>
    </row>
    <row r="710" spans="1:9" x14ac:dyDescent="0.2">
      <c r="A710" s="22"/>
      <c r="B710" s="22"/>
      <c r="C710" s="19"/>
      <c r="D710" s="19"/>
      <c r="E710" s="19"/>
      <c r="F710" s="19"/>
      <c r="G710" s="19"/>
      <c r="H710" s="19"/>
      <c r="I710" s="8"/>
    </row>
    <row r="711" spans="1:9" x14ac:dyDescent="0.2">
      <c r="A711" s="22"/>
      <c r="B711" s="22"/>
      <c r="C711" s="19"/>
      <c r="D711" s="19"/>
      <c r="E711" s="19"/>
      <c r="F711" s="19"/>
      <c r="G711" s="19"/>
      <c r="H711" s="19"/>
      <c r="I711" s="8"/>
    </row>
    <row r="712" spans="1:9" x14ac:dyDescent="0.2">
      <c r="A712" s="22"/>
      <c r="B712" s="22"/>
      <c r="C712" s="19"/>
      <c r="D712" s="19"/>
      <c r="E712" s="19"/>
      <c r="F712" s="19"/>
      <c r="G712" s="19"/>
      <c r="H712" s="19"/>
      <c r="I712" s="8"/>
    </row>
    <row r="713" spans="1:9" x14ac:dyDescent="0.2">
      <c r="A713" s="22"/>
      <c r="B713" s="22"/>
      <c r="C713" s="19"/>
      <c r="D713" s="19"/>
      <c r="E713" s="19"/>
      <c r="F713" s="19"/>
      <c r="G713" s="19"/>
      <c r="H713" s="19"/>
      <c r="I713" s="8"/>
    </row>
    <row r="714" spans="1:9" x14ac:dyDescent="0.2">
      <c r="A714" s="22"/>
      <c r="B714" s="22"/>
      <c r="C714" s="19"/>
      <c r="D714" s="19"/>
      <c r="E714" s="19"/>
      <c r="F714" s="19"/>
      <c r="G714" s="19"/>
      <c r="H714" s="19"/>
      <c r="I714" s="8"/>
    </row>
    <row r="715" spans="1:9" x14ac:dyDescent="0.2">
      <c r="A715" s="22"/>
      <c r="B715" s="22"/>
      <c r="C715" s="19"/>
      <c r="D715" s="19"/>
      <c r="E715" s="19"/>
      <c r="F715" s="19"/>
      <c r="G715" s="19"/>
      <c r="H715" s="19"/>
      <c r="I715" s="8"/>
    </row>
    <row r="716" spans="1:9" x14ac:dyDescent="0.2">
      <c r="A716" s="22"/>
      <c r="B716" s="22"/>
      <c r="C716" s="19"/>
      <c r="D716" s="19"/>
      <c r="E716" s="19"/>
      <c r="F716" s="19"/>
      <c r="G716" s="19"/>
      <c r="H716" s="19"/>
      <c r="I716" s="8"/>
    </row>
    <row r="717" spans="1:9" x14ac:dyDescent="0.2">
      <c r="A717" s="22"/>
      <c r="B717" s="22"/>
      <c r="C717" s="19"/>
      <c r="D717" s="19"/>
      <c r="E717" s="19"/>
      <c r="F717" s="19"/>
      <c r="G717" s="19"/>
      <c r="H717" s="19"/>
      <c r="I717" s="8"/>
    </row>
    <row r="718" spans="1:9" x14ac:dyDescent="0.2">
      <c r="A718" s="22"/>
      <c r="B718" s="22"/>
      <c r="C718" s="19"/>
      <c r="D718" s="19"/>
      <c r="E718" s="19"/>
      <c r="F718" s="19"/>
      <c r="G718" s="19"/>
      <c r="H718" s="19"/>
      <c r="I718" s="8"/>
    </row>
    <row r="719" spans="1:9" x14ac:dyDescent="0.2">
      <c r="A719" s="22"/>
      <c r="B719" s="22"/>
      <c r="C719" s="19"/>
      <c r="D719" s="19"/>
      <c r="E719" s="19"/>
      <c r="F719" s="19"/>
      <c r="G719" s="19"/>
      <c r="H719" s="19"/>
      <c r="I719" s="8"/>
    </row>
    <row r="720" spans="1:9" x14ac:dyDescent="0.2">
      <c r="A720" s="22"/>
      <c r="B720" s="22"/>
      <c r="C720" s="19"/>
      <c r="D720" s="19"/>
      <c r="E720" s="19"/>
      <c r="F720" s="19"/>
      <c r="G720" s="19"/>
      <c r="H720" s="19"/>
      <c r="I720" s="8"/>
    </row>
    <row r="721" spans="1:9" x14ac:dyDescent="0.2">
      <c r="A721" s="22"/>
      <c r="B721" s="22"/>
      <c r="C721" s="19"/>
      <c r="D721" s="19"/>
      <c r="E721" s="19"/>
      <c r="F721" s="19"/>
      <c r="G721" s="19"/>
      <c r="H721" s="19"/>
      <c r="I721" s="8"/>
    </row>
    <row r="722" spans="1:9" x14ac:dyDescent="0.2">
      <c r="A722" s="22"/>
      <c r="B722" s="22"/>
      <c r="C722" s="19"/>
      <c r="D722" s="19"/>
      <c r="E722" s="19"/>
      <c r="F722" s="19"/>
      <c r="G722" s="19"/>
      <c r="H722" s="19"/>
      <c r="I722" s="8"/>
    </row>
    <row r="723" spans="1:9" x14ac:dyDescent="0.2">
      <c r="A723" s="22"/>
      <c r="B723" s="22"/>
      <c r="C723" s="19"/>
      <c r="D723" s="19"/>
      <c r="E723" s="19"/>
      <c r="F723" s="19"/>
      <c r="G723" s="19"/>
      <c r="H723" s="19"/>
      <c r="I723" s="8"/>
    </row>
    <row r="724" spans="1:9" x14ac:dyDescent="0.2">
      <c r="A724" s="22"/>
      <c r="B724" s="22"/>
      <c r="C724" s="19"/>
      <c r="D724" s="19"/>
      <c r="E724" s="19"/>
      <c r="F724" s="19"/>
      <c r="G724" s="19"/>
      <c r="H724" s="19"/>
      <c r="I724" s="8"/>
    </row>
    <row r="725" spans="1:9" x14ac:dyDescent="0.2">
      <c r="A725" s="22"/>
      <c r="B725" s="22"/>
      <c r="C725" s="19"/>
      <c r="D725" s="19"/>
      <c r="E725" s="19"/>
      <c r="F725" s="19"/>
      <c r="G725" s="19"/>
      <c r="H725" s="19"/>
      <c r="I725" s="8"/>
    </row>
    <row r="726" spans="1:9" x14ac:dyDescent="0.2">
      <c r="A726" s="22"/>
      <c r="B726" s="22"/>
      <c r="C726" s="19"/>
      <c r="D726" s="19"/>
      <c r="E726" s="19"/>
      <c r="F726" s="19"/>
      <c r="G726" s="19"/>
      <c r="H726" s="19"/>
      <c r="I726" s="8"/>
    </row>
    <row r="727" spans="1:9" x14ac:dyDescent="0.2">
      <c r="A727" s="22"/>
      <c r="B727" s="22"/>
      <c r="C727" s="19"/>
      <c r="D727" s="19"/>
      <c r="E727" s="19"/>
      <c r="F727" s="19"/>
      <c r="G727" s="19"/>
      <c r="H727" s="19"/>
      <c r="I727" s="8"/>
    </row>
    <row r="728" spans="1:9" x14ac:dyDescent="0.2">
      <c r="A728" s="22"/>
      <c r="B728" s="22"/>
      <c r="C728" s="19"/>
      <c r="D728" s="19"/>
      <c r="E728" s="19"/>
      <c r="F728" s="19"/>
      <c r="G728" s="19"/>
      <c r="H728" s="19"/>
      <c r="I728" s="8"/>
    </row>
    <row r="729" spans="1:9" x14ac:dyDescent="0.2">
      <c r="A729" s="22"/>
      <c r="B729" s="22"/>
      <c r="C729" s="19"/>
      <c r="D729" s="19"/>
      <c r="E729" s="19"/>
      <c r="F729" s="19"/>
      <c r="G729" s="19"/>
      <c r="H729" s="19"/>
      <c r="I729" s="8"/>
    </row>
    <row r="730" spans="1:9" x14ac:dyDescent="0.2">
      <c r="A730" s="22"/>
      <c r="B730" s="22"/>
      <c r="C730" s="19"/>
      <c r="D730" s="19"/>
      <c r="E730" s="19"/>
      <c r="F730" s="19"/>
      <c r="G730" s="19"/>
      <c r="H730" s="19"/>
      <c r="I730" s="8"/>
    </row>
    <row r="731" spans="1:9" x14ac:dyDescent="0.2">
      <c r="A731" s="22"/>
      <c r="B731" s="22"/>
      <c r="C731" s="19"/>
      <c r="D731" s="19"/>
      <c r="E731" s="19"/>
      <c r="F731" s="19"/>
      <c r="G731" s="19"/>
      <c r="H731" s="19"/>
      <c r="I731" s="8"/>
    </row>
    <row r="732" spans="1:9" x14ac:dyDescent="0.2">
      <c r="A732" s="22"/>
      <c r="B732" s="22"/>
      <c r="C732" s="19"/>
      <c r="D732" s="19"/>
      <c r="E732" s="19"/>
      <c r="F732" s="19"/>
      <c r="G732" s="19"/>
      <c r="H732" s="19"/>
      <c r="I732" s="8"/>
    </row>
    <row r="733" spans="1:9" x14ac:dyDescent="0.2">
      <c r="A733" s="22"/>
      <c r="B733" s="22"/>
      <c r="C733" s="19"/>
      <c r="D733" s="19"/>
      <c r="E733" s="19"/>
      <c r="F733" s="19"/>
      <c r="G733" s="19"/>
      <c r="H733" s="19"/>
      <c r="I733" s="8"/>
    </row>
    <row r="734" spans="1:9" x14ac:dyDescent="0.2">
      <c r="A734" s="22"/>
      <c r="B734" s="22"/>
      <c r="C734" s="19"/>
      <c r="D734" s="19"/>
      <c r="E734" s="19"/>
      <c r="F734" s="19"/>
      <c r="G734" s="19"/>
      <c r="H734" s="19"/>
      <c r="I734" s="8"/>
    </row>
    <row r="735" spans="1:9" x14ac:dyDescent="0.2">
      <c r="A735" s="22"/>
      <c r="B735" s="22"/>
      <c r="C735" s="19"/>
      <c r="D735" s="19"/>
      <c r="E735" s="19"/>
      <c r="F735" s="19"/>
      <c r="G735" s="19"/>
      <c r="H735" s="19"/>
      <c r="I735" s="8"/>
    </row>
    <row r="736" spans="1:9" ht="16" x14ac:dyDescent="0.25">
      <c r="A736" s="22"/>
      <c r="B736" s="22"/>
      <c r="C736" s="19"/>
      <c r="D736" s="19"/>
      <c r="E736" s="19"/>
      <c r="F736" s="19"/>
      <c r="G736" s="19"/>
      <c r="H736" s="21"/>
      <c r="I736" s="8"/>
    </row>
    <row r="737" spans="1:9" x14ac:dyDescent="0.2">
      <c r="A737" s="22"/>
      <c r="B737" s="22"/>
      <c r="C737" s="19"/>
      <c r="D737" s="19"/>
      <c r="E737" s="19"/>
      <c r="F737" s="19"/>
      <c r="G737" s="19"/>
      <c r="H737" s="19"/>
      <c r="I737" s="8"/>
    </row>
    <row r="738" spans="1:9" x14ac:dyDescent="0.2">
      <c r="A738" s="22"/>
      <c r="B738" s="22"/>
      <c r="C738" s="19"/>
      <c r="D738" s="19"/>
      <c r="E738" s="19"/>
      <c r="F738" s="19"/>
      <c r="G738" s="19"/>
      <c r="H738" s="19"/>
      <c r="I738" s="8"/>
    </row>
    <row r="739" spans="1:9" x14ac:dyDescent="0.2">
      <c r="A739" s="22"/>
      <c r="B739" s="22"/>
      <c r="C739" s="19"/>
      <c r="D739" s="19"/>
      <c r="E739" s="19"/>
      <c r="F739" s="19"/>
      <c r="G739" s="19"/>
      <c r="H739" s="19"/>
      <c r="I739" s="8"/>
    </row>
    <row r="740" spans="1:9" x14ac:dyDescent="0.2">
      <c r="A740" s="22"/>
      <c r="B740" s="22"/>
      <c r="C740" s="19"/>
      <c r="D740" s="19"/>
      <c r="E740" s="19"/>
      <c r="F740" s="19"/>
      <c r="G740" s="19"/>
      <c r="H740" s="19"/>
      <c r="I740" s="8"/>
    </row>
    <row r="741" spans="1:9" x14ac:dyDescent="0.2">
      <c r="A741" s="22"/>
      <c r="B741" s="22"/>
      <c r="C741" s="19"/>
      <c r="D741" s="19"/>
      <c r="E741" s="19"/>
      <c r="F741" s="19"/>
      <c r="G741" s="19"/>
      <c r="H741" s="19"/>
      <c r="I741" s="8"/>
    </row>
    <row r="742" spans="1:9" x14ac:dyDescent="0.2">
      <c r="A742" s="22"/>
      <c r="B742" s="22"/>
      <c r="C742" s="19"/>
      <c r="D742" s="19"/>
      <c r="E742" s="19"/>
      <c r="F742" s="19"/>
      <c r="G742" s="19"/>
      <c r="H742" s="19"/>
      <c r="I742" s="8"/>
    </row>
    <row r="743" spans="1:9" x14ac:dyDescent="0.2">
      <c r="A743" s="22"/>
      <c r="B743" s="22"/>
      <c r="C743" s="19"/>
      <c r="D743" s="19"/>
      <c r="E743" s="19"/>
      <c r="F743" s="19"/>
      <c r="G743" s="19"/>
      <c r="H743" s="19"/>
      <c r="I743" s="8"/>
    </row>
    <row r="744" spans="1:9" x14ac:dyDescent="0.2">
      <c r="A744" s="22"/>
      <c r="B744" s="22"/>
      <c r="C744" s="19"/>
      <c r="D744" s="19"/>
      <c r="E744" s="19"/>
      <c r="F744" s="19"/>
      <c r="G744" s="19"/>
      <c r="H744" s="19"/>
      <c r="I744" s="8"/>
    </row>
    <row r="745" spans="1:9" x14ac:dyDescent="0.2">
      <c r="A745" s="22"/>
      <c r="B745" s="22"/>
      <c r="C745" s="19"/>
      <c r="D745" s="19"/>
      <c r="E745" s="19"/>
      <c r="F745" s="19"/>
      <c r="G745" s="19"/>
      <c r="H745" s="19"/>
      <c r="I745" s="8"/>
    </row>
    <row r="746" spans="1:9" x14ac:dyDescent="0.2">
      <c r="A746" s="22"/>
      <c r="B746" s="22"/>
      <c r="C746" s="19"/>
      <c r="D746" s="19"/>
      <c r="E746" s="19"/>
      <c r="F746" s="19"/>
      <c r="G746" s="19"/>
      <c r="H746" s="19"/>
      <c r="I746" s="8"/>
    </row>
    <row r="747" spans="1:9" x14ac:dyDescent="0.2">
      <c r="A747" s="22"/>
      <c r="B747" s="22"/>
      <c r="C747" s="19"/>
      <c r="D747" s="19"/>
      <c r="E747" s="19"/>
      <c r="F747" s="19"/>
      <c r="G747" s="19"/>
      <c r="H747" s="19"/>
      <c r="I747" s="8"/>
    </row>
    <row r="748" spans="1:9" x14ac:dyDescent="0.2">
      <c r="A748" s="22"/>
      <c r="B748" s="22"/>
      <c r="C748" s="19"/>
      <c r="D748" s="19"/>
      <c r="E748" s="19"/>
      <c r="F748" s="19"/>
      <c r="G748" s="19"/>
      <c r="H748" s="19"/>
      <c r="I748" s="8"/>
    </row>
    <row r="749" spans="1:9" x14ac:dyDescent="0.2">
      <c r="A749" s="22"/>
      <c r="B749" s="22"/>
      <c r="C749" s="19"/>
      <c r="D749" s="19"/>
      <c r="E749" s="19"/>
      <c r="F749" s="19"/>
      <c r="G749" s="19"/>
      <c r="H749" s="19"/>
      <c r="I749" s="8"/>
    </row>
    <row r="750" spans="1:9" x14ac:dyDescent="0.2">
      <c r="A750" s="22"/>
      <c r="B750" s="22"/>
      <c r="C750" s="19"/>
      <c r="D750" s="19"/>
      <c r="E750" s="19"/>
      <c r="F750" s="19"/>
      <c r="G750" s="19"/>
      <c r="H750" s="19"/>
      <c r="I750" s="8"/>
    </row>
    <row r="751" spans="1:9" x14ac:dyDescent="0.2">
      <c r="A751" s="22"/>
      <c r="B751" s="22"/>
      <c r="C751" s="19"/>
      <c r="D751" s="19"/>
      <c r="E751" s="19"/>
      <c r="F751" s="19"/>
      <c r="G751" s="19"/>
      <c r="H751" s="19"/>
      <c r="I751" s="8"/>
    </row>
    <row r="752" spans="1:9" x14ac:dyDescent="0.2">
      <c r="A752" s="22"/>
      <c r="B752" s="22"/>
      <c r="C752" s="19"/>
      <c r="D752" s="19"/>
      <c r="E752" s="19"/>
      <c r="F752" s="19"/>
      <c r="G752" s="19"/>
      <c r="H752" s="19"/>
      <c r="I752" s="8"/>
    </row>
    <row r="753" spans="1:9" x14ac:dyDescent="0.2">
      <c r="A753" s="22"/>
      <c r="B753" s="22"/>
      <c r="C753" s="19"/>
      <c r="D753" s="19"/>
      <c r="E753" s="19"/>
      <c r="F753" s="19"/>
      <c r="G753" s="19"/>
      <c r="H753" s="19"/>
      <c r="I753" s="8"/>
    </row>
    <row r="754" spans="1:9" x14ac:dyDescent="0.2">
      <c r="A754" s="22"/>
      <c r="B754" s="22"/>
      <c r="C754" s="19"/>
      <c r="D754" s="19"/>
      <c r="E754" s="19"/>
      <c r="F754" s="19"/>
      <c r="G754" s="19"/>
      <c r="H754" s="19"/>
      <c r="I754" s="8"/>
    </row>
    <row r="755" spans="1:9" x14ac:dyDescent="0.2">
      <c r="A755" s="22"/>
      <c r="B755" s="22"/>
      <c r="C755" s="19"/>
      <c r="D755" s="19"/>
      <c r="E755" s="19"/>
      <c r="F755" s="19"/>
      <c r="G755" s="19"/>
      <c r="H755" s="19"/>
      <c r="I755" s="8"/>
    </row>
    <row r="756" spans="1:9" x14ac:dyDescent="0.2">
      <c r="A756" s="22"/>
      <c r="B756" s="22"/>
      <c r="C756" s="19"/>
      <c r="D756" s="19"/>
      <c r="E756" s="19"/>
      <c r="F756" s="19"/>
      <c r="G756" s="19"/>
      <c r="H756" s="19"/>
      <c r="I756" s="8"/>
    </row>
    <row r="757" spans="1:9" x14ac:dyDescent="0.2">
      <c r="A757" s="22"/>
      <c r="B757" s="22"/>
      <c r="C757" s="19"/>
      <c r="D757" s="19"/>
      <c r="E757" s="19"/>
      <c r="F757" s="19"/>
      <c r="G757" s="19"/>
      <c r="H757" s="20"/>
      <c r="I757" s="8"/>
    </row>
    <row r="758" spans="1:9" x14ac:dyDescent="0.2">
      <c r="A758" s="22"/>
      <c r="B758" s="22"/>
      <c r="C758" s="19"/>
      <c r="D758" s="19"/>
      <c r="E758" s="19"/>
      <c r="F758" s="19"/>
      <c r="G758" s="19"/>
      <c r="H758" s="19"/>
      <c r="I758" s="8"/>
    </row>
    <row r="759" spans="1:9" x14ac:dyDescent="0.2">
      <c r="A759" s="22"/>
      <c r="B759" s="22"/>
      <c r="C759" s="19"/>
      <c r="D759" s="19"/>
      <c r="E759" s="19"/>
      <c r="F759" s="19"/>
      <c r="G759" s="19"/>
      <c r="H759" s="19"/>
      <c r="I759" s="8"/>
    </row>
    <row r="760" spans="1:9" x14ac:dyDescent="0.2">
      <c r="A760" s="22"/>
      <c r="B760" s="22"/>
      <c r="C760" s="19"/>
      <c r="D760" s="19"/>
      <c r="E760" s="19"/>
      <c r="F760" s="19"/>
      <c r="G760" s="19"/>
      <c r="H760" s="19"/>
      <c r="I760" s="8"/>
    </row>
    <row r="761" spans="1:9" x14ac:dyDescent="0.2">
      <c r="A761" s="22"/>
      <c r="B761" s="22"/>
      <c r="C761" s="19"/>
      <c r="D761" s="19"/>
      <c r="E761" s="19"/>
      <c r="F761" s="19"/>
      <c r="G761" s="19"/>
      <c r="H761" s="19"/>
      <c r="I761" s="8"/>
    </row>
    <row r="762" spans="1:9" x14ac:dyDescent="0.2">
      <c r="A762" s="22"/>
      <c r="B762" s="22"/>
      <c r="C762" s="19"/>
      <c r="D762" s="19"/>
      <c r="E762" s="19"/>
      <c r="F762" s="19"/>
      <c r="G762" s="19"/>
      <c r="H762" s="19"/>
      <c r="I762" s="8"/>
    </row>
    <row r="763" spans="1:9" x14ac:dyDescent="0.2">
      <c r="A763" s="22"/>
      <c r="B763" s="22"/>
      <c r="C763" s="19"/>
      <c r="D763" s="19"/>
      <c r="E763" s="19"/>
      <c r="F763" s="19"/>
      <c r="G763" s="19"/>
      <c r="H763" s="19"/>
      <c r="I763" s="8"/>
    </row>
    <row r="764" spans="1:9" x14ac:dyDescent="0.2">
      <c r="A764" s="22"/>
      <c r="B764" s="22"/>
      <c r="C764" s="19"/>
      <c r="D764" s="19"/>
      <c r="E764" s="19"/>
      <c r="F764" s="19"/>
      <c r="G764" s="19"/>
      <c r="H764" s="19"/>
      <c r="I764" s="8"/>
    </row>
    <row r="765" spans="1:9" x14ac:dyDescent="0.2">
      <c r="A765" s="22"/>
      <c r="B765" s="22"/>
      <c r="C765" s="19"/>
      <c r="D765" s="19"/>
      <c r="E765" s="19"/>
      <c r="F765" s="19"/>
      <c r="G765" s="19"/>
      <c r="H765" s="19"/>
      <c r="I765" s="8"/>
    </row>
    <row r="766" spans="1:9" x14ac:dyDescent="0.2">
      <c r="A766" s="22"/>
      <c r="B766" s="22"/>
      <c r="C766" s="19"/>
      <c r="D766" s="19"/>
      <c r="E766" s="19"/>
      <c r="F766" s="19"/>
      <c r="G766" s="19"/>
      <c r="H766" s="19"/>
      <c r="I766" s="8"/>
    </row>
    <row r="767" spans="1:9" x14ac:dyDescent="0.2">
      <c r="A767" s="22"/>
      <c r="B767" s="22"/>
      <c r="C767" s="19"/>
      <c r="D767" s="19"/>
      <c r="E767" s="19"/>
      <c r="F767" s="19"/>
      <c r="G767" s="19"/>
      <c r="H767" s="19"/>
      <c r="I767" s="8"/>
    </row>
    <row r="768" spans="1:9" x14ac:dyDescent="0.2">
      <c r="A768" s="22"/>
      <c r="B768" s="22"/>
      <c r="C768" s="19"/>
      <c r="D768" s="19"/>
      <c r="E768" s="19"/>
      <c r="F768" s="19"/>
      <c r="G768" s="19"/>
      <c r="H768" s="19"/>
      <c r="I768" s="8"/>
    </row>
    <row r="769" spans="1:9" x14ac:dyDescent="0.2">
      <c r="A769" s="22"/>
      <c r="B769" s="22"/>
      <c r="C769" s="19"/>
      <c r="D769" s="19"/>
      <c r="E769" s="19"/>
      <c r="F769" s="19"/>
      <c r="G769" s="19"/>
      <c r="H769" s="19"/>
      <c r="I769" s="8"/>
    </row>
    <row r="770" spans="1:9" x14ac:dyDescent="0.2">
      <c r="A770" s="22"/>
      <c r="B770" s="22"/>
      <c r="C770" s="19"/>
      <c r="D770" s="19"/>
      <c r="E770" s="19"/>
      <c r="F770" s="19"/>
      <c r="G770" s="19"/>
      <c r="H770" s="19"/>
      <c r="I770" s="8"/>
    </row>
    <row r="771" spans="1:9" x14ac:dyDescent="0.2">
      <c r="A771" s="22"/>
      <c r="B771" s="22"/>
      <c r="C771" s="19"/>
      <c r="D771" s="19"/>
      <c r="E771" s="19"/>
      <c r="F771" s="19"/>
      <c r="G771" s="19"/>
      <c r="H771" s="19"/>
      <c r="I771" s="8"/>
    </row>
    <row r="772" spans="1:9" x14ac:dyDescent="0.2">
      <c r="A772" s="22"/>
      <c r="B772" s="22"/>
      <c r="C772" s="19"/>
      <c r="D772" s="19"/>
      <c r="E772" s="19"/>
      <c r="F772" s="19"/>
      <c r="G772" s="19"/>
      <c r="H772" s="19"/>
      <c r="I772" s="8"/>
    </row>
    <row r="773" spans="1:9" x14ac:dyDescent="0.2">
      <c r="A773" s="22"/>
      <c r="B773" s="22"/>
      <c r="C773" s="19"/>
      <c r="D773" s="19"/>
      <c r="E773" s="19"/>
      <c r="F773" s="19"/>
      <c r="G773" s="19"/>
      <c r="H773" s="19"/>
      <c r="I773" s="8"/>
    </row>
    <row r="774" spans="1:9" x14ac:dyDescent="0.2">
      <c r="A774" s="22"/>
      <c r="B774" s="22"/>
      <c r="C774" s="19"/>
      <c r="D774" s="19"/>
      <c r="E774" s="19"/>
      <c r="F774" s="19"/>
      <c r="G774" s="19"/>
      <c r="H774" s="19"/>
      <c r="I774" s="8"/>
    </row>
    <row r="775" spans="1:9" x14ac:dyDescent="0.2">
      <c r="A775" s="22"/>
      <c r="B775" s="22"/>
      <c r="C775" s="19"/>
      <c r="D775" s="19"/>
      <c r="E775" s="19"/>
      <c r="F775" s="19"/>
      <c r="G775" s="19"/>
      <c r="H775" s="19"/>
      <c r="I775" s="8"/>
    </row>
    <row r="776" spans="1:9" x14ac:dyDescent="0.2">
      <c r="A776" s="22"/>
      <c r="B776" s="22"/>
      <c r="C776" s="19"/>
      <c r="D776" s="19"/>
      <c r="E776" s="19"/>
      <c r="F776" s="19"/>
      <c r="G776" s="19"/>
      <c r="H776" s="19"/>
      <c r="I776" s="8"/>
    </row>
    <row r="777" spans="1:9" x14ac:dyDescent="0.2">
      <c r="A777" s="22"/>
      <c r="B777" s="22"/>
      <c r="C777" s="19"/>
      <c r="D777" s="19"/>
      <c r="E777" s="19"/>
      <c r="F777" s="19"/>
      <c r="G777" s="19"/>
      <c r="H777" s="19"/>
      <c r="I777" s="8"/>
    </row>
    <row r="778" spans="1:9" x14ac:dyDescent="0.2">
      <c r="A778" s="22"/>
      <c r="B778" s="22"/>
      <c r="C778" s="19"/>
      <c r="D778" s="19"/>
      <c r="E778" s="19"/>
      <c r="F778" s="19"/>
      <c r="G778" s="19"/>
      <c r="H778" s="19"/>
      <c r="I778" s="8"/>
    </row>
    <row r="779" spans="1:9" x14ac:dyDescent="0.2">
      <c r="A779" s="22"/>
      <c r="B779" s="22"/>
      <c r="C779" s="19"/>
      <c r="D779" s="19"/>
      <c r="E779" s="19"/>
      <c r="F779" s="19"/>
      <c r="G779" s="19"/>
      <c r="H779" s="19"/>
      <c r="I779" s="8"/>
    </row>
    <row r="780" spans="1:9" x14ac:dyDescent="0.2">
      <c r="A780" s="22"/>
      <c r="B780" s="22"/>
      <c r="C780" s="19"/>
      <c r="D780" s="19"/>
      <c r="E780" s="19"/>
      <c r="F780" s="19"/>
      <c r="G780" s="19"/>
      <c r="H780" s="19"/>
      <c r="I780" s="8"/>
    </row>
    <row r="781" spans="1:9" x14ac:dyDescent="0.2">
      <c r="A781" s="22"/>
      <c r="B781" s="22"/>
      <c r="C781" s="19"/>
      <c r="D781" s="19"/>
      <c r="E781" s="19"/>
      <c r="F781" s="19"/>
      <c r="G781" s="19"/>
      <c r="H781" s="19"/>
      <c r="I781" s="8"/>
    </row>
    <row r="782" spans="1:9" x14ac:dyDescent="0.2">
      <c r="A782" s="22"/>
      <c r="B782" s="22"/>
      <c r="C782" s="19"/>
      <c r="D782" s="19"/>
      <c r="E782" s="19"/>
      <c r="F782" s="19"/>
      <c r="G782" s="19"/>
      <c r="H782" s="19"/>
      <c r="I782" s="8"/>
    </row>
    <row r="783" spans="1:9" x14ac:dyDescent="0.2">
      <c r="A783" s="22"/>
      <c r="B783" s="22"/>
      <c r="C783" s="19"/>
      <c r="D783" s="19"/>
      <c r="E783" s="19"/>
      <c r="F783" s="19"/>
      <c r="G783" s="19"/>
      <c r="H783" s="19"/>
      <c r="I783" s="8"/>
    </row>
    <row r="784" spans="1:9" x14ac:dyDescent="0.2">
      <c r="A784" s="22"/>
      <c r="B784" s="22"/>
      <c r="C784" s="19"/>
      <c r="D784" s="19"/>
      <c r="E784" s="19"/>
      <c r="F784" s="19"/>
      <c r="G784" s="19"/>
      <c r="H784" s="19"/>
      <c r="I784" s="8"/>
    </row>
    <row r="785" spans="1:9" x14ac:dyDescent="0.2">
      <c r="A785" s="22"/>
      <c r="B785" s="22"/>
      <c r="C785" s="19"/>
      <c r="D785" s="19"/>
      <c r="E785" s="19"/>
      <c r="F785" s="19"/>
      <c r="G785" s="19"/>
      <c r="H785" s="19"/>
      <c r="I785" s="8"/>
    </row>
    <row r="786" spans="1:9" x14ac:dyDescent="0.2">
      <c r="A786" s="22"/>
      <c r="B786" s="22"/>
      <c r="C786" s="19"/>
      <c r="D786" s="19"/>
      <c r="E786" s="19"/>
      <c r="F786" s="19"/>
      <c r="G786" s="19"/>
      <c r="H786" s="19"/>
      <c r="I786" s="8"/>
    </row>
    <row r="787" spans="1:9" x14ac:dyDescent="0.2">
      <c r="A787" s="22"/>
      <c r="B787" s="22"/>
      <c r="C787" s="19"/>
      <c r="D787" s="19"/>
      <c r="E787" s="19"/>
      <c r="F787" s="19"/>
      <c r="G787" s="19"/>
      <c r="H787" s="19"/>
      <c r="I787" s="8"/>
    </row>
    <row r="788" spans="1:9" x14ac:dyDescent="0.2">
      <c r="A788" s="22"/>
      <c r="B788" s="22"/>
      <c r="C788" s="19"/>
      <c r="D788" s="19"/>
      <c r="E788" s="19"/>
      <c r="F788" s="19"/>
      <c r="G788" s="19"/>
      <c r="H788" s="19"/>
      <c r="I788" s="8"/>
    </row>
    <row r="789" spans="1:9" x14ac:dyDescent="0.2">
      <c r="A789" s="22"/>
      <c r="B789" s="22"/>
      <c r="C789" s="19"/>
      <c r="D789" s="19"/>
      <c r="E789" s="19"/>
      <c r="F789" s="19"/>
      <c r="G789" s="19"/>
      <c r="H789" s="19"/>
      <c r="I789" s="8"/>
    </row>
    <row r="790" spans="1:9" x14ac:dyDescent="0.2">
      <c r="A790" s="22"/>
      <c r="B790" s="22"/>
      <c r="C790" s="19"/>
      <c r="D790" s="19"/>
      <c r="E790" s="19"/>
      <c r="F790" s="19"/>
      <c r="G790" s="19"/>
      <c r="H790" s="19"/>
      <c r="I790" s="8"/>
    </row>
    <row r="791" spans="1:9" x14ac:dyDescent="0.2">
      <c r="A791" s="22"/>
      <c r="B791" s="22"/>
      <c r="C791" s="19"/>
      <c r="D791" s="19"/>
      <c r="E791" s="19"/>
      <c r="F791" s="19"/>
      <c r="G791" s="19"/>
      <c r="H791" s="19"/>
      <c r="I791" s="8"/>
    </row>
    <row r="792" spans="1:9" x14ac:dyDescent="0.2">
      <c r="A792" s="22"/>
      <c r="B792" s="22"/>
      <c r="C792" s="19"/>
      <c r="D792" s="19"/>
      <c r="E792" s="19"/>
      <c r="F792" s="19"/>
      <c r="G792" s="19"/>
      <c r="H792" s="19"/>
      <c r="I792" s="8"/>
    </row>
    <row r="793" spans="1:9" x14ac:dyDescent="0.2">
      <c r="A793" s="22"/>
      <c r="B793" s="22"/>
      <c r="C793" s="19"/>
      <c r="D793" s="19"/>
      <c r="E793" s="19"/>
      <c r="F793" s="19"/>
      <c r="G793" s="19"/>
      <c r="H793" s="19"/>
      <c r="I793" s="8"/>
    </row>
    <row r="794" spans="1:9" x14ac:dyDescent="0.2">
      <c r="A794" s="22"/>
      <c r="B794" s="22"/>
      <c r="C794" s="19"/>
      <c r="D794" s="19"/>
      <c r="E794" s="19"/>
      <c r="F794" s="19"/>
      <c r="G794" s="19"/>
      <c r="H794" s="19"/>
      <c r="I794" s="8"/>
    </row>
    <row r="795" spans="1:9" x14ac:dyDescent="0.2">
      <c r="A795" s="22"/>
      <c r="B795" s="22"/>
      <c r="C795" s="19"/>
      <c r="D795" s="19"/>
      <c r="E795" s="19"/>
      <c r="F795" s="19"/>
      <c r="G795" s="19"/>
      <c r="H795" s="19"/>
      <c r="I795" s="8"/>
    </row>
    <row r="796" spans="1:9" x14ac:dyDescent="0.2">
      <c r="A796" s="22"/>
      <c r="B796" s="22"/>
      <c r="C796" s="19"/>
      <c r="D796" s="19"/>
      <c r="E796" s="19"/>
      <c r="F796" s="19"/>
      <c r="G796" s="19"/>
      <c r="H796" s="19"/>
      <c r="I796" s="8"/>
    </row>
    <row r="797" spans="1:9" x14ac:dyDescent="0.2">
      <c r="A797" s="22"/>
      <c r="B797" s="22"/>
      <c r="C797" s="19"/>
      <c r="D797" s="19"/>
      <c r="E797" s="19"/>
      <c r="F797" s="19"/>
      <c r="G797" s="19"/>
      <c r="H797" s="19"/>
      <c r="I797" s="8"/>
    </row>
    <row r="798" spans="1:9" x14ac:dyDescent="0.2">
      <c r="A798" s="22"/>
      <c r="B798" s="22"/>
      <c r="C798" s="19"/>
      <c r="D798" s="19"/>
      <c r="E798" s="19"/>
      <c r="F798" s="19"/>
      <c r="G798" s="19"/>
      <c r="H798" s="19"/>
      <c r="I798" s="8"/>
    </row>
    <row r="799" spans="1:9" x14ac:dyDescent="0.2">
      <c r="A799" s="22"/>
      <c r="B799" s="22"/>
      <c r="C799" s="19"/>
      <c r="D799" s="19"/>
      <c r="E799" s="19"/>
      <c r="F799" s="19"/>
      <c r="G799" s="19"/>
      <c r="H799" s="19"/>
      <c r="I799" s="8"/>
    </row>
    <row r="800" spans="1:9" x14ac:dyDescent="0.2">
      <c r="A800" s="22"/>
      <c r="B800" s="22"/>
      <c r="C800" s="19"/>
      <c r="D800" s="19"/>
      <c r="E800" s="19"/>
      <c r="F800" s="19"/>
      <c r="G800" s="19"/>
      <c r="H800" s="19"/>
      <c r="I800" s="8"/>
    </row>
    <row r="801" spans="1:9" x14ac:dyDescent="0.2">
      <c r="A801" s="22"/>
      <c r="B801" s="22"/>
      <c r="C801" s="19"/>
      <c r="D801" s="19"/>
      <c r="E801" s="19"/>
      <c r="F801" s="19"/>
      <c r="G801" s="19"/>
      <c r="H801" s="19"/>
      <c r="I801" s="8"/>
    </row>
    <row r="802" spans="1:9" x14ac:dyDescent="0.2">
      <c r="A802" s="22"/>
      <c r="B802" s="22"/>
      <c r="C802" s="19"/>
      <c r="D802" s="19"/>
      <c r="E802" s="19"/>
      <c r="F802" s="19"/>
      <c r="G802" s="19"/>
      <c r="H802" s="19"/>
      <c r="I802" s="8"/>
    </row>
    <row r="803" spans="1:9" x14ac:dyDescent="0.2">
      <c r="A803" s="22"/>
      <c r="B803" s="22"/>
      <c r="C803" s="19"/>
      <c r="D803" s="19"/>
      <c r="E803" s="19"/>
      <c r="F803" s="19"/>
      <c r="G803" s="19"/>
      <c r="H803" s="19"/>
      <c r="I803" s="8"/>
    </row>
    <row r="804" spans="1:9" x14ac:dyDescent="0.2">
      <c r="A804" s="22"/>
      <c r="B804" s="22"/>
      <c r="C804" s="19"/>
      <c r="D804" s="19"/>
      <c r="E804" s="19"/>
      <c r="F804" s="19"/>
      <c r="G804" s="19"/>
      <c r="H804" s="19"/>
      <c r="I804" s="8"/>
    </row>
    <row r="805" spans="1:9" x14ac:dyDescent="0.2">
      <c r="A805" s="22"/>
      <c r="B805" s="22"/>
      <c r="C805" s="19"/>
      <c r="D805" s="19"/>
      <c r="E805" s="19"/>
      <c r="F805" s="19"/>
      <c r="G805" s="19"/>
      <c r="H805" s="19"/>
      <c r="I805" s="8"/>
    </row>
    <row r="806" spans="1:9" x14ac:dyDescent="0.2">
      <c r="A806" s="22"/>
      <c r="B806" s="22"/>
      <c r="C806" s="19"/>
      <c r="D806" s="19"/>
      <c r="E806" s="19"/>
      <c r="F806" s="19"/>
      <c r="G806" s="19"/>
      <c r="H806" s="19"/>
      <c r="I806" s="8"/>
    </row>
    <row r="807" spans="1:9" x14ac:dyDescent="0.2">
      <c r="A807" s="22"/>
      <c r="B807" s="22"/>
      <c r="C807" s="19"/>
      <c r="D807" s="19"/>
      <c r="E807" s="19"/>
      <c r="F807" s="19"/>
      <c r="G807" s="19"/>
      <c r="H807" s="19"/>
      <c r="I807" s="8"/>
    </row>
    <row r="808" spans="1:9" x14ac:dyDescent="0.2">
      <c r="A808" s="22"/>
      <c r="B808" s="22"/>
      <c r="C808" s="19"/>
      <c r="D808" s="19"/>
      <c r="E808" s="19"/>
      <c r="F808" s="19"/>
      <c r="G808" s="19"/>
      <c r="H808" s="19"/>
      <c r="I808" s="8"/>
    </row>
    <row r="809" spans="1:9" x14ac:dyDescent="0.2">
      <c r="A809" s="22"/>
      <c r="B809" s="22"/>
      <c r="C809" s="19"/>
      <c r="D809" s="19"/>
      <c r="E809" s="19"/>
      <c r="F809" s="19"/>
      <c r="G809" s="19"/>
      <c r="H809" s="19"/>
      <c r="I809" s="8"/>
    </row>
    <row r="810" spans="1:9" x14ac:dyDescent="0.2">
      <c r="A810" s="22"/>
      <c r="B810" s="22"/>
      <c r="C810" s="19"/>
      <c r="D810" s="19"/>
      <c r="E810" s="19"/>
      <c r="F810" s="19"/>
      <c r="G810" s="19"/>
      <c r="H810" s="19"/>
      <c r="I810" s="8"/>
    </row>
    <row r="811" spans="1:9" x14ac:dyDescent="0.2">
      <c r="A811" s="22"/>
      <c r="B811" s="22"/>
      <c r="C811" s="19"/>
      <c r="D811" s="19"/>
      <c r="E811" s="19"/>
      <c r="F811" s="19"/>
      <c r="G811" s="19"/>
      <c r="H811" s="19"/>
      <c r="I811" s="8"/>
    </row>
    <row r="812" spans="1:9" x14ac:dyDescent="0.2">
      <c r="A812" s="22"/>
      <c r="B812" s="22"/>
      <c r="C812" s="19"/>
      <c r="D812" s="19"/>
      <c r="E812" s="19"/>
      <c r="F812" s="19"/>
      <c r="G812" s="19"/>
      <c r="H812" s="19"/>
      <c r="I812" s="8"/>
    </row>
    <row r="813" spans="1:9" x14ac:dyDescent="0.2">
      <c r="A813" s="22"/>
      <c r="B813" s="22"/>
      <c r="C813" s="19"/>
      <c r="D813" s="19"/>
      <c r="E813" s="19"/>
      <c r="F813" s="19"/>
      <c r="G813" s="19"/>
      <c r="H813" s="19"/>
      <c r="I813" s="8"/>
    </row>
    <row r="814" spans="1:9" x14ac:dyDescent="0.2">
      <c r="A814" s="22"/>
      <c r="B814" s="22"/>
      <c r="C814" s="19"/>
      <c r="D814" s="19"/>
      <c r="E814" s="19"/>
      <c r="F814" s="19"/>
      <c r="G814" s="19"/>
      <c r="H814" s="19"/>
      <c r="I814" s="8"/>
    </row>
    <row r="815" spans="1:9" x14ac:dyDescent="0.2">
      <c r="A815" s="22"/>
      <c r="B815" s="22"/>
      <c r="C815" s="19"/>
      <c r="D815" s="19"/>
      <c r="E815" s="19"/>
      <c r="F815" s="19"/>
      <c r="G815" s="19"/>
      <c r="H815" s="19"/>
      <c r="I815" s="8"/>
    </row>
    <row r="816" spans="1:9" x14ac:dyDescent="0.2">
      <c r="A816" s="22"/>
      <c r="B816" s="22"/>
      <c r="C816" s="19"/>
      <c r="D816" s="19"/>
      <c r="E816" s="19"/>
      <c r="F816" s="19"/>
      <c r="G816" s="19"/>
      <c r="H816" s="19"/>
      <c r="I816" s="8"/>
    </row>
    <row r="817" spans="1:9" x14ac:dyDescent="0.2">
      <c r="A817" s="22"/>
      <c r="B817" s="22"/>
      <c r="C817" s="19"/>
      <c r="D817" s="19"/>
      <c r="E817" s="19"/>
      <c r="F817" s="19"/>
      <c r="G817" s="19"/>
      <c r="H817" s="19"/>
      <c r="I817" s="8"/>
    </row>
    <row r="818" spans="1:9" x14ac:dyDescent="0.2">
      <c r="A818" s="22"/>
      <c r="B818" s="22"/>
      <c r="C818" s="19"/>
      <c r="D818" s="19"/>
      <c r="E818" s="19"/>
      <c r="F818" s="19"/>
      <c r="G818" s="19"/>
      <c r="H818" s="19"/>
      <c r="I818" s="8"/>
    </row>
    <row r="819" spans="1:9" x14ac:dyDescent="0.2">
      <c r="A819" s="22"/>
      <c r="B819" s="22"/>
      <c r="C819" s="19"/>
      <c r="D819" s="19"/>
      <c r="E819" s="19"/>
      <c r="F819" s="19"/>
      <c r="G819" s="19"/>
      <c r="H819" s="19"/>
      <c r="I819" s="8"/>
    </row>
    <row r="820" spans="1:9" x14ac:dyDescent="0.2">
      <c r="A820" s="22"/>
      <c r="B820" s="22"/>
      <c r="C820" s="19"/>
      <c r="D820" s="19"/>
      <c r="E820" s="19"/>
      <c r="F820" s="19"/>
      <c r="G820" s="19"/>
      <c r="H820" s="19"/>
      <c r="I820" s="8"/>
    </row>
    <row r="821" spans="1:9" x14ac:dyDescent="0.2">
      <c r="A821" s="22"/>
      <c r="B821" s="22"/>
      <c r="C821" s="19"/>
      <c r="D821" s="19"/>
      <c r="E821" s="19"/>
      <c r="F821" s="19"/>
      <c r="G821" s="19"/>
      <c r="H821" s="19"/>
      <c r="I821" s="8"/>
    </row>
    <row r="822" spans="1:9" x14ac:dyDescent="0.2">
      <c r="A822" s="22"/>
      <c r="B822" s="22"/>
      <c r="C822" s="19"/>
      <c r="D822" s="19"/>
      <c r="E822" s="19"/>
      <c r="F822" s="19"/>
      <c r="G822" s="19"/>
      <c r="H822" s="19"/>
      <c r="I822" s="8"/>
    </row>
    <row r="823" spans="1:9" x14ac:dyDescent="0.2">
      <c r="A823" s="22"/>
      <c r="B823" s="22"/>
      <c r="C823" s="19"/>
      <c r="D823" s="19"/>
      <c r="E823" s="19"/>
      <c r="F823" s="19"/>
      <c r="G823" s="19"/>
      <c r="H823" s="19"/>
      <c r="I823" s="8"/>
    </row>
    <row r="824" spans="1:9" x14ac:dyDescent="0.2">
      <c r="A824" s="22"/>
      <c r="B824" s="22"/>
      <c r="C824" s="19"/>
      <c r="D824" s="19"/>
      <c r="E824" s="19"/>
      <c r="F824" s="19"/>
      <c r="G824" s="19"/>
      <c r="H824" s="19"/>
      <c r="I824" s="8"/>
    </row>
    <row r="825" spans="1:9" x14ac:dyDescent="0.2">
      <c r="A825" s="22"/>
      <c r="B825" s="22"/>
      <c r="C825" s="19"/>
      <c r="D825" s="19"/>
      <c r="E825" s="19"/>
      <c r="F825" s="19"/>
      <c r="G825" s="19"/>
      <c r="H825" s="19"/>
      <c r="I825" s="8"/>
    </row>
    <row r="826" spans="1:9" x14ac:dyDescent="0.2">
      <c r="A826" s="22"/>
      <c r="B826" s="22"/>
      <c r="C826" s="19"/>
      <c r="D826" s="19"/>
      <c r="E826" s="19"/>
      <c r="F826" s="19"/>
      <c r="G826" s="19"/>
      <c r="H826" s="19"/>
      <c r="I826" s="8"/>
    </row>
    <row r="827" spans="1:9" x14ac:dyDescent="0.2">
      <c r="A827" s="22"/>
      <c r="B827" s="22"/>
      <c r="C827" s="19"/>
      <c r="D827" s="19"/>
      <c r="E827" s="19"/>
      <c r="F827" s="19"/>
      <c r="G827" s="19"/>
      <c r="H827" s="19"/>
      <c r="I827" s="8"/>
    </row>
    <row r="828" spans="1:9" x14ac:dyDescent="0.2">
      <c r="A828" s="22"/>
      <c r="B828" s="22"/>
      <c r="C828" s="19"/>
      <c r="D828" s="19"/>
      <c r="E828" s="19"/>
      <c r="F828" s="19"/>
      <c r="G828" s="19"/>
      <c r="H828" s="19"/>
      <c r="I828" s="8"/>
    </row>
    <row r="829" spans="1:9" x14ac:dyDescent="0.2">
      <c r="A829" s="22"/>
      <c r="B829" s="22"/>
      <c r="C829" s="19"/>
      <c r="D829" s="19"/>
      <c r="E829" s="19"/>
      <c r="F829" s="19"/>
      <c r="G829" s="19"/>
      <c r="H829" s="19"/>
      <c r="I829" s="8"/>
    </row>
    <row r="830" spans="1:9" x14ac:dyDescent="0.2">
      <c r="A830" s="22"/>
      <c r="B830" s="22"/>
      <c r="C830" s="19"/>
      <c r="D830" s="19"/>
      <c r="E830" s="19"/>
      <c r="F830" s="19"/>
      <c r="G830" s="19"/>
      <c r="H830" s="19"/>
      <c r="I830" s="8"/>
    </row>
    <row r="831" spans="1:9" x14ac:dyDescent="0.2">
      <c r="A831" s="22"/>
      <c r="B831" s="22"/>
      <c r="C831" s="19"/>
      <c r="D831" s="19"/>
      <c r="E831" s="19"/>
      <c r="F831" s="19"/>
      <c r="G831" s="19"/>
      <c r="H831" s="19"/>
      <c r="I831" s="8"/>
    </row>
    <row r="832" spans="1:9" x14ac:dyDescent="0.2">
      <c r="A832" s="22"/>
      <c r="B832" s="22"/>
      <c r="C832" s="19"/>
      <c r="D832" s="19"/>
      <c r="E832" s="19"/>
      <c r="F832" s="19"/>
      <c r="G832" s="19"/>
      <c r="H832" s="19"/>
      <c r="I832" s="8"/>
    </row>
    <row r="833" spans="1:9" x14ac:dyDescent="0.2">
      <c r="A833" s="22"/>
      <c r="B833" s="22"/>
      <c r="C833" s="19"/>
      <c r="D833" s="19"/>
      <c r="E833" s="19"/>
      <c r="F833" s="19"/>
      <c r="G833" s="19"/>
      <c r="H833" s="19"/>
      <c r="I833" s="8"/>
    </row>
    <row r="834" spans="1:9" x14ac:dyDescent="0.2">
      <c r="A834" s="22"/>
      <c r="B834" s="22"/>
      <c r="C834" s="19"/>
      <c r="D834" s="19"/>
      <c r="E834" s="19"/>
      <c r="F834" s="19"/>
      <c r="G834" s="19"/>
      <c r="H834" s="19"/>
      <c r="I834" s="8"/>
    </row>
    <row r="835" spans="1:9" x14ac:dyDescent="0.2">
      <c r="A835" s="22"/>
      <c r="B835" s="22"/>
      <c r="C835" s="19"/>
      <c r="D835" s="19"/>
      <c r="E835" s="19"/>
      <c r="F835" s="19"/>
      <c r="G835" s="19"/>
      <c r="H835" s="19"/>
      <c r="I835" s="8"/>
    </row>
    <row r="836" spans="1:9" x14ac:dyDescent="0.2">
      <c r="A836" s="22"/>
      <c r="B836" s="22"/>
      <c r="C836" s="19"/>
      <c r="D836" s="19"/>
      <c r="E836" s="19"/>
      <c r="F836" s="19"/>
      <c r="G836" s="19"/>
      <c r="H836" s="19"/>
      <c r="I836" s="8"/>
    </row>
    <row r="837" spans="1:9" x14ac:dyDescent="0.2">
      <c r="A837" s="22"/>
      <c r="B837" s="22"/>
      <c r="C837" s="19"/>
      <c r="D837" s="19"/>
      <c r="E837" s="19"/>
      <c r="F837" s="19"/>
      <c r="G837" s="19"/>
      <c r="H837" s="19"/>
      <c r="I837" s="8"/>
    </row>
    <row r="838" spans="1:9" x14ac:dyDescent="0.2">
      <c r="A838" s="22"/>
      <c r="B838" s="22"/>
      <c r="C838" s="19"/>
      <c r="D838" s="19"/>
      <c r="E838" s="19"/>
      <c r="F838" s="19"/>
      <c r="G838" s="19"/>
      <c r="H838" s="19"/>
      <c r="I838" s="8"/>
    </row>
    <row r="839" spans="1:9" x14ac:dyDescent="0.2">
      <c r="A839" s="22"/>
      <c r="B839" s="22"/>
      <c r="C839" s="19"/>
      <c r="D839" s="19"/>
      <c r="E839" s="19"/>
      <c r="F839" s="19"/>
      <c r="G839" s="19"/>
      <c r="H839" s="19"/>
      <c r="I839" s="8"/>
    </row>
    <row r="840" spans="1:9" x14ac:dyDescent="0.2">
      <c r="A840" s="22"/>
      <c r="B840" s="22"/>
      <c r="C840" s="19"/>
      <c r="D840" s="19"/>
      <c r="E840" s="19"/>
      <c r="F840" s="19"/>
      <c r="G840" s="19"/>
      <c r="H840" s="19"/>
      <c r="I840" s="8"/>
    </row>
    <row r="841" spans="1:9" x14ac:dyDescent="0.2">
      <c r="A841" s="22"/>
      <c r="B841" s="22"/>
      <c r="C841" s="19"/>
      <c r="D841" s="19"/>
      <c r="E841" s="19"/>
      <c r="F841" s="19"/>
      <c r="G841" s="19"/>
      <c r="H841" s="19"/>
      <c r="I841" s="8"/>
    </row>
    <row r="842" spans="1:9" x14ac:dyDescent="0.2">
      <c r="A842" s="22"/>
      <c r="B842" s="22"/>
      <c r="C842" s="19"/>
      <c r="D842" s="19"/>
      <c r="E842" s="19"/>
      <c r="F842" s="19"/>
      <c r="G842" s="19"/>
      <c r="H842" s="19"/>
      <c r="I842" s="8"/>
    </row>
    <row r="843" spans="1:9" x14ac:dyDescent="0.2">
      <c r="A843" s="22"/>
      <c r="B843" s="22"/>
      <c r="C843" s="19"/>
      <c r="D843" s="19"/>
      <c r="E843" s="19"/>
      <c r="F843" s="19"/>
      <c r="G843" s="19"/>
      <c r="H843" s="19"/>
      <c r="I843" s="8"/>
    </row>
    <row r="844" spans="1:9" x14ac:dyDescent="0.2">
      <c r="A844" s="22"/>
      <c r="B844" s="22"/>
      <c r="C844" s="19"/>
      <c r="D844" s="19"/>
      <c r="E844" s="19"/>
      <c r="F844" s="19"/>
      <c r="G844" s="19"/>
      <c r="H844" s="19"/>
      <c r="I844" s="8"/>
    </row>
    <row r="845" spans="1:9" x14ac:dyDescent="0.2">
      <c r="A845" s="22"/>
      <c r="B845" s="22"/>
      <c r="C845" s="19"/>
      <c r="D845" s="19"/>
      <c r="E845" s="19"/>
      <c r="F845" s="19"/>
      <c r="G845" s="19"/>
      <c r="H845" s="19"/>
      <c r="I845" s="8"/>
    </row>
    <row r="846" spans="1:9" x14ac:dyDescent="0.2">
      <c r="A846" s="22"/>
      <c r="B846" s="22"/>
      <c r="C846" s="19"/>
      <c r="D846" s="19"/>
      <c r="E846" s="19"/>
      <c r="F846" s="19"/>
      <c r="G846" s="19"/>
      <c r="H846" s="19"/>
      <c r="I846" s="8"/>
    </row>
    <row r="847" spans="1:9" x14ac:dyDescent="0.2">
      <c r="A847" s="22"/>
      <c r="B847" s="22"/>
      <c r="C847" s="19"/>
      <c r="D847" s="19"/>
      <c r="E847" s="19"/>
      <c r="F847" s="19"/>
      <c r="G847" s="19"/>
      <c r="H847" s="19"/>
      <c r="I847" s="8"/>
    </row>
    <row r="848" spans="1:9" x14ac:dyDescent="0.2">
      <c r="A848" s="22"/>
      <c r="B848" s="22"/>
      <c r="C848" s="19"/>
      <c r="D848" s="19"/>
      <c r="E848" s="19"/>
      <c r="F848" s="19"/>
      <c r="G848" s="19"/>
      <c r="H848" s="19"/>
      <c r="I848" s="8"/>
    </row>
    <row r="849" spans="1:9" x14ac:dyDescent="0.2">
      <c r="A849" s="22"/>
      <c r="B849" s="22"/>
      <c r="C849" s="19"/>
      <c r="D849" s="19"/>
      <c r="E849" s="19"/>
      <c r="F849" s="19"/>
      <c r="G849" s="19"/>
      <c r="H849" s="19"/>
      <c r="I849" s="8"/>
    </row>
    <row r="850" spans="1:9" x14ac:dyDescent="0.2">
      <c r="A850" s="22"/>
      <c r="B850" s="22"/>
      <c r="C850" s="19"/>
      <c r="D850" s="19"/>
      <c r="E850" s="19"/>
      <c r="F850" s="19"/>
      <c r="G850" s="19"/>
      <c r="H850" s="19"/>
      <c r="I850" s="8"/>
    </row>
    <row r="851" spans="1:9" x14ac:dyDescent="0.2">
      <c r="A851" s="22"/>
      <c r="B851" s="22"/>
      <c r="C851" s="19"/>
      <c r="D851" s="19"/>
      <c r="E851" s="19"/>
      <c r="F851" s="19"/>
      <c r="G851" s="19"/>
      <c r="H851" s="19"/>
      <c r="I851" s="8"/>
    </row>
    <row r="852" spans="1:9" x14ac:dyDescent="0.2">
      <c r="A852" s="22"/>
      <c r="B852" s="22"/>
      <c r="C852" s="19"/>
      <c r="D852" s="19"/>
      <c r="E852" s="19"/>
      <c r="F852" s="19"/>
      <c r="G852" s="19"/>
      <c r="H852" s="19"/>
      <c r="I852" s="8"/>
    </row>
    <row r="853" spans="1:9" x14ac:dyDescent="0.2">
      <c r="A853" s="22"/>
      <c r="B853" s="22"/>
      <c r="C853" s="19"/>
      <c r="D853" s="19"/>
      <c r="E853" s="19"/>
      <c r="F853" s="19"/>
      <c r="G853" s="19"/>
      <c r="H853" s="19"/>
      <c r="I853" s="8"/>
    </row>
    <row r="854" spans="1:9" x14ac:dyDescent="0.2">
      <c r="A854" s="22"/>
      <c r="B854" s="22"/>
      <c r="C854" s="19"/>
      <c r="D854" s="19"/>
      <c r="E854" s="19"/>
      <c r="F854" s="19"/>
      <c r="G854" s="19"/>
      <c r="H854" s="19"/>
      <c r="I854" s="8"/>
    </row>
    <row r="855" spans="1:9" x14ac:dyDescent="0.2">
      <c r="A855" s="22"/>
      <c r="B855" s="22"/>
      <c r="C855" s="19"/>
      <c r="D855" s="19"/>
      <c r="E855" s="19"/>
      <c r="F855" s="19"/>
      <c r="G855" s="19"/>
      <c r="H855" s="19"/>
      <c r="I855" s="8"/>
    </row>
    <row r="856" spans="1:9" x14ac:dyDescent="0.2">
      <c r="A856" s="22"/>
      <c r="B856" s="22"/>
      <c r="C856" s="19"/>
      <c r="D856" s="19"/>
      <c r="E856" s="19"/>
      <c r="F856" s="19"/>
      <c r="G856" s="19"/>
      <c r="H856" s="19"/>
      <c r="I856" s="8"/>
    </row>
    <row r="857" spans="1:9" x14ac:dyDescent="0.2">
      <c r="A857" s="22"/>
      <c r="B857" s="22"/>
      <c r="C857" s="19"/>
      <c r="D857" s="19"/>
      <c r="E857" s="19"/>
      <c r="F857" s="19"/>
      <c r="G857" s="19"/>
      <c r="H857" s="19"/>
      <c r="I857" s="8"/>
    </row>
    <row r="858" spans="1:9" x14ac:dyDescent="0.2">
      <c r="A858" s="22"/>
      <c r="B858" s="22"/>
      <c r="C858" s="19"/>
      <c r="D858" s="19"/>
      <c r="E858" s="19"/>
      <c r="F858" s="19"/>
      <c r="G858" s="19"/>
      <c r="H858" s="19"/>
      <c r="I858" s="8"/>
    </row>
    <row r="859" spans="1:9" x14ac:dyDescent="0.2">
      <c r="A859" s="22"/>
      <c r="B859" s="22"/>
      <c r="C859" s="19"/>
      <c r="D859" s="19"/>
      <c r="E859" s="19"/>
      <c r="F859" s="19"/>
      <c r="G859" s="19"/>
      <c r="H859" s="19"/>
      <c r="I859" s="8"/>
    </row>
    <row r="860" spans="1:9" x14ac:dyDescent="0.2">
      <c r="A860" s="22"/>
      <c r="B860" s="22"/>
      <c r="C860" s="19"/>
      <c r="D860" s="19"/>
      <c r="E860" s="19"/>
      <c r="F860" s="19"/>
      <c r="G860" s="19"/>
      <c r="H860" s="19"/>
      <c r="I860" s="8"/>
    </row>
    <row r="861" spans="1:9" x14ac:dyDescent="0.2">
      <c r="A861" s="22"/>
      <c r="B861" s="22"/>
      <c r="C861" s="19"/>
      <c r="D861" s="19"/>
      <c r="E861" s="19"/>
      <c r="F861" s="19"/>
      <c r="G861" s="19"/>
      <c r="H861" s="19"/>
      <c r="I861" s="8"/>
    </row>
    <row r="862" spans="1:9" x14ac:dyDescent="0.2">
      <c r="A862" s="22"/>
      <c r="B862" s="22"/>
      <c r="C862" s="19"/>
      <c r="D862" s="19"/>
      <c r="E862" s="19"/>
      <c r="F862" s="19"/>
      <c r="G862" s="19"/>
      <c r="H862" s="19"/>
      <c r="I862" s="8"/>
    </row>
    <row r="863" spans="1:9" x14ac:dyDescent="0.2">
      <c r="A863" s="22"/>
      <c r="B863" s="22"/>
      <c r="C863" s="19"/>
      <c r="D863" s="19"/>
      <c r="E863" s="19"/>
      <c r="F863" s="19"/>
      <c r="G863" s="19"/>
      <c r="H863" s="19"/>
      <c r="I863" s="8"/>
    </row>
    <row r="864" spans="1:9" x14ac:dyDescent="0.2">
      <c r="A864" s="22"/>
      <c r="B864" s="22"/>
      <c r="C864" s="19"/>
      <c r="D864" s="19"/>
      <c r="E864" s="19"/>
      <c r="F864" s="19"/>
      <c r="G864" s="19"/>
      <c r="H864" s="19"/>
      <c r="I864" s="8"/>
    </row>
    <row r="865" spans="1:9" x14ac:dyDescent="0.2">
      <c r="A865" s="22"/>
      <c r="B865" s="22"/>
      <c r="C865" s="19"/>
      <c r="D865" s="19"/>
      <c r="E865" s="19"/>
      <c r="F865" s="19"/>
      <c r="G865" s="19"/>
      <c r="H865" s="19"/>
      <c r="I865" s="8"/>
    </row>
    <row r="866" spans="1:9" x14ac:dyDescent="0.2">
      <c r="A866" s="22"/>
      <c r="B866" s="22"/>
      <c r="C866" s="19"/>
      <c r="D866" s="19"/>
      <c r="E866" s="19"/>
      <c r="F866" s="19"/>
      <c r="G866" s="19"/>
      <c r="H866" s="19"/>
      <c r="I866" s="8"/>
    </row>
    <row r="867" spans="1:9" x14ac:dyDescent="0.2">
      <c r="A867" s="22"/>
      <c r="B867" s="22"/>
      <c r="C867" s="19"/>
      <c r="D867" s="19"/>
      <c r="E867" s="19"/>
      <c r="F867" s="19"/>
      <c r="G867" s="19"/>
      <c r="H867" s="19"/>
      <c r="I867" s="8"/>
    </row>
    <row r="868" spans="1:9" x14ac:dyDescent="0.2">
      <c r="A868" s="22"/>
      <c r="B868" s="22"/>
      <c r="C868" s="19"/>
      <c r="D868" s="19"/>
      <c r="E868" s="19"/>
      <c r="F868" s="19"/>
      <c r="G868" s="19"/>
      <c r="H868" s="19"/>
      <c r="I868" s="8"/>
    </row>
    <row r="869" spans="1:9" x14ac:dyDescent="0.2">
      <c r="A869" s="22"/>
      <c r="B869" s="22"/>
      <c r="C869" s="19"/>
      <c r="D869" s="19"/>
      <c r="E869" s="19"/>
      <c r="F869" s="19"/>
      <c r="G869" s="19"/>
      <c r="H869" s="19"/>
      <c r="I869" s="8"/>
    </row>
    <row r="870" spans="1:9" x14ac:dyDescent="0.2">
      <c r="A870" s="22"/>
      <c r="B870" s="22"/>
      <c r="C870" s="19"/>
      <c r="D870" s="19"/>
      <c r="E870" s="19"/>
      <c r="F870" s="19"/>
      <c r="G870" s="19"/>
      <c r="H870" s="19"/>
      <c r="I870" s="8"/>
    </row>
    <row r="871" spans="1:9" x14ac:dyDescent="0.2">
      <c r="A871" s="22"/>
      <c r="B871" s="22"/>
      <c r="C871" s="19"/>
      <c r="D871" s="19"/>
      <c r="E871" s="19"/>
      <c r="F871" s="19"/>
      <c r="G871" s="19"/>
      <c r="H871" s="19"/>
      <c r="I871" s="8"/>
    </row>
    <row r="872" spans="1:9" x14ac:dyDescent="0.2">
      <c r="A872" s="22"/>
      <c r="B872" s="22"/>
      <c r="C872" s="19"/>
      <c r="D872" s="19"/>
      <c r="E872" s="19"/>
      <c r="F872" s="19"/>
      <c r="G872" s="19"/>
      <c r="H872" s="19"/>
      <c r="I872" s="8"/>
    </row>
    <row r="873" spans="1:9" x14ac:dyDescent="0.2">
      <c r="A873" s="22"/>
      <c r="B873" s="22"/>
      <c r="C873" s="19"/>
      <c r="D873" s="19"/>
      <c r="E873" s="19"/>
      <c r="F873" s="19"/>
      <c r="G873" s="19"/>
      <c r="H873" s="19"/>
      <c r="I873" s="8"/>
    </row>
    <row r="874" spans="1:9" x14ac:dyDescent="0.2">
      <c r="A874" s="22"/>
      <c r="B874" s="22"/>
      <c r="C874" s="19"/>
      <c r="D874" s="19"/>
      <c r="E874" s="19"/>
      <c r="F874" s="19"/>
      <c r="G874" s="19"/>
      <c r="H874" s="19"/>
      <c r="I874" s="8"/>
    </row>
    <row r="875" spans="1:9" x14ac:dyDescent="0.2">
      <c r="A875" s="22"/>
      <c r="B875" s="22"/>
      <c r="C875" s="19"/>
      <c r="D875" s="19"/>
      <c r="E875" s="19"/>
      <c r="F875" s="19"/>
      <c r="G875" s="19"/>
      <c r="H875" s="19"/>
      <c r="I875" s="8"/>
    </row>
    <row r="876" spans="1:9" x14ac:dyDescent="0.2">
      <c r="A876" s="22"/>
      <c r="B876" s="22"/>
      <c r="C876" s="19"/>
      <c r="D876" s="19"/>
      <c r="E876" s="19"/>
      <c r="F876" s="19"/>
      <c r="G876" s="19"/>
      <c r="H876" s="19"/>
      <c r="I876" s="8"/>
    </row>
    <row r="877" spans="1:9" x14ac:dyDescent="0.2">
      <c r="A877" s="22"/>
      <c r="B877" s="22"/>
      <c r="C877" s="19"/>
      <c r="D877" s="19"/>
      <c r="E877" s="19"/>
      <c r="F877" s="19"/>
      <c r="G877" s="19"/>
      <c r="H877" s="19"/>
      <c r="I877" s="8"/>
    </row>
    <row r="878" spans="1:9" x14ac:dyDescent="0.2">
      <c r="A878" s="22"/>
      <c r="B878" s="22"/>
      <c r="C878" s="19"/>
      <c r="D878" s="19"/>
      <c r="E878" s="19"/>
      <c r="F878" s="19"/>
      <c r="G878" s="19"/>
      <c r="H878" s="19"/>
      <c r="I878" s="8"/>
    </row>
    <row r="879" spans="1:9" x14ac:dyDescent="0.2">
      <c r="A879" s="22"/>
      <c r="B879" s="22"/>
      <c r="C879" s="19"/>
      <c r="D879" s="19"/>
      <c r="E879" s="19"/>
      <c r="F879" s="19"/>
      <c r="G879" s="19"/>
      <c r="H879" s="19"/>
      <c r="I879" s="8"/>
    </row>
    <row r="880" spans="1:9" x14ac:dyDescent="0.2">
      <c r="A880" s="22"/>
      <c r="B880" s="22"/>
      <c r="C880" s="19"/>
      <c r="D880" s="19"/>
      <c r="E880" s="19"/>
      <c r="F880" s="19"/>
      <c r="G880" s="19"/>
      <c r="H880" s="19"/>
      <c r="I880" s="8"/>
    </row>
    <row r="881" spans="1:9" x14ac:dyDescent="0.2">
      <c r="A881" s="22"/>
      <c r="B881" s="22"/>
      <c r="C881" s="19"/>
      <c r="D881" s="19"/>
      <c r="E881" s="19"/>
      <c r="F881" s="19"/>
      <c r="G881" s="19"/>
      <c r="H881" s="19"/>
      <c r="I881" s="8"/>
    </row>
    <row r="882" spans="1:9" x14ac:dyDescent="0.2">
      <c r="A882" s="22"/>
      <c r="B882" s="22"/>
      <c r="C882" s="19"/>
      <c r="D882" s="19"/>
      <c r="E882" s="19"/>
      <c r="F882" s="19"/>
      <c r="G882" s="19"/>
      <c r="H882" s="19"/>
      <c r="I882" s="8"/>
    </row>
    <row r="883" spans="1:9" x14ac:dyDescent="0.2">
      <c r="A883" s="22"/>
      <c r="B883" s="22"/>
      <c r="C883" s="19"/>
      <c r="D883" s="19"/>
      <c r="E883" s="19"/>
      <c r="F883" s="19"/>
      <c r="G883" s="19"/>
      <c r="H883" s="19"/>
      <c r="I883" s="8"/>
    </row>
    <row r="884" spans="1:9" x14ac:dyDescent="0.2">
      <c r="A884" s="22"/>
      <c r="B884" s="22"/>
      <c r="C884" s="19"/>
      <c r="D884" s="19"/>
      <c r="E884" s="19"/>
      <c r="F884" s="19"/>
      <c r="G884" s="19"/>
      <c r="H884" s="19"/>
      <c r="I884" s="8"/>
    </row>
    <row r="885" spans="1:9" x14ac:dyDescent="0.2">
      <c r="A885" s="22"/>
      <c r="B885" s="22"/>
      <c r="C885" s="19"/>
      <c r="D885" s="19"/>
      <c r="E885" s="19"/>
      <c r="F885" s="19"/>
      <c r="G885" s="19"/>
      <c r="H885" s="19"/>
      <c r="I885" s="8"/>
    </row>
    <row r="886" spans="1:9" x14ac:dyDescent="0.2">
      <c r="A886" s="22"/>
      <c r="B886" s="22"/>
      <c r="C886" s="19"/>
      <c r="D886" s="19"/>
      <c r="E886" s="19"/>
      <c r="F886" s="19"/>
      <c r="G886" s="19"/>
      <c r="H886" s="19"/>
      <c r="I886" s="8"/>
    </row>
    <row r="887" spans="1:9" x14ac:dyDescent="0.2">
      <c r="A887" s="22"/>
      <c r="B887" s="22"/>
      <c r="C887" s="19"/>
      <c r="D887" s="19"/>
      <c r="E887" s="19"/>
      <c r="F887" s="19"/>
      <c r="G887" s="19"/>
      <c r="H887" s="19"/>
      <c r="I887" s="8"/>
    </row>
    <row r="888" spans="1:9" x14ac:dyDescent="0.2">
      <c r="A888" s="22"/>
      <c r="B888" s="22"/>
      <c r="C888" s="19"/>
      <c r="D888" s="19"/>
      <c r="E888" s="19"/>
      <c r="F888" s="19"/>
      <c r="G888" s="19"/>
      <c r="H888" s="19"/>
      <c r="I888" s="8"/>
    </row>
    <row r="889" spans="1:9" x14ac:dyDescent="0.2">
      <c r="A889" s="22"/>
      <c r="B889" s="22"/>
      <c r="C889" s="19"/>
      <c r="D889" s="19"/>
      <c r="E889" s="19"/>
      <c r="F889" s="19"/>
      <c r="G889" s="19"/>
      <c r="H889" s="19"/>
      <c r="I889" s="8"/>
    </row>
    <row r="890" spans="1:9" x14ac:dyDescent="0.2">
      <c r="A890" s="22"/>
      <c r="B890" s="22"/>
      <c r="C890" s="19"/>
      <c r="D890" s="19"/>
      <c r="E890" s="19"/>
      <c r="F890" s="19"/>
      <c r="G890" s="19"/>
      <c r="H890" s="19"/>
      <c r="I890" s="8"/>
    </row>
    <row r="891" spans="1:9" x14ac:dyDescent="0.2">
      <c r="A891" s="22"/>
      <c r="B891" s="22"/>
      <c r="C891" s="19"/>
      <c r="D891" s="19"/>
      <c r="E891" s="19"/>
      <c r="F891" s="19"/>
      <c r="G891" s="19"/>
      <c r="H891" s="19"/>
      <c r="I891" s="8"/>
    </row>
    <row r="892" spans="1:9" x14ac:dyDescent="0.2">
      <c r="A892" s="22"/>
      <c r="B892" s="22"/>
      <c r="C892" s="19"/>
      <c r="D892" s="19"/>
      <c r="E892" s="19"/>
      <c r="F892" s="19"/>
      <c r="G892" s="19"/>
      <c r="H892" s="19"/>
      <c r="I892" s="8"/>
    </row>
    <row r="893" spans="1:9" x14ac:dyDescent="0.2">
      <c r="A893" s="22"/>
      <c r="B893" s="22"/>
      <c r="C893" s="19"/>
      <c r="D893" s="19"/>
      <c r="E893" s="19"/>
      <c r="F893" s="19"/>
      <c r="G893" s="19"/>
      <c r="H893" s="19"/>
      <c r="I893" s="8"/>
    </row>
    <row r="894" spans="1:9" x14ac:dyDescent="0.2">
      <c r="A894" s="22"/>
      <c r="B894" s="22"/>
      <c r="C894" s="19"/>
      <c r="D894" s="19"/>
      <c r="E894" s="19"/>
      <c r="F894" s="19"/>
      <c r="G894" s="19"/>
      <c r="H894" s="19"/>
      <c r="I894" s="8"/>
    </row>
    <row r="895" spans="1:9" x14ac:dyDescent="0.2">
      <c r="A895" s="22"/>
      <c r="B895" s="22"/>
      <c r="C895" s="19"/>
      <c r="D895" s="19"/>
      <c r="E895" s="19"/>
      <c r="F895" s="19"/>
      <c r="G895" s="19"/>
      <c r="H895" s="19"/>
      <c r="I895" s="8"/>
    </row>
    <row r="896" spans="1:9" x14ac:dyDescent="0.2">
      <c r="A896" s="22"/>
      <c r="B896" s="22"/>
      <c r="C896" s="19"/>
      <c r="D896" s="19"/>
      <c r="E896" s="19"/>
      <c r="F896" s="19"/>
      <c r="G896" s="19"/>
      <c r="H896" s="19"/>
      <c r="I896" s="8"/>
    </row>
    <row r="897" spans="1:9" x14ac:dyDescent="0.2">
      <c r="A897" s="22"/>
      <c r="B897" s="22"/>
      <c r="C897" s="19"/>
      <c r="D897" s="19"/>
      <c r="E897" s="19"/>
      <c r="F897" s="19"/>
      <c r="G897" s="19"/>
      <c r="H897" s="19"/>
      <c r="I897" s="8"/>
    </row>
    <row r="898" spans="1:9" x14ac:dyDescent="0.2">
      <c r="A898" s="22"/>
      <c r="B898" s="22"/>
      <c r="C898" s="19"/>
      <c r="D898" s="19"/>
      <c r="E898" s="19"/>
      <c r="F898" s="19"/>
      <c r="G898" s="19"/>
      <c r="H898" s="19"/>
      <c r="I898" s="8"/>
    </row>
    <row r="899" spans="1:9" x14ac:dyDescent="0.2">
      <c r="A899" s="22"/>
      <c r="B899" s="22"/>
      <c r="C899" s="19"/>
      <c r="D899" s="19"/>
      <c r="E899" s="19"/>
      <c r="F899" s="19"/>
      <c r="G899" s="19"/>
      <c r="H899" s="19"/>
      <c r="I899" s="8"/>
    </row>
    <row r="900" spans="1:9" x14ac:dyDescent="0.2">
      <c r="A900" s="22"/>
      <c r="B900" s="22"/>
      <c r="C900" s="19"/>
      <c r="D900" s="19"/>
      <c r="E900" s="19"/>
      <c r="F900" s="19"/>
      <c r="G900" s="19"/>
      <c r="H900" s="19"/>
      <c r="I900" s="8"/>
    </row>
    <row r="901" spans="1:9" x14ac:dyDescent="0.2">
      <c r="A901" s="22"/>
      <c r="B901" s="22"/>
      <c r="C901" s="19"/>
      <c r="D901" s="19"/>
      <c r="E901" s="19"/>
      <c r="F901" s="19"/>
      <c r="G901" s="19"/>
      <c r="H901" s="19"/>
      <c r="I901" s="8"/>
    </row>
    <row r="902" spans="1:9" x14ac:dyDescent="0.2">
      <c r="A902" s="22"/>
      <c r="B902" s="22"/>
      <c r="C902" s="19"/>
      <c r="D902" s="19"/>
      <c r="E902" s="19"/>
      <c r="F902" s="19"/>
      <c r="G902" s="19"/>
      <c r="H902" s="19"/>
      <c r="I902" s="8"/>
    </row>
    <row r="903" spans="1:9" x14ac:dyDescent="0.2">
      <c r="A903" s="22"/>
      <c r="B903" s="22"/>
      <c r="C903" s="19"/>
      <c r="D903" s="19"/>
      <c r="E903" s="19"/>
      <c r="F903" s="19"/>
      <c r="G903" s="19"/>
      <c r="H903" s="19"/>
      <c r="I903" s="8"/>
    </row>
    <row r="904" spans="1:9" x14ac:dyDescent="0.2">
      <c r="A904" s="22"/>
      <c r="B904" s="22"/>
      <c r="C904" s="19"/>
      <c r="D904" s="19"/>
      <c r="E904" s="19"/>
      <c r="F904" s="19"/>
      <c r="G904" s="19"/>
      <c r="H904" s="19"/>
      <c r="I904" s="8"/>
    </row>
    <row r="905" spans="1:9" x14ac:dyDescent="0.2">
      <c r="A905" s="22"/>
      <c r="B905" s="22"/>
      <c r="C905" s="19"/>
      <c r="D905" s="19"/>
      <c r="E905" s="19"/>
      <c r="F905" s="19"/>
      <c r="G905" s="19"/>
      <c r="H905" s="19"/>
      <c r="I905" s="8"/>
    </row>
    <row r="906" spans="1:9" x14ac:dyDescent="0.2">
      <c r="A906" s="22"/>
      <c r="B906" s="22"/>
      <c r="C906" s="19"/>
      <c r="D906" s="19"/>
      <c r="E906" s="19"/>
      <c r="F906" s="19"/>
      <c r="G906" s="19"/>
      <c r="H906" s="19"/>
      <c r="I906" s="8"/>
    </row>
    <row r="907" spans="1:9" x14ac:dyDescent="0.2">
      <c r="A907" s="22"/>
      <c r="B907" s="22"/>
      <c r="C907" s="19"/>
      <c r="D907" s="19"/>
      <c r="E907" s="19"/>
      <c r="F907" s="19"/>
      <c r="G907" s="19"/>
      <c r="H907" s="19"/>
      <c r="I907" s="8"/>
    </row>
    <row r="908" spans="1:9" x14ac:dyDescent="0.2">
      <c r="A908" s="22"/>
      <c r="B908" s="22"/>
      <c r="C908" s="19"/>
      <c r="D908" s="19"/>
      <c r="E908" s="19"/>
      <c r="F908" s="19"/>
      <c r="G908" s="19"/>
      <c r="H908" s="19"/>
      <c r="I908" s="8"/>
    </row>
    <row r="909" spans="1:9" x14ac:dyDescent="0.2">
      <c r="A909" s="22"/>
      <c r="B909" s="22"/>
      <c r="C909" s="19"/>
      <c r="D909" s="19"/>
      <c r="E909" s="19"/>
      <c r="F909" s="19"/>
      <c r="G909" s="19"/>
      <c r="H909" s="19"/>
      <c r="I909" s="8"/>
    </row>
    <row r="910" spans="1:9" x14ac:dyDescent="0.2">
      <c r="A910" s="22"/>
      <c r="B910" s="22"/>
      <c r="C910" s="19"/>
      <c r="D910" s="19"/>
      <c r="E910" s="19"/>
      <c r="F910" s="19"/>
      <c r="G910" s="19"/>
      <c r="H910" s="19"/>
      <c r="I910" s="8"/>
    </row>
    <row r="911" spans="1:9" x14ac:dyDescent="0.2">
      <c r="A911" s="22"/>
      <c r="B911" s="22"/>
      <c r="C911" s="19"/>
      <c r="D911" s="19"/>
      <c r="E911" s="19"/>
      <c r="F911" s="19"/>
      <c r="G911" s="19"/>
      <c r="H911" s="19"/>
      <c r="I911" s="8"/>
    </row>
    <row r="912" spans="1:9" x14ac:dyDescent="0.2">
      <c r="A912" s="22"/>
      <c r="B912" s="22"/>
      <c r="C912" s="19"/>
      <c r="D912" s="19"/>
      <c r="E912" s="19"/>
      <c r="F912" s="19"/>
      <c r="G912" s="19"/>
      <c r="H912" s="19"/>
      <c r="I912" s="8"/>
    </row>
    <row r="913" spans="1:9" x14ac:dyDescent="0.2">
      <c r="A913" s="22"/>
      <c r="B913" s="22"/>
      <c r="C913" s="19"/>
      <c r="D913" s="19"/>
      <c r="E913" s="19"/>
      <c r="F913" s="19"/>
      <c r="G913" s="19"/>
      <c r="H913" s="19"/>
      <c r="I913" s="8"/>
    </row>
    <row r="914" spans="1:9" x14ac:dyDescent="0.2">
      <c r="A914" s="22"/>
      <c r="B914" s="22"/>
      <c r="C914" s="19"/>
      <c r="D914" s="19"/>
      <c r="E914" s="19"/>
      <c r="F914" s="19"/>
      <c r="G914" s="19"/>
      <c r="H914" s="19"/>
      <c r="I914" s="8"/>
    </row>
    <row r="915" spans="1:9" x14ac:dyDescent="0.2">
      <c r="A915" s="22"/>
      <c r="B915" s="22"/>
      <c r="C915" s="19"/>
      <c r="D915" s="19"/>
      <c r="E915" s="19"/>
      <c r="F915" s="19"/>
      <c r="G915" s="19"/>
      <c r="H915" s="19"/>
      <c r="I915" s="8"/>
    </row>
    <row r="916" spans="1:9" x14ac:dyDescent="0.2">
      <c r="A916" s="22"/>
      <c r="B916" s="22"/>
      <c r="C916" s="19"/>
      <c r="D916" s="19"/>
      <c r="E916" s="19"/>
      <c r="F916" s="19"/>
      <c r="G916" s="19"/>
      <c r="H916" s="19"/>
      <c r="I916" s="8"/>
    </row>
    <row r="917" spans="1:9" x14ac:dyDescent="0.2">
      <c r="A917" s="22"/>
      <c r="B917" s="22"/>
      <c r="C917" s="19"/>
      <c r="D917" s="19"/>
      <c r="E917" s="19"/>
      <c r="F917" s="19"/>
      <c r="G917" s="19"/>
      <c r="H917" s="19"/>
      <c r="I917" s="8"/>
    </row>
    <row r="918" spans="1:9" x14ac:dyDescent="0.2">
      <c r="A918" s="22"/>
      <c r="B918" s="22"/>
      <c r="C918" s="19"/>
      <c r="D918" s="19"/>
      <c r="E918" s="19"/>
      <c r="F918" s="19"/>
      <c r="G918" s="19"/>
      <c r="H918" s="19"/>
      <c r="I918" s="8"/>
    </row>
    <row r="919" spans="1:9" x14ac:dyDescent="0.2">
      <c r="A919" s="22"/>
      <c r="B919" s="22"/>
      <c r="C919" s="19"/>
      <c r="D919" s="19"/>
      <c r="E919" s="19"/>
      <c r="F919" s="19"/>
      <c r="G919" s="19"/>
      <c r="H919" s="19"/>
      <c r="I919" s="8"/>
    </row>
    <row r="920" spans="1:9" x14ac:dyDescent="0.2">
      <c r="A920" s="22"/>
      <c r="B920" s="22"/>
      <c r="C920" s="19"/>
      <c r="D920" s="19"/>
      <c r="E920" s="19"/>
      <c r="F920" s="19"/>
      <c r="G920" s="19"/>
      <c r="H920" s="19"/>
      <c r="I920" s="8"/>
    </row>
    <row r="921" spans="1:9" x14ac:dyDescent="0.2">
      <c r="A921" s="22"/>
      <c r="B921" s="22"/>
      <c r="C921" s="19"/>
      <c r="D921" s="19"/>
      <c r="E921" s="19"/>
      <c r="F921" s="19"/>
      <c r="G921" s="19"/>
      <c r="H921" s="19"/>
      <c r="I921" s="8"/>
    </row>
    <row r="922" spans="1:9" x14ac:dyDescent="0.2">
      <c r="A922" s="22"/>
      <c r="B922" s="22"/>
      <c r="C922" s="19"/>
      <c r="D922" s="19"/>
      <c r="E922" s="19"/>
      <c r="F922" s="19"/>
      <c r="G922" s="19"/>
      <c r="H922" s="19"/>
      <c r="I922" s="8"/>
    </row>
    <row r="923" spans="1:9" x14ac:dyDescent="0.2">
      <c r="A923" s="22"/>
      <c r="B923" s="22"/>
      <c r="C923" s="19"/>
      <c r="D923" s="19"/>
      <c r="E923" s="19"/>
      <c r="F923" s="19"/>
      <c r="G923" s="19"/>
      <c r="H923" s="19"/>
      <c r="I923" s="8"/>
    </row>
    <row r="924" spans="1:9" x14ac:dyDescent="0.2">
      <c r="A924" s="22"/>
      <c r="B924" s="22"/>
      <c r="C924" s="19"/>
      <c r="D924" s="19"/>
      <c r="E924" s="19"/>
      <c r="F924" s="19"/>
      <c r="G924" s="19"/>
      <c r="H924" s="19"/>
      <c r="I924" s="8"/>
    </row>
    <row r="925" spans="1:9" x14ac:dyDescent="0.2">
      <c r="A925" s="22"/>
      <c r="B925" s="22"/>
      <c r="C925" s="19"/>
      <c r="D925" s="19"/>
      <c r="E925" s="19"/>
      <c r="F925" s="19"/>
      <c r="G925" s="19"/>
      <c r="H925" s="19"/>
      <c r="I925" s="8"/>
    </row>
    <row r="926" spans="1:9" x14ac:dyDescent="0.2">
      <c r="A926" s="22"/>
      <c r="B926" s="22"/>
      <c r="C926" s="19"/>
      <c r="D926" s="19"/>
      <c r="E926" s="19"/>
      <c r="F926" s="19"/>
      <c r="G926" s="19"/>
      <c r="H926" s="19"/>
      <c r="I926" s="8"/>
    </row>
    <row r="927" spans="1:9" x14ac:dyDescent="0.2">
      <c r="A927" s="22"/>
      <c r="B927" s="22"/>
      <c r="C927" s="19"/>
      <c r="D927" s="19"/>
      <c r="E927" s="19"/>
      <c r="F927" s="19"/>
      <c r="G927" s="19"/>
      <c r="H927" s="19"/>
      <c r="I927" s="8"/>
    </row>
    <row r="928" spans="1:9" x14ac:dyDescent="0.2">
      <c r="A928" s="22"/>
      <c r="B928" s="22"/>
      <c r="C928" s="19"/>
      <c r="D928" s="19"/>
      <c r="E928" s="19"/>
      <c r="F928" s="19"/>
      <c r="G928" s="19"/>
      <c r="H928" s="19"/>
      <c r="I928" s="8"/>
    </row>
    <row r="929" spans="1:9" x14ac:dyDescent="0.2">
      <c r="A929" s="22"/>
      <c r="B929" s="22"/>
      <c r="C929" s="19"/>
      <c r="D929" s="19"/>
      <c r="E929" s="19"/>
      <c r="F929" s="19"/>
      <c r="G929" s="19"/>
      <c r="H929" s="19"/>
      <c r="I929" s="8"/>
    </row>
    <row r="930" spans="1:9" x14ac:dyDescent="0.2">
      <c r="A930" s="22"/>
      <c r="B930" s="22"/>
      <c r="C930" s="19"/>
      <c r="D930" s="19"/>
      <c r="E930" s="19"/>
      <c r="F930" s="19"/>
      <c r="G930" s="19"/>
      <c r="H930" s="19"/>
      <c r="I930" s="8"/>
    </row>
    <row r="931" spans="1:9" x14ac:dyDescent="0.2">
      <c r="A931" s="22"/>
      <c r="B931" s="22"/>
      <c r="C931" s="19"/>
      <c r="D931" s="19"/>
      <c r="E931" s="19"/>
      <c r="F931" s="19"/>
      <c r="G931" s="19"/>
      <c r="H931" s="19"/>
      <c r="I931" s="8"/>
    </row>
    <row r="932" spans="1:9" x14ac:dyDescent="0.2">
      <c r="A932" s="22"/>
      <c r="B932" s="22"/>
      <c r="C932" s="19"/>
      <c r="D932" s="19"/>
      <c r="E932" s="19"/>
      <c r="F932" s="19"/>
      <c r="G932" s="19"/>
      <c r="H932" s="19"/>
      <c r="I932" s="8"/>
    </row>
    <row r="933" spans="1:9" x14ac:dyDescent="0.2">
      <c r="A933" s="22"/>
      <c r="B933" s="22"/>
      <c r="C933" s="19"/>
      <c r="D933" s="19"/>
      <c r="E933" s="19"/>
      <c r="F933" s="19"/>
      <c r="G933" s="19"/>
      <c r="H933" s="19"/>
      <c r="I933" s="8"/>
    </row>
    <row r="934" spans="1:9" x14ac:dyDescent="0.2">
      <c r="A934" s="22"/>
      <c r="B934" s="22"/>
      <c r="C934" s="19"/>
      <c r="D934" s="19"/>
      <c r="E934" s="19"/>
      <c r="F934" s="19"/>
      <c r="G934" s="19"/>
      <c r="H934" s="19"/>
      <c r="I934" s="8"/>
    </row>
    <row r="935" spans="1:9" x14ac:dyDescent="0.2">
      <c r="A935" s="22"/>
      <c r="B935" s="22"/>
      <c r="C935" s="19"/>
      <c r="D935" s="19"/>
      <c r="E935" s="19"/>
      <c r="F935" s="19"/>
      <c r="G935" s="19"/>
      <c r="H935" s="19"/>
      <c r="I935" s="8"/>
    </row>
    <row r="936" spans="1:9" x14ac:dyDescent="0.2">
      <c r="A936" s="22"/>
      <c r="B936" s="22"/>
      <c r="C936" s="19"/>
      <c r="D936" s="19"/>
      <c r="E936" s="19"/>
      <c r="F936" s="19"/>
      <c r="G936" s="19"/>
      <c r="H936" s="19"/>
      <c r="I936" s="8"/>
    </row>
    <row r="937" spans="1:9" x14ac:dyDescent="0.2">
      <c r="A937" s="22"/>
      <c r="B937" s="22"/>
      <c r="C937" s="19"/>
      <c r="D937" s="19"/>
      <c r="E937" s="19"/>
      <c r="F937" s="19"/>
      <c r="G937" s="19"/>
      <c r="H937" s="19"/>
      <c r="I937" s="8"/>
    </row>
    <row r="938" spans="1:9" x14ac:dyDescent="0.2">
      <c r="A938" s="22"/>
      <c r="B938" s="22"/>
      <c r="C938" s="19"/>
      <c r="D938" s="19"/>
      <c r="E938" s="19"/>
      <c r="F938" s="19"/>
      <c r="G938" s="19"/>
      <c r="H938" s="19"/>
      <c r="I938" s="8"/>
    </row>
    <row r="939" spans="1:9" x14ac:dyDescent="0.2">
      <c r="A939" s="22"/>
      <c r="B939" s="22"/>
      <c r="C939" s="19"/>
      <c r="D939" s="19"/>
      <c r="E939" s="19"/>
      <c r="F939" s="19"/>
      <c r="G939" s="19"/>
      <c r="H939" s="19"/>
      <c r="I939" s="8"/>
    </row>
    <row r="940" spans="1:9" x14ac:dyDescent="0.2">
      <c r="A940" s="22"/>
      <c r="B940" s="22"/>
      <c r="C940" s="19"/>
      <c r="D940" s="19"/>
      <c r="E940" s="19"/>
      <c r="F940" s="19"/>
      <c r="G940" s="19"/>
      <c r="H940" s="19"/>
      <c r="I940" s="8"/>
    </row>
    <row r="941" spans="1:9" x14ac:dyDescent="0.2">
      <c r="A941" s="22"/>
      <c r="B941" s="22"/>
      <c r="C941" s="19"/>
      <c r="D941" s="19"/>
      <c r="E941" s="19"/>
      <c r="F941" s="19"/>
      <c r="G941" s="19"/>
      <c r="H941" s="19"/>
      <c r="I941" s="8"/>
    </row>
    <row r="942" spans="1:9" x14ac:dyDescent="0.2">
      <c r="A942" s="22"/>
      <c r="B942" s="22"/>
      <c r="C942" s="19"/>
      <c r="D942" s="19"/>
      <c r="E942" s="19"/>
      <c r="F942" s="19"/>
      <c r="G942" s="19"/>
      <c r="H942" s="19"/>
      <c r="I942" s="8"/>
    </row>
    <row r="943" spans="1:9" x14ac:dyDescent="0.2">
      <c r="A943" s="22"/>
      <c r="B943" s="22"/>
      <c r="C943" s="19"/>
      <c r="D943" s="19"/>
      <c r="E943" s="19"/>
      <c r="F943" s="19"/>
      <c r="G943" s="19"/>
      <c r="H943" s="19"/>
      <c r="I943" s="8"/>
    </row>
    <row r="944" spans="1:9" x14ac:dyDescent="0.2">
      <c r="A944" s="22"/>
      <c r="B944" s="22"/>
      <c r="C944" s="19"/>
      <c r="D944" s="19"/>
      <c r="E944" s="19"/>
      <c r="F944" s="19"/>
      <c r="G944" s="19"/>
      <c r="H944" s="19"/>
      <c r="I944" s="8"/>
    </row>
    <row r="945" spans="1:9" x14ac:dyDescent="0.2">
      <c r="A945" s="22"/>
      <c r="B945" s="22"/>
      <c r="C945" s="19"/>
      <c r="D945" s="19"/>
      <c r="E945" s="19"/>
      <c r="F945" s="19"/>
      <c r="G945" s="19"/>
      <c r="H945" s="19"/>
      <c r="I945" s="8"/>
    </row>
    <row r="946" spans="1:9" x14ac:dyDescent="0.2">
      <c r="A946" s="22"/>
      <c r="B946" s="22"/>
      <c r="C946" s="19"/>
      <c r="D946" s="19"/>
      <c r="E946" s="19"/>
      <c r="F946" s="19"/>
      <c r="G946" s="19"/>
      <c r="H946" s="19"/>
      <c r="I946" s="8"/>
    </row>
    <row r="947" spans="1:9" x14ac:dyDescent="0.2">
      <c r="A947" s="22"/>
      <c r="B947" s="22"/>
      <c r="C947" s="19"/>
      <c r="D947" s="19"/>
      <c r="E947" s="19"/>
      <c r="F947" s="19"/>
      <c r="G947" s="19"/>
      <c r="H947" s="19"/>
      <c r="I947" s="8"/>
    </row>
    <row r="948" spans="1:9" x14ac:dyDescent="0.2">
      <c r="A948" s="22"/>
      <c r="B948" s="22"/>
      <c r="C948" s="19"/>
      <c r="D948" s="19"/>
      <c r="E948" s="19"/>
      <c r="F948" s="19"/>
      <c r="G948" s="19"/>
      <c r="H948" s="19"/>
      <c r="I948" s="8"/>
    </row>
    <row r="949" spans="1:9" x14ac:dyDescent="0.2">
      <c r="A949" s="22"/>
      <c r="B949" s="22"/>
      <c r="C949" s="19"/>
      <c r="D949" s="19"/>
      <c r="E949" s="19"/>
      <c r="F949" s="19"/>
      <c r="G949" s="19"/>
      <c r="H949" s="19"/>
      <c r="I949" s="8"/>
    </row>
    <row r="950" spans="1:9" x14ac:dyDescent="0.2">
      <c r="A950" s="22"/>
      <c r="B950" s="22"/>
      <c r="C950" s="19"/>
      <c r="D950" s="19"/>
      <c r="E950" s="19"/>
      <c r="F950" s="19"/>
      <c r="G950" s="19"/>
      <c r="H950" s="19"/>
      <c r="I950" s="8"/>
    </row>
    <row r="951" spans="1:9" x14ac:dyDescent="0.2">
      <c r="A951" s="22"/>
      <c r="B951" s="22"/>
      <c r="C951" s="19"/>
      <c r="D951" s="19"/>
      <c r="E951" s="19"/>
      <c r="F951" s="19"/>
      <c r="G951" s="19"/>
      <c r="H951" s="19"/>
      <c r="I951" s="8"/>
    </row>
    <row r="952" spans="1:9" x14ac:dyDescent="0.2">
      <c r="A952" s="22"/>
      <c r="B952" s="22"/>
      <c r="C952" s="19"/>
      <c r="D952" s="19"/>
      <c r="E952" s="19"/>
      <c r="F952" s="19"/>
      <c r="G952" s="19"/>
      <c r="H952" s="19"/>
      <c r="I952" s="8"/>
    </row>
    <row r="953" spans="1:9" x14ac:dyDescent="0.2">
      <c r="A953" s="22"/>
      <c r="B953" s="22"/>
      <c r="C953" s="19"/>
      <c r="D953" s="19"/>
      <c r="E953" s="19"/>
      <c r="F953" s="19"/>
      <c r="G953" s="19"/>
      <c r="H953" s="19"/>
      <c r="I953" s="8"/>
    </row>
    <row r="954" spans="1:9" x14ac:dyDescent="0.2">
      <c r="A954" s="22"/>
      <c r="B954" s="22"/>
      <c r="C954" s="19"/>
      <c r="D954" s="19"/>
      <c r="E954" s="19"/>
      <c r="F954" s="19"/>
      <c r="G954" s="19"/>
      <c r="H954" s="19"/>
      <c r="I954" s="8"/>
    </row>
    <row r="955" spans="1:9" x14ac:dyDescent="0.2">
      <c r="A955" s="22"/>
      <c r="B955" s="22"/>
      <c r="C955" s="19"/>
      <c r="D955" s="19"/>
      <c r="E955" s="19"/>
      <c r="F955" s="19"/>
      <c r="G955" s="19"/>
      <c r="H955" s="19"/>
      <c r="I955" s="8"/>
    </row>
    <row r="956" spans="1:9" x14ac:dyDescent="0.2">
      <c r="A956" s="22"/>
      <c r="B956" s="22"/>
      <c r="C956" s="19"/>
      <c r="D956" s="19"/>
      <c r="E956" s="19"/>
      <c r="F956" s="19"/>
      <c r="G956" s="19"/>
      <c r="H956" s="19"/>
      <c r="I956" s="8"/>
    </row>
    <row r="957" spans="1:9" x14ac:dyDescent="0.2">
      <c r="A957" s="22"/>
      <c r="B957" s="22"/>
      <c r="C957" s="19"/>
      <c r="D957" s="19"/>
      <c r="E957" s="19"/>
      <c r="F957" s="19"/>
      <c r="G957" s="19"/>
      <c r="H957" s="19"/>
      <c r="I957" s="8"/>
    </row>
    <row r="958" spans="1:9" x14ac:dyDescent="0.2">
      <c r="A958" s="22"/>
      <c r="B958" s="22"/>
      <c r="C958" s="19"/>
      <c r="D958" s="19"/>
      <c r="E958" s="19"/>
      <c r="F958" s="19"/>
      <c r="G958" s="19"/>
      <c r="H958" s="19"/>
      <c r="I958" s="8"/>
    </row>
    <row r="959" spans="1:9" x14ac:dyDescent="0.2">
      <c r="A959" s="22"/>
      <c r="B959" s="22"/>
      <c r="C959" s="19"/>
      <c r="D959" s="19"/>
      <c r="E959" s="19"/>
      <c r="F959" s="19"/>
      <c r="G959" s="19"/>
      <c r="H959" s="19"/>
      <c r="I959" s="8"/>
    </row>
    <row r="960" spans="1:9" x14ac:dyDescent="0.2">
      <c r="A960" s="22"/>
      <c r="B960" s="22"/>
      <c r="C960" s="19"/>
      <c r="D960" s="19"/>
      <c r="E960" s="19"/>
      <c r="F960" s="19"/>
      <c r="G960" s="19"/>
      <c r="H960" s="19"/>
      <c r="I960" s="8"/>
    </row>
    <row r="961" spans="1:9" x14ac:dyDescent="0.2">
      <c r="A961" s="22"/>
      <c r="B961" s="22"/>
      <c r="C961" s="19"/>
      <c r="D961" s="19"/>
      <c r="E961" s="19"/>
      <c r="F961" s="19"/>
      <c r="G961" s="19"/>
      <c r="H961" s="19"/>
      <c r="I961" s="8"/>
    </row>
    <row r="962" spans="1:9" x14ac:dyDescent="0.2">
      <c r="A962" s="22"/>
      <c r="B962" s="22"/>
      <c r="C962" s="19"/>
      <c r="D962" s="19"/>
      <c r="E962" s="19"/>
      <c r="F962" s="19"/>
      <c r="G962" s="19"/>
      <c r="H962" s="19"/>
      <c r="I962" s="8"/>
    </row>
    <row r="963" spans="1:9" x14ac:dyDescent="0.2">
      <c r="A963" s="22"/>
      <c r="B963" s="22"/>
      <c r="C963" s="19"/>
      <c r="D963" s="19"/>
      <c r="E963" s="19"/>
      <c r="F963" s="19"/>
      <c r="G963" s="19"/>
      <c r="H963" s="19"/>
      <c r="I963" s="8"/>
    </row>
    <row r="964" spans="1:9" x14ac:dyDescent="0.2">
      <c r="A964" s="22"/>
      <c r="B964" s="22"/>
      <c r="C964" s="19"/>
      <c r="D964" s="19"/>
      <c r="E964" s="19"/>
      <c r="F964" s="19"/>
      <c r="G964" s="19"/>
      <c r="H964" s="19"/>
      <c r="I964" s="8"/>
    </row>
    <row r="965" spans="1:9" x14ac:dyDescent="0.2">
      <c r="A965" s="22"/>
      <c r="B965" s="22"/>
      <c r="C965" s="19"/>
      <c r="D965" s="19"/>
      <c r="E965" s="19"/>
      <c r="F965" s="19"/>
      <c r="G965" s="19"/>
      <c r="H965" s="19"/>
      <c r="I965" s="8"/>
    </row>
    <row r="966" spans="1:9" x14ac:dyDescent="0.2">
      <c r="A966" s="22"/>
      <c r="B966" s="22"/>
      <c r="C966" s="19"/>
      <c r="D966" s="19"/>
      <c r="E966" s="19"/>
      <c r="F966" s="19"/>
      <c r="G966" s="19"/>
      <c r="H966" s="19"/>
      <c r="I966" s="8"/>
    </row>
    <row r="967" spans="1:9" x14ac:dyDescent="0.2">
      <c r="A967" s="22"/>
      <c r="B967" s="22"/>
      <c r="C967" s="19"/>
      <c r="D967" s="19"/>
      <c r="E967" s="19"/>
      <c r="F967" s="19"/>
      <c r="G967" s="19"/>
      <c r="H967" s="19"/>
      <c r="I967" s="8"/>
    </row>
    <row r="968" spans="1:9" x14ac:dyDescent="0.2">
      <c r="A968" s="22"/>
      <c r="B968" s="22"/>
      <c r="C968" s="19"/>
      <c r="D968" s="19"/>
      <c r="E968" s="19"/>
      <c r="F968" s="19"/>
      <c r="G968" s="19"/>
      <c r="H968" s="19"/>
      <c r="I968" s="8"/>
    </row>
    <row r="969" spans="1:9" x14ac:dyDescent="0.2">
      <c r="A969" s="22"/>
      <c r="B969" s="22"/>
      <c r="C969" s="19"/>
      <c r="D969" s="19"/>
      <c r="E969" s="19"/>
      <c r="F969" s="19"/>
      <c r="G969" s="19"/>
      <c r="H969" s="19"/>
      <c r="I969" s="8"/>
    </row>
    <row r="970" spans="1:9" x14ac:dyDescent="0.2">
      <c r="A970" s="22"/>
      <c r="B970" s="22"/>
      <c r="C970" s="19"/>
      <c r="D970" s="19"/>
      <c r="E970" s="19"/>
      <c r="F970" s="19"/>
      <c r="G970" s="19"/>
      <c r="H970" s="19"/>
      <c r="I970" s="8"/>
    </row>
    <row r="971" spans="1:9" x14ac:dyDescent="0.2">
      <c r="A971" s="22"/>
      <c r="B971" s="22"/>
      <c r="C971" s="19"/>
      <c r="D971" s="19"/>
      <c r="E971" s="19"/>
      <c r="F971" s="19"/>
      <c r="G971" s="19"/>
      <c r="H971" s="19"/>
      <c r="I971" s="8"/>
    </row>
    <row r="972" spans="1:9" x14ac:dyDescent="0.2">
      <c r="A972" s="22"/>
      <c r="B972" s="22"/>
      <c r="C972" s="19"/>
      <c r="D972" s="19"/>
      <c r="E972" s="19"/>
      <c r="F972" s="19"/>
      <c r="G972" s="19"/>
      <c r="H972" s="19"/>
      <c r="I972" s="8"/>
    </row>
    <row r="973" spans="1:9" x14ac:dyDescent="0.2">
      <c r="A973" s="22"/>
      <c r="B973" s="22"/>
      <c r="C973" s="19"/>
      <c r="D973" s="19"/>
      <c r="E973" s="19"/>
      <c r="F973" s="19"/>
      <c r="G973" s="19"/>
      <c r="H973" s="19"/>
      <c r="I973" s="8"/>
    </row>
    <row r="974" spans="1:9" x14ac:dyDescent="0.2">
      <c r="A974" s="22"/>
      <c r="B974" s="22"/>
      <c r="C974" s="19"/>
      <c r="D974" s="19"/>
      <c r="E974" s="19"/>
      <c r="F974" s="19"/>
      <c r="G974" s="19"/>
      <c r="H974" s="19"/>
      <c r="I974" s="8"/>
    </row>
    <row r="975" spans="1:9" x14ac:dyDescent="0.2">
      <c r="A975" s="22"/>
      <c r="B975" s="22"/>
      <c r="C975" s="19"/>
      <c r="D975" s="19"/>
      <c r="E975" s="19"/>
      <c r="F975" s="19"/>
      <c r="G975" s="19"/>
      <c r="H975" s="19"/>
      <c r="I975" s="8"/>
    </row>
    <row r="976" spans="1:9" x14ac:dyDescent="0.2">
      <c r="A976" s="22"/>
      <c r="B976" s="22"/>
      <c r="C976" s="19"/>
      <c r="D976" s="19"/>
      <c r="E976" s="19"/>
      <c r="F976" s="19"/>
      <c r="G976" s="19"/>
      <c r="H976" s="19"/>
      <c r="I976" s="8"/>
    </row>
    <row r="977" spans="1:9" x14ac:dyDescent="0.2">
      <c r="A977" s="22"/>
      <c r="B977" s="22"/>
      <c r="C977" s="19"/>
      <c r="D977" s="19"/>
      <c r="E977" s="19"/>
      <c r="F977" s="19"/>
      <c r="G977" s="19"/>
      <c r="H977" s="19"/>
      <c r="I977" s="8"/>
    </row>
    <row r="978" spans="1:9" x14ac:dyDescent="0.2">
      <c r="A978" s="22"/>
      <c r="B978" s="22"/>
      <c r="C978" s="19"/>
      <c r="D978" s="19"/>
      <c r="E978" s="19"/>
      <c r="F978" s="19"/>
      <c r="G978" s="19"/>
      <c r="H978" s="19"/>
      <c r="I978" s="8"/>
    </row>
    <row r="979" spans="1:9" x14ac:dyDescent="0.2">
      <c r="A979" s="22"/>
      <c r="B979" s="22"/>
      <c r="C979" s="19"/>
      <c r="D979" s="19"/>
      <c r="E979" s="19"/>
      <c r="F979" s="19"/>
      <c r="G979" s="19"/>
      <c r="H979" s="19"/>
      <c r="I979" s="8"/>
    </row>
    <row r="980" spans="1:9" x14ac:dyDescent="0.2">
      <c r="A980" s="22"/>
      <c r="B980" s="22"/>
      <c r="C980" s="19"/>
      <c r="D980" s="19"/>
      <c r="E980" s="19"/>
      <c r="F980" s="19"/>
      <c r="G980" s="19"/>
      <c r="H980" s="19"/>
      <c r="I980" s="8"/>
    </row>
    <row r="981" spans="1:9" x14ac:dyDescent="0.2">
      <c r="A981" s="22"/>
      <c r="B981" s="22"/>
      <c r="C981" s="19"/>
      <c r="D981" s="19"/>
      <c r="E981" s="19"/>
      <c r="F981" s="19"/>
      <c r="G981" s="19"/>
      <c r="H981" s="19"/>
      <c r="I981" s="8"/>
    </row>
    <row r="982" spans="1:9" x14ac:dyDescent="0.2">
      <c r="A982" s="22"/>
      <c r="B982" s="22"/>
      <c r="C982" s="19"/>
      <c r="D982" s="19"/>
      <c r="E982" s="19"/>
      <c r="F982" s="19"/>
      <c r="G982" s="19"/>
      <c r="H982" s="19"/>
      <c r="I982" s="8"/>
    </row>
    <row r="983" spans="1:9" x14ac:dyDescent="0.2">
      <c r="A983" s="22"/>
      <c r="B983" s="22"/>
      <c r="C983" s="19"/>
      <c r="D983" s="19"/>
      <c r="E983" s="19"/>
      <c r="F983" s="19"/>
      <c r="G983" s="19"/>
      <c r="H983" s="19"/>
      <c r="I983" s="8"/>
    </row>
    <row r="984" spans="1:9" x14ac:dyDescent="0.2">
      <c r="A984" s="22"/>
      <c r="B984" s="22"/>
      <c r="C984" s="19"/>
      <c r="D984" s="19"/>
      <c r="E984" s="19"/>
      <c r="F984" s="19"/>
      <c r="G984" s="19"/>
      <c r="H984" s="19"/>
      <c r="I984" s="8"/>
    </row>
    <row r="985" spans="1:9" x14ac:dyDescent="0.2">
      <c r="A985" s="22"/>
      <c r="B985" s="22"/>
      <c r="C985" s="19"/>
      <c r="D985" s="19"/>
      <c r="E985" s="19"/>
      <c r="F985" s="19"/>
      <c r="G985" s="19"/>
      <c r="H985" s="19"/>
      <c r="I985" s="8"/>
    </row>
    <row r="986" spans="1:9" x14ac:dyDescent="0.2">
      <c r="A986" s="22"/>
      <c r="B986" s="22"/>
      <c r="C986" s="19"/>
      <c r="D986" s="19"/>
      <c r="E986" s="19"/>
      <c r="F986" s="19"/>
      <c r="G986" s="19"/>
      <c r="H986" s="19"/>
      <c r="I986" s="8"/>
    </row>
    <row r="987" spans="1:9" x14ac:dyDescent="0.2">
      <c r="A987" s="22"/>
      <c r="B987" s="22"/>
      <c r="C987" s="19"/>
      <c r="D987" s="19"/>
      <c r="E987" s="19"/>
      <c r="F987" s="19"/>
      <c r="G987" s="19"/>
      <c r="H987" s="19"/>
      <c r="I987" s="8"/>
    </row>
    <row r="988" spans="1:9" x14ac:dyDescent="0.2">
      <c r="A988" s="22"/>
      <c r="B988" s="22"/>
      <c r="C988" s="19"/>
      <c r="D988" s="19"/>
      <c r="E988" s="19"/>
      <c r="F988" s="19"/>
      <c r="G988" s="19"/>
      <c r="H988" s="19"/>
      <c r="I988" s="8"/>
    </row>
    <row r="989" spans="1:9" x14ac:dyDescent="0.2">
      <c r="A989" s="22"/>
      <c r="B989" s="22"/>
      <c r="C989" s="19"/>
      <c r="D989" s="19"/>
      <c r="E989" s="19"/>
      <c r="F989" s="19"/>
      <c r="G989" s="19"/>
      <c r="H989" s="19"/>
      <c r="I989" s="8"/>
    </row>
    <row r="990" spans="1:9" x14ac:dyDescent="0.2">
      <c r="A990" s="22"/>
      <c r="B990" s="22"/>
      <c r="C990" s="19"/>
      <c r="D990" s="19"/>
      <c r="E990" s="19"/>
      <c r="F990" s="19"/>
      <c r="G990" s="19"/>
      <c r="H990" s="19"/>
      <c r="I990" s="8"/>
    </row>
    <row r="991" spans="1:9" x14ac:dyDescent="0.2">
      <c r="A991" s="22"/>
      <c r="B991" s="22"/>
      <c r="C991" s="19"/>
      <c r="D991" s="19"/>
      <c r="E991" s="19"/>
      <c r="F991" s="19"/>
      <c r="G991" s="19"/>
      <c r="H991" s="19"/>
      <c r="I991" s="8"/>
    </row>
    <row r="992" spans="1:9" x14ac:dyDescent="0.2">
      <c r="A992" s="22"/>
      <c r="B992" s="22"/>
      <c r="C992" s="19"/>
      <c r="D992" s="19"/>
      <c r="E992" s="19"/>
      <c r="F992" s="19"/>
      <c r="G992" s="19"/>
      <c r="H992" s="19"/>
      <c r="I992" s="8"/>
    </row>
    <row r="993" spans="1:9" x14ac:dyDescent="0.2">
      <c r="A993" s="22"/>
      <c r="B993" s="22"/>
      <c r="C993" s="19"/>
      <c r="D993" s="19"/>
      <c r="E993" s="19"/>
      <c r="F993" s="19"/>
      <c r="G993" s="19"/>
      <c r="H993" s="19"/>
      <c r="I993" s="8"/>
    </row>
    <row r="994" spans="1:9" x14ac:dyDescent="0.2">
      <c r="A994" s="22"/>
      <c r="B994" s="22"/>
      <c r="C994" s="19"/>
      <c r="D994" s="19"/>
      <c r="E994" s="19"/>
      <c r="F994" s="19"/>
      <c r="G994" s="19"/>
      <c r="H994" s="19"/>
      <c r="I994" s="8"/>
    </row>
    <row r="995" spans="1:9" x14ac:dyDescent="0.2">
      <c r="A995" s="22"/>
      <c r="B995" s="22"/>
      <c r="C995" s="19"/>
      <c r="D995" s="19"/>
      <c r="E995" s="19"/>
      <c r="F995" s="19"/>
      <c r="G995" s="19"/>
      <c r="H995" s="19"/>
      <c r="I995" s="8"/>
    </row>
    <row r="996" spans="1:9" x14ac:dyDescent="0.2">
      <c r="A996" s="22"/>
      <c r="B996" s="22"/>
      <c r="C996" s="19"/>
      <c r="D996" s="19"/>
      <c r="E996" s="19"/>
      <c r="F996" s="19"/>
      <c r="G996" s="19"/>
      <c r="H996" s="19"/>
      <c r="I996" s="8"/>
    </row>
    <row r="997" spans="1:9" x14ac:dyDescent="0.2">
      <c r="A997" s="22"/>
      <c r="B997" s="22"/>
      <c r="C997" s="19"/>
      <c r="D997" s="19"/>
      <c r="E997" s="19"/>
      <c r="F997" s="19"/>
      <c r="G997" s="19"/>
      <c r="H997" s="19"/>
      <c r="I997" s="8"/>
    </row>
    <row r="998" spans="1:9" x14ac:dyDescent="0.2">
      <c r="A998" s="22"/>
      <c r="B998" s="22"/>
      <c r="C998" s="19"/>
      <c r="D998" s="19"/>
      <c r="E998" s="19"/>
      <c r="F998" s="19"/>
      <c r="G998" s="19"/>
      <c r="H998" s="19"/>
      <c r="I998" s="8"/>
    </row>
    <row r="999" spans="1:9" x14ac:dyDescent="0.2">
      <c r="A999" s="22"/>
      <c r="B999" s="22"/>
      <c r="C999" s="19"/>
      <c r="D999" s="19"/>
      <c r="E999" s="19"/>
      <c r="F999" s="19"/>
      <c r="G999" s="19"/>
      <c r="H999" s="19"/>
      <c r="I999" s="8"/>
    </row>
    <row r="1000" spans="1:9" x14ac:dyDescent="0.2">
      <c r="A1000" s="22"/>
      <c r="B1000" s="22"/>
      <c r="C1000" s="19"/>
      <c r="D1000" s="19"/>
      <c r="E1000" s="19"/>
      <c r="F1000" s="19"/>
      <c r="G1000" s="19"/>
      <c r="H1000" s="19"/>
      <c r="I1000" s="8"/>
    </row>
    <row r="1001" spans="1:9" x14ac:dyDescent="0.2">
      <c r="A1001" s="22"/>
      <c r="B1001" s="22"/>
      <c r="C1001" s="19"/>
      <c r="D1001" s="19"/>
      <c r="E1001" s="19"/>
      <c r="F1001" s="19"/>
      <c r="G1001" s="19"/>
      <c r="H1001" s="19"/>
      <c r="I1001" s="8"/>
    </row>
    <row r="1002" spans="1:9" x14ac:dyDescent="0.2">
      <c r="A1002" s="22"/>
      <c r="B1002" s="22"/>
      <c r="C1002" s="19"/>
      <c r="D1002" s="19"/>
      <c r="E1002" s="19"/>
      <c r="F1002" s="19"/>
      <c r="G1002" s="19"/>
      <c r="H1002" s="19"/>
      <c r="I1002" s="8"/>
    </row>
    <row r="1003" spans="1:9" x14ac:dyDescent="0.2">
      <c r="A1003" s="22"/>
      <c r="B1003" s="22"/>
      <c r="C1003" s="19"/>
      <c r="D1003" s="19"/>
      <c r="E1003" s="19"/>
      <c r="F1003" s="19"/>
      <c r="G1003" s="19"/>
      <c r="H1003" s="19"/>
      <c r="I1003" s="8"/>
    </row>
    <row r="1004" spans="1:9" x14ac:dyDescent="0.2">
      <c r="A1004" s="22"/>
      <c r="B1004" s="22"/>
      <c r="C1004" s="19"/>
      <c r="D1004" s="19"/>
      <c r="E1004" s="19"/>
      <c r="F1004" s="19"/>
      <c r="G1004" s="19"/>
      <c r="H1004" s="19"/>
      <c r="I1004" s="8"/>
    </row>
    <row r="1005" spans="1:9" x14ac:dyDescent="0.2">
      <c r="A1005" s="22"/>
      <c r="B1005" s="22"/>
      <c r="C1005" s="19"/>
      <c r="D1005" s="19"/>
      <c r="E1005" s="19"/>
      <c r="F1005" s="19"/>
      <c r="G1005" s="19"/>
      <c r="H1005" s="19"/>
      <c r="I1005" s="8"/>
    </row>
    <row r="1006" spans="1:9" x14ac:dyDescent="0.2">
      <c r="A1006" s="22"/>
      <c r="B1006" s="22"/>
      <c r="C1006" s="19"/>
      <c r="D1006" s="19"/>
      <c r="E1006" s="19"/>
      <c r="F1006" s="19"/>
      <c r="G1006" s="19"/>
      <c r="H1006" s="19"/>
      <c r="I1006" s="8"/>
    </row>
    <row r="1007" spans="1:9" x14ac:dyDescent="0.2">
      <c r="A1007" s="22"/>
      <c r="B1007" s="22"/>
      <c r="C1007" s="19"/>
      <c r="D1007" s="19"/>
      <c r="E1007" s="19"/>
      <c r="F1007" s="19"/>
      <c r="G1007" s="19"/>
      <c r="H1007" s="19"/>
      <c r="I1007" s="8"/>
    </row>
    <row r="1008" spans="1:9" x14ac:dyDescent="0.2">
      <c r="A1008" s="22"/>
      <c r="B1008" s="22"/>
      <c r="C1008" s="19"/>
      <c r="D1008" s="19"/>
      <c r="E1008" s="19"/>
      <c r="F1008" s="19"/>
      <c r="G1008" s="19"/>
      <c r="H1008" s="19"/>
      <c r="I1008" s="8"/>
    </row>
    <row r="1009" spans="1:9" x14ac:dyDescent="0.2">
      <c r="A1009" s="22"/>
      <c r="B1009" s="22"/>
      <c r="C1009" s="19"/>
      <c r="D1009" s="19"/>
      <c r="E1009" s="19"/>
      <c r="F1009" s="19"/>
      <c r="G1009" s="19"/>
      <c r="H1009" s="19"/>
      <c r="I1009" s="8"/>
    </row>
    <row r="1010" spans="1:9" x14ac:dyDescent="0.2">
      <c r="A1010" s="22"/>
      <c r="B1010" s="22"/>
      <c r="C1010" s="19"/>
      <c r="D1010" s="19"/>
      <c r="E1010" s="19"/>
      <c r="F1010" s="19"/>
      <c r="G1010" s="19"/>
      <c r="H1010" s="19"/>
      <c r="I1010" s="8"/>
    </row>
    <row r="1011" spans="1:9" x14ac:dyDescent="0.2">
      <c r="A1011" s="22"/>
      <c r="B1011" s="22"/>
      <c r="C1011" s="19"/>
      <c r="D1011" s="19"/>
      <c r="E1011" s="19"/>
      <c r="F1011" s="19"/>
      <c r="G1011" s="19"/>
      <c r="H1011" s="19"/>
      <c r="I1011" s="8"/>
    </row>
    <row r="1012" spans="1:9" x14ac:dyDescent="0.2">
      <c r="A1012" s="22"/>
      <c r="B1012" s="22"/>
      <c r="C1012" s="19"/>
      <c r="D1012" s="19"/>
      <c r="E1012" s="19"/>
      <c r="F1012" s="19"/>
      <c r="G1012" s="19"/>
      <c r="H1012" s="19"/>
      <c r="I1012" s="8"/>
    </row>
    <row r="1013" spans="1:9" x14ac:dyDescent="0.2">
      <c r="A1013" s="22"/>
      <c r="B1013" s="22"/>
      <c r="C1013" s="19"/>
      <c r="D1013" s="19"/>
      <c r="E1013" s="19"/>
      <c r="F1013" s="19"/>
      <c r="G1013" s="19"/>
      <c r="H1013" s="19"/>
      <c r="I1013" s="8"/>
    </row>
    <row r="1014" spans="1:9" x14ac:dyDescent="0.2">
      <c r="A1014" s="22"/>
      <c r="B1014" s="22"/>
      <c r="C1014" s="19"/>
      <c r="D1014" s="19"/>
      <c r="E1014" s="19"/>
      <c r="F1014" s="19"/>
      <c r="G1014" s="19"/>
      <c r="H1014" s="19"/>
      <c r="I1014" s="8"/>
    </row>
    <row r="1015" spans="1:9" x14ac:dyDescent="0.2">
      <c r="A1015" s="22"/>
      <c r="B1015" s="22"/>
      <c r="C1015" s="19"/>
      <c r="D1015" s="19"/>
      <c r="E1015" s="19"/>
      <c r="F1015" s="19"/>
      <c r="G1015" s="19"/>
      <c r="H1015" s="19"/>
      <c r="I1015" s="8"/>
    </row>
    <row r="1016" spans="1:9" x14ac:dyDescent="0.2">
      <c r="A1016" s="22"/>
      <c r="B1016" s="22"/>
      <c r="C1016" s="19"/>
      <c r="D1016" s="19"/>
      <c r="E1016" s="19"/>
      <c r="F1016" s="19"/>
      <c r="G1016" s="19"/>
      <c r="H1016" s="19"/>
      <c r="I1016" s="8"/>
    </row>
    <row r="1017" spans="1:9" x14ac:dyDescent="0.2">
      <c r="A1017" s="22"/>
      <c r="B1017" s="22"/>
      <c r="C1017" s="19"/>
      <c r="D1017" s="19"/>
      <c r="E1017" s="19"/>
      <c r="F1017" s="19"/>
      <c r="G1017" s="19"/>
      <c r="H1017" s="19"/>
      <c r="I1017" s="8"/>
    </row>
    <row r="1018" spans="1:9" x14ac:dyDescent="0.2">
      <c r="A1018" s="22"/>
      <c r="B1018" s="22"/>
      <c r="C1018" s="19"/>
      <c r="D1018" s="19"/>
      <c r="E1018" s="19"/>
      <c r="F1018" s="19"/>
      <c r="G1018" s="19"/>
      <c r="H1018" s="19"/>
      <c r="I1018" s="8"/>
    </row>
    <row r="1019" spans="1:9" x14ac:dyDescent="0.2">
      <c r="A1019" s="22"/>
      <c r="B1019" s="22"/>
      <c r="C1019" s="19"/>
      <c r="D1019" s="19"/>
      <c r="E1019" s="19"/>
      <c r="F1019" s="19"/>
      <c r="G1019" s="19"/>
      <c r="H1019" s="19"/>
      <c r="I1019" s="8"/>
    </row>
    <row r="1020" spans="1:9" x14ac:dyDescent="0.2">
      <c r="A1020" s="22"/>
      <c r="B1020" s="22"/>
      <c r="C1020" s="19"/>
      <c r="D1020" s="19"/>
      <c r="E1020" s="19"/>
      <c r="F1020" s="19"/>
      <c r="G1020" s="19"/>
      <c r="H1020" s="19"/>
      <c r="I1020" s="8"/>
    </row>
    <row r="1021" spans="1:9" x14ac:dyDescent="0.2">
      <c r="A1021" s="22"/>
      <c r="B1021" s="22"/>
      <c r="C1021" s="19"/>
      <c r="D1021" s="19"/>
      <c r="E1021" s="19"/>
      <c r="F1021" s="19"/>
      <c r="G1021" s="19"/>
      <c r="H1021" s="19"/>
      <c r="I1021" s="8"/>
    </row>
    <row r="1022" spans="1:9" x14ac:dyDescent="0.2">
      <c r="A1022" s="22"/>
      <c r="B1022" s="22"/>
      <c r="C1022" s="19"/>
      <c r="D1022" s="19"/>
      <c r="E1022" s="19"/>
      <c r="F1022" s="19"/>
      <c r="G1022" s="19"/>
      <c r="H1022" s="19"/>
      <c r="I1022" s="8"/>
    </row>
    <row r="1023" spans="1:9" x14ac:dyDescent="0.2">
      <c r="A1023" s="22"/>
      <c r="B1023" s="22"/>
      <c r="C1023" s="19"/>
      <c r="D1023" s="19"/>
      <c r="E1023" s="19"/>
      <c r="F1023" s="19"/>
      <c r="G1023" s="19"/>
      <c r="H1023" s="19"/>
      <c r="I1023" s="8"/>
    </row>
    <row r="1024" spans="1:9" x14ac:dyDescent="0.2">
      <c r="A1024" s="22"/>
      <c r="B1024" s="22"/>
      <c r="C1024" s="19"/>
      <c r="D1024" s="19"/>
      <c r="E1024" s="19"/>
      <c r="F1024" s="19"/>
      <c r="G1024" s="19"/>
      <c r="H1024" s="19"/>
      <c r="I1024" s="8"/>
    </row>
    <row r="1025" spans="1:9" x14ac:dyDescent="0.2">
      <c r="A1025" s="22"/>
      <c r="B1025" s="22"/>
      <c r="C1025" s="19"/>
      <c r="D1025" s="19"/>
      <c r="E1025" s="19"/>
      <c r="F1025" s="19"/>
      <c r="G1025" s="19"/>
      <c r="H1025" s="19"/>
      <c r="I1025" s="8"/>
    </row>
    <row r="1026" spans="1:9" x14ac:dyDescent="0.2">
      <c r="A1026" s="22"/>
      <c r="B1026" s="22"/>
      <c r="C1026" s="19"/>
      <c r="D1026" s="19"/>
      <c r="E1026" s="19"/>
      <c r="F1026" s="19"/>
      <c r="G1026" s="19"/>
      <c r="H1026" s="19"/>
      <c r="I1026" s="8"/>
    </row>
    <row r="1027" spans="1:9" x14ac:dyDescent="0.2">
      <c r="A1027" s="22"/>
      <c r="B1027" s="22"/>
      <c r="C1027" s="19"/>
      <c r="D1027" s="19"/>
      <c r="E1027" s="19"/>
      <c r="F1027" s="19"/>
      <c r="G1027" s="19"/>
      <c r="H1027" s="19"/>
      <c r="I1027" s="8"/>
    </row>
    <row r="1028" spans="1:9" x14ac:dyDescent="0.2">
      <c r="A1028" s="22"/>
      <c r="B1028" s="22"/>
      <c r="C1028" s="19"/>
      <c r="D1028" s="19"/>
      <c r="E1028" s="19"/>
      <c r="F1028" s="19"/>
      <c r="G1028" s="19"/>
      <c r="H1028" s="19"/>
      <c r="I1028" s="8"/>
    </row>
    <row r="1029" spans="1:9" x14ac:dyDescent="0.2">
      <c r="A1029" s="22"/>
      <c r="B1029" s="22"/>
      <c r="C1029" s="19"/>
      <c r="D1029" s="19"/>
      <c r="E1029" s="19"/>
      <c r="F1029" s="19"/>
      <c r="G1029" s="19"/>
      <c r="H1029" s="19"/>
      <c r="I1029" s="8"/>
    </row>
    <row r="1030" spans="1:9" x14ac:dyDescent="0.2">
      <c r="A1030" s="22"/>
      <c r="B1030" s="22"/>
      <c r="C1030" s="19"/>
      <c r="D1030" s="19"/>
      <c r="E1030" s="19"/>
      <c r="F1030" s="19"/>
      <c r="G1030" s="19"/>
      <c r="H1030" s="19"/>
      <c r="I1030" s="8"/>
    </row>
    <row r="1031" spans="1:9" x14ac:dyDescent="0.2">
      <c r="A1031" s="22"/>
      <c r="B1031" s="22"/>
      <c r="C1031" s="19"/>
      <c r="D1031" s="19"/>
      <c r="E1031" s="19"/>
      <c r="F1031" s="19"/>
      <c r="G1031" s="19"/>
      <c r="H1031" s="19"/>
      <c r="I1031" s="8"/>
    </row>
    <row r="1032" spans="1:9" x14ac:dyDescent="0.2">
      <c r="A1032" s="22"/>
      <c r="B1032" s="22"/>
      <c r="C1032" s="19"/>
      <c r="D1032" s="19"/>
      <c r="E1032" s="19"/>
      <c r="F1032" s="19"/>
      <c r="G1032" s="19"/>
      <c r="H1032" s="19"/>
      <c r="I1032" s="8"/>
    </row>
    <row r="1033" spans="1:9" x14ac:dyDescent="0.2">
      <c r="A1033" s="22"/>
      <c r="B1033" s="22"/>
      <c r="C1033" s="19"/>
      <c r="D1033" s="19"/>
      <c r="E1033" s="19"/>
      <c r="F1033" s="19"/>
      <c r="G1033" s="19"/>
      <c r="H1033" s="19"/>
      <c r="I1033" s="8"/>
    </row>
    <row r="1034" spans="1:9" x14ac:dyDescent="0.2">
      <c r="A1034" s="22"/>
      <c r="B1034" s="22"/>
      <c r="C1034" s="19"/>
      <c r="D1034" s="19"/>
      <c r="E1034" s="19"/>
      <c r="F1034" s="19"/>
      <c r="G1034" s="19"/>
      <c r="H1034" s="19"/>
      <c r="I1034" s="8"/>
    </row>
    <row r="1035" spans="1:9" x14ac:dyDescent="0.2">
      <c r="A1035" s="22"/>
      <c r="B1035" s="22"/>
      <c r="C1035" s="19"/>
      <c r="D1035" s="19"/>
      <c r="E1035" s="19"/>
      <c r="F1035" s="19"/>
      <c r="G1035" s="19"/>
      <c r="H1035" s="19"/>
      <c r="I1035" s="8"/>
    </row>
    <row r="1036" spans="1:9" x14ac:dyDescent="0.2">
      <c r="A1036" s="22"/>
      <c r="B1036" s="22"/>
      <c r="C1036" s="19"/>
      <c r="D1036" s="19"/>
      <c r="E1036" s="19"/>
      <c r="F1036" s="19"/>
      <c r="G1036" s="19"/>
      <c r="H1036" s="19"/>
      <c r="I1036" s="8"/>
    </row>
    <row r="1037" spans="1:9" x14ac:dyDescent="0.2">
      <c r="A1037" s="22"/>
      <c r="B1037" s="22"/>
      <c r="C1037" s="19"/>
      <c r="D1037" s="19"/>
      <c r="E1037" s="19"/>
      <c r="F1037" s="19"/>
      <c r="G1037" s="19"/>
      <c r="H1037" s="19"/>
      <c r="I1037" s="8"/>
    </row>
    <row r="1038" spans="1:9" x14ac:dyDescent="0.2">
      <c r="A1038" s="22"/>
      <c r="B1038" s="22"/>
      <c r="C1038" s="19"/>
      <c r="D1038" s="19"/>
      <c r="E1038" s="19"/>
      <c r="F1038" s="19"/>
      <c r="G1038" s="19"/>
      <c r="H1038" s="19"/>
      <c r="I1038" s="8"/>
    </row>
    <row r="1039" spans="1:9" x14ac:dyDescent="0.2">
      <c r="A1039" s="22"/>
      <c r="B1039" s="22"/>
      <c r="C1039" s="19"/>
      <c r="D1039" s="19"/>
      <c r="E1039" s="19"/>
      <c r="F1039" s="19"/>
      <c r="G1039" s="19"/>
      <c r="H1039" s="19"/>
      <c r="I1039" s="8"/>
    </row>
    <row r="1040" spans="1:9" x14ac:dyDescent="0.2">
      <c r="A1040" s="22"/>
      <c r="B1040" s="22"/>
      <c r="C1040" s="19"/>
      <c r="D1040" s="19"/>
      <c r="E1040" s="19"/>
      <c r="F1040" s="19"/>
      <c r="G1040" s="19"/>
      <c r="H1040" s="19"/>
      <c r="I1040" s="8"/>
    </row>
    <row r="1041" spans="1:9" x14ac:dyDescent="0.2">
      <c r="A1041" s="22"/>
      <c r="B1041" s="22"/>
      <c r="C1041" s="19"/>
      <c r="D1041" s="19"/>
      <c r="E1041" s="19"/>
      <c r="F1041" s="19"/>
      <c r="G1041" s="19"/>
      <c r="H1041" s="19"/>
      <c r="I1041" s="8"/>
    </row>
    <row r="1042" spans="1:9" x14ac:dyDescent="0.2">
      <c r="A1042" s="22"/>
      <c r="B1042" s="22"/>
      <c r="C1042" s="19"/>
      <c r="D1042" s="19"/>
      <c r="E1042" s="19"/>
      <c r="F1042" s="19"/>
      <c r="G1042" s="19"/>
      <c r="H1042" s="19"/>
      <c r="I1042" s="8"/>
    </row>
    <row r="1043" spans="1:9" x14ac:dyDescent="0.2">
      <c r="A1043" s="22"/>
      <c r="B1043" s="22"/>
      <c r="C1043" s="19"/>
      <c r="D1043" s="19"/>
      <c r="E1043" s="19"/>
      <c r="F1043" s="19"/>
      <c r="G1043" s="19"/>
      <c r="H1043" s="19"/>
      <c r="I1043" s="8"/>
    </row>
    <row r="1044" spans="1:9" x14ac:dyDescent="0.2">
      <c r="A1044" s="22"/>
      <c r="B1044" s="22"/>
      <c r="C1044" s="19"/>
      <c r="D1044" s="19"/>
      <c r="E1044" s="19"/>
      <c r="F1044" s="19"/>
      <c r="G1044" s="19"/>
      <c r="H1044" s="19"/>
      <c r="I1044" s="8"/>
    </row>
    <row r="1045" spans="1:9" x14ac:dyDescent="0.2">
      <c r="A1045" s="22"/>
      <c r="B1045" s="22"/>
      <c r="C1045" s="19"/>
      <c r="D1045" s="19"/>
      <c r="E1045" s="19"/>
      <c r="F1045" s="19"/>
      <c r="G1045" s="19"/>
      <c r="H1045" s="19"/>
      <c r="I1045" s="8"/>
    </row>
    <row r="1046" spans="1:9" x14ac:dyDescent="0.2">
      <c r="A1046" s="22"/>
      <c r="B1046" s="22"/>
      <c r="C1046" s="19"/>
      <c r="D1046" s="19"/>
      <c r="E1046" s="19"/>
      <c r="F1046" s="19"/>
      <c r="G1046" s="19"/>
      <c r="H1046" s="19"/>
      <c r="I1046" s="8"/>
    </row>
    <row r="1047" spans="1:9" x14ac:dyDescent="0.2">
      <c r="A1047" s="22"/>
      <c r="B1047" s="22"/>
      <c r="C1047" s="19"/>
      <c r="D1047" s="19"/>
      <c r="E1047" s="19"/>
      <c r="F1047" s="19"/>
      <c r="G1047" s="19"/>
      <c r="H1047" s="19"/>
      <c r="I1047" s="8"/>
    </row>
    <row r="1048" spans="1:9" x14ac:dyDescent="0.2">
      <c r="A1048" s="22"/>
      <c r="B1048" s="22"/>
      <c r="C1048" s="19"/>
      <c r="D1048" s="19"/>
      <c r="E1048" s="19"/>
      <c r="F1048" s="19"/>
      <c r="G1048" s="19"/>
      <c r="H1048" s="19"/>
      <c r="I1048" s="8"/>
    </row>
    <row r="1049" spans="1:9" x14ac:dyDescent="0.2">
      <c r="A1049" s="22"/>
      <c r="B1049" s="22"/>
      <c r="C1049" s="19"/>
      <c r="D1049" s="19"/>
      <c r="E1049" s="19"/>
      <c r="F1049" s="19"/>
      <c r="G1049" s="19"/>
      <c r="H1049" s="19"/>
      <c r="I1049" s="8"/>
    </row>
    <row r="1050" spans="1:9" x14ac:dyDescent="0.2">
      <c r="A1050" s="22"/>
      <c r="B1050" s="22"/>
      <c r="C1050" s="19"/>
      <c r="D1050" s="19"/>
      <c r="E1050" s="19"/>
      <c r="F1050" s="19"/>
      <c r="G1050" s="19"/>
      <c r="H1050" s="19"/>
      <c r="I1050" s="8"/>
    </row>
    <row r="1051" spans="1:9" x14ac:dyDescent="0.2">
      <c r="A1051" s="22"/>
      <c r="B1051" s="22"/>
      <c r="C1051" s="19"/>
      <c r="D1051" s="19"/>
      <c r="E1051" s="19"/>
      <c r="F1051" s="19"/>
      <c r="G1051" s="19"/>
      <c r="H1051" s="19"/>
      <c r="I1051" s="8"/>
    </row>
    <row r="1052" spans="1:9" x14ac:dyDescent="0.2">
      <c r="A1052" s="22"/>
      <c r="B1052" s="22"/>
      <c r="C1052" s="19"/>
      <c r="D1052" s="19"/>
      <c r="E1052" s="19"/>
      <c r="F1052" s="19"/>
      <c r="G1052" s="19"/>
      <c r="H1052" s="19"/>
      <c r="I1052" s="8"/>
    </row>
    <row r="1053" spans="1:9" x14ac:dyDescent="0.2">
      <c r="A1053" s="22"/>
      <c r="B1053" s="22"/>
      <c r="C1053" s="19"/>
      <c r="D1053" s="19"/>
      <c r="E1053" s="19"/>
      <c r="F1053" s="19"/>
      <c r="G1053" s="19"/>
      <c r="H1053" s="19"/>
      <c r="I1053" s="8"/>
    </row>
    <row r="1054" spans="1:9" x14ac:dyDescent="0.2">
      <c r="A1054" s="22"/>
      <c r="B1054" s="22"/>
      <c r="C1054" s="19"/>
      <c r="D1054" s="19"/>
      <c r="E1054" s="19"/>
      <c r="F1054" s="19"/>
      <c r="G1054" s="19"/>
      <c r="H1054" s="19"/>
      <c r="I1054" s="8"/>
    </row>
    <row r="1055" spans="1:9" x14ac:dyDescent="0.2">
      <c r="A1055" s="22"/>
      <c r="B1055" s="22"/>
      <c r="C1055" s="19"/>
      <c r="D1055" s="19"/>
      <c r="E1055" s="19"/>
      <c r="F1055" s="19"/>
      <c r="G1055" s="19"/>
      <c r="H1055" s="19"/>
      <c r="I1055" s="8"/>
    </row>
    <row r="1056" spans="1:9" x14ac:dyDescent="0.2">
      <c r="A1056" s="22"/>
      <c r="B1056" s="22"/>
      <c r="C1056" s="19"/>
      <c r="D1056" s="19"/>
      <c r="E1056" s="19"/>
      <c r="F1056" s="19"/>
      <c r="G1056" s="19"/>
      <c r="H1056" s="19"/>
      <c r="I1056" s="8"/>
    </row>
    <row r="1057" spans="1:9" x14ac:dyDescent="0.2">
      <c r="A1057" s="22"/>
      <c r="B1057" s="22"/>
      <c r="C1057" s="19"/>
      <c r="D1057" s="19"/>
      <c r="E1057" s="19"/>
      <c r="F1057" s="19"/>
      <c r="G1057" s="19"/>
      <c r="H1057" s="19"/>
      <c r="I1057" s="8"/>
    </row>
    <row r="1058" spans="1:9" x14ac:dyDescent="0.2">
      <c r="A1058" s="22"/>
      <c r="B1058" s="22"/>
      <c r="C1058" s="19"/>
      <c r="D1058" s="19"/>
      <c r="E1058" s="19"/>
      <c r="F1058" s="19"/>
      <c r="G1058" s="19"/>
      <c r="H1058" s="19"/>
      <c r="I1058" s="8"/>
    </row>
    <row r="1059" spans="1:9" x14ac:dyDescent="0.2">
      <c r="A1059" s="22"/>
      <c r="B1059" s="22"/>
      <c r="C1059" s="19"/>
      <c r="D1059" s="19"/>
      <c r="E1059" s="19"/>
      <c r="F1059" s="19"/>
      <c r="G1059" s="19"/>
      <c r="H1059" s="19"/>
      <c r="I1059" s="8"/>
    </row>
    <row r="1060" spans="1:9" x14ac:dyDescent="0.2">
      <c r="A1060" s="22"/>
      <c r="B1060" s="22"/>
      <c r="C1060" s="19"/>
      <c r="D1060" s="19"/>
      <c r="E1060" s="19"/>
      <c r="F1060" s="19"/>
      <c r="G1060" s="19"/>
      <c r="H1060" s="19"/>
      <c r="I1060" s="8"/>
    </row>
    <row r="1061" spans="1:9" x14ac:dyDescent="0.2">
      <c r="A1061" s="22"/>
      <c r="B1061" s="22"/>
      <c r="C1061" s="19"/>
      <c r="D1061" s="19"/>
      <c r="E1061" s="19"/>
      <c r="F1061" s="19"/>
      <c r="G1061" s="19"/>
      <c r="H1061" s="19"/>
      <c r="I1061" s="8"/>
    </row>
    <row r="1062" spans="1:9" x14ac:dyDescent="0.2">
      <c r="A1062" s="22"/>
      <c r="B1062" s="22"/>
      <c r="C1062" s="19"/>
      <c r="D1062" s="19"/>
      <c r="E1062" s="19"/>
      <c r="F1062" s="19"/>
      <c r="G1062" s="19"/>
      <c r="H1062" s="19"/>
      <c r="I1062" s="8"/>
    </row>
    <row r="1063" spans="1:9" x14ac:dyDescent="0.2">
      <c r="A1063" s="22"/>
      <c r="B1063" s="22"/>
      <c r="C1063" s="19"/>
      <c r="D1063" s="19"/>
      <c r="E1063" s="19"/>
      <c r="F1063" s="19"/>
      <c r="G1063" s="19"/>
      <c r="H1063" s="19"/>
      <c r="I1063" s="8"/>
    </row>
    <row r="1064" spans="1:9" x14ac:dyDescent="0.2">
      <c r="A1064" s="22"/>
      <c r="B1064" s="22"/>
      <c r="C1064" s="19"/>
      <c r="D1064" s="19"/>
      <c r="E1064" s="19"/>
      <c r="F1064" s="19"/>
      <c r="G1064" s="19"/>
      <c r="H1064" s="19"/>
      <c r="I1064" s="8"/>
    </row>
    <row r="1065" spans="1:9" x14ac:dyDescent="0.2">
      <c r="A1065" s="22"/>
      <c r="B1065" s="22"/>
      <c r="C1065" s="19"/>
      <c r="D1065" s="19"/>
      <c r="E1065" s="19"/>
      <c r="F1065" s="19"/>
      <c r="G1065" s="19"/>
      <c r="H1065" s="19"/>
      <c r="I1065" s="8"/>
    </row>
    <row r="1066" spans="1:9" x14ac:dyDescent="0.2">
      <c r="A1066" s="22"/>
      <c r="B1066" s="22"/>
      <c r="C1066" s="19"/>
      <c r="D1066" s="19"/>
      <c r="E1066" s="19"/>
      <c r="F1066" s="19"/>
      <c r="G1066" s="19"/>
      <c r="H1066" s="19"/>
      <c r="I1066" s="8"/>
    </row>
    <row r="1067" spans="1:9" x14ac:dyDescent="0.2">
      <c r="A1067" s="22"/>
      <c r="B1067" s="22"/>
      <c r="C1067" s="19"/>
      <c r="D1067" s="19"/>
      <c r="E1067" s="19"/>
      <c r="F1067" s="19"/>
      <c r="G1067" s="19"/>
      <c r="H1067" s="19"/>
      <c r="I1067" s="8"/>
    </row>
    <row r="1068" spans="1:9" x14ac:dyDescent="0.2">
      <c r="A1068" s="22"/>
      <c r="B1068" s="22"/>
      <c r="C1068" s="19"/>
      <c r="D1068" s="19"/>
      <c r="E1068" s="19"/>
      <c r="F1068" s="19"/>
      <c r="G1068" s="19"/>
      <c r="H1068" s="19"/>
      <c r="I1068" s="8"/>
    </row>
    <row r="1069" spans="1:9" x14ac:dyDescent="0.2">
      <c r="A1069" s="22"/>
      <c r="B1069" s="22"/>
      <c r="C1069" s="19"/>
      <c r="D1069" s="19"/>
      <c r="E1069" s="19"/>
      <c r="F1069" s="19"/>
      <c r="G1069" s="19"/>
      <c r="H1069" s="19"/>
      <c r="I1069" s="8"/>
    </row>
    <row r="1070" spans="1:9" x14ac:dyDescent="0.2">
      <c r="A1070" s="22"/>
      <c r="B1070" s="22"/>
      <c r="C1070" s="19"/>
      <c r="D1070" s="19"/>
      <c r="E1070" s="19"/>
      <c r="F1070" s="19"/>
      <c r="G1070" s="19"/>
      <c r="H1070" s="19"/>
      <c r="I1070" s="8"/>
    </row>
    <row r="1071" spans="1:9" x14ac:dyDescent="0.2">
      <c r="A1071" s="22"/>
      <c r="B1071" s="22"/>
      <c r="C1071" s="19"/>
      <c r="D1071" s="19"/>
      <c r="E1071" s="19"/>
      <c r="F1071" s="19"/>
      <c r="G1071" s="19"/>
      <c r="H1071" s="19"/>
      <c r="I1071" s="8"/>
    </row>
    <row r="1072" spans="1:9" x14ac:dyDescent="0.2">
      <c r="A1072" s="22"/>
      <c r="B1072" s="22"/>
      <c r="C1072" s="19"/>
      <c r="D1072" s="19"/>
      <c r="E1072" s="19"/>
      <c r="F1072" s="19"/>
      <c r="G1072" s="19"/>
      <c r="H1072" s="19"/>
      <c r="I1072" s="8"/>
    </row>
    <row r="1073" spans="1:9" x14ac:dyDescent="0.2">
      <c r="A1073" s="22"/>
      <c r="B1073" s="22"/>
      <c r="C1073" s="19"/>
      <c r="D1073" s="19"/>
      <c r="E1073" s="19"/>
      <c r="F1073" s="19"/>
      <c r="G1073" s="19"/>
      <c r="H1073" s="19"/>
      <c r="I1073" s="8"/>
    </row>
    <row r="1074" spans="1:9" x14ac:dyDescent="0.2">
      <c r="A1074" s="22"/>
      <c r="B1074" s="22"/>
      <c r="C1074" s="19"/>
      <c r="D1074" s="19"/>
      <c r="E1074" s="19"/>
      <c r="F1074" s="19"/>
      <c r="G1074" s="19"/>
      <c r="H1074" s="19"/>
      <c r="I1074" s="8"/>
    </row>
    <row r="1075" spans="1:9" x14ac:dyDescent="0.2">
      <c r="A1075" s="22"/>
      <c r="B1075" s="22"/>
      <c r="C1075" s="19"/>
      <c r="D1075" s="19"/>
      <c r="E1075" s="19"/>
      <c r="F1075" s="19"/>
      <c r="G1075" s="19"/>
      <c r="H1075" s="19"/>
      <c r="I1075" s="8"/>
    </row>
    <row r="1076" spans="1:9" x14ac:dyDescent="0.2">
      <c r="A1076" s="22"/>
      <c r="B1076" s="22"/>
      <c r="C1076" s="19"/>
      <c r="D1076" s="19"/>
      <c r="E1076" s="19"/>
      <c r="F1076" s="19"/>
      <c r="G1076" s="19"/>
      <c r="H1076" s="19"/>
      <c r="I1076" s="8"/>
    </row>
    <row r="1077" spans="1:9" x14ac:dyDescent="0.2">
      <c r="A1077" s="22"/>
      <c r="B1077" s="22"/>
      <c r="C1077" s="19"/>
      <c r="D1077" s="19"/>
      <c r="E1077" s="19"/>
      <c r="F1077" s="19"/>
      <c r="G1077" s="19"/>
      <c r="H1077" s="19"/>
      <c r="I1077" s="8"/>
    </row>
    <row r="1078" spans="1:9" x14ac:dyDescent="0.2">
      <c r="A1078" s="22"/>
      <c r="B1078" s="22"/>
      <c r="C1078" s="19"/>
      <c r="D1078" s="19"/>
      <c r="E1078" s="19"/>
      <c r="F1078" s="19"/>
      <c r="G1078" s="19"/>
      <c r="H1078" s="19"/>
      <c r="I1078" s="8"/>
    </row>
    <row r="1079" spans="1:9" x14ac:dyDescent="0.2">
      <c r="A1079" s="22"/>
      <c r="B1079" s="22"/>
      <c r="C1079" s="19"/>
      <c r="D1079" s="19"/>
      <c r="E1079" s="19"/>
      <c r="F1079" s="19"/>
      <c r="G1079" s="19"/>
      <c r="H1079" s="19"/>
      <c r="I1079" s="8"/>
    </row>
    <row r="1080" spans="1:9" x14ac:dyDescent="0.2">
      <c r="A1080" s="22"/>
      <c r="B1080" s="22"/>
      <c r="C1080" s="19"/>
      <c r="D1080" s="19"/>
      <c r="E1080" s="19"/>
      <c r="F1080" s="19"/>
      <c r="G1080" s="19"/>
      <c r="H1080" s="19"/>
      <c r="I1080" s="8"/>
    </row>
    <row r="1081" spans="1:9" x14ac:dyDescent="0.2">
      <c r="A1081" s="22"/>
      <c r="B1081" s="22"/>
      <c r="C1081" s="19"/>
      <c r="D1081" s="19"/>
      <c r="E1081" s="19"/>
      <c r="F1081" s="19"/>
      <c r="G1081" s="19"/>
      <c r="H1081" s="19"/>
      <c r="I1081" s="8"/>
    </row>
    <row r="1082" spans="1:9" x14ac:dyDescent="0.2">
      <c r="A1082" s="22"/>
      <c r="B1082" s="22"/>
      <c r="C1082" s="19"/>
      <c r="D1082" s="19"/>
      <c r="E1082" s="19"/>
      <c r="F1082" s="19"/>
      <c r="G1082" s="19"/>
      <c r="H1082" s="19"/>
      <c r="I1082" s="8"/>
    </row>
    <row r="1083" spans="1:9" x14ac:dyDescent="0.2">
      <c r="A1083" s="22"/>
      <c r="B1083" s="22"/>
      <c r="C1083" s="19"/>
      <c r="D1083" s="19"/>
      <c r="E1083" s="19"/>
      <c r="F1083" s="19"/>
      <c r="G1083" s="19"/>
      <c r="H1083" s="19"/>
      <c r="I1083" s="8"/>
    </row>
    <row r="1084" spans="1:9" x14ac:dyDescent="0.2">
      <c r="A1084" s="22"/>
      <c r="B1084" s="22"/>
      <c r="C1084" s="19"/>
      <c r="D1084" s="19"/>
      <c r="E1084" s="19"/>
      <c r="F1084" s="19"/>
      <c r="G1084" s="19"/>
      <c r="H1084" s="19"/>
      <c r="I1084" s="8"/>
    </row>
    <row r="1085" spans="1:9" x14ac:dyDescent="0.2">
      <c r="A1085" s="22"/>
      <c r="B1085" s="22"/>
      <c r="C1085" s="19"/>
      <c r="D1085" s="19"/>
      <c r="E1085" s="19"/>
      <c r="F1085" s="19"/>
      <c r="G1085" s="19"/>
      <c r="H1085" s="19"/>
      <c r="I1085" s="8"/>
    </row>
    <row r="1086" spans="1:9" x14ac:dyDescent="0.2">
      <c r="A1086" s="22"/>
      <c r="B1086" s="22"/>
      <c r="C1086" s="19"/>
      <c r="D1086" s="19"/>
      <c r="E1086" s="19"/>
      <c r="F1086" s="19"/>
      <c r="G1086" s="19"/>
      <c r="H1086" s="19"/>
      <c r="I1086" s="8"/>
    </row>
    <row r="1087" spans="1:9" x14ac:dyDescent="0.2">
      <c r="A1087" s="22"/>
      <c r="B1087" s="22"/>
      <c r="C1087" s="19"/>
      <c r="D1087" s="19"/>
      <c r="E1087" s="19"/>
      <c r="F1087" s="19"/>
      <c r="G1087" s="19"/>
      <c r="H1087" s="19"/>
      <c r="I1087" s="8"/>
    </row>
    <row r="1088" spans="1:9" x14ac:dyDescent="0.2">
      <c r="A1088" s="22"/>
      <c r="B1088" s="22"/>
      <c r="C1088" s="19"/>
      <c r="D1088" s="19"/>
      <c r="E1088" s="19"/>
      <c r="F1088" s="19"/>
      <c r="G1088" s="19"/>
      <c r="H1088" s="19"/>
      <c r="I1088" s="8"/>
    </row>
    <row r="1089" spans="1:9" x14ac:dyDescent="0.2">
      <c r="A1089" s="22"/>
      <c r="B1089" s="22"/>
      <c r="C1089" s="19"/>
      <c r="D1089" s="19"/>
      <c r="E1089" s="19"/>
      <c r="F1089" s="19"/>
      <c r="G1089" s="19"/>
      <c r="H1089" s="19"/>
      <c r="I1089" s="8"/>
    </row>
    <row r="1090" spans="1:9" x14ac:dyDescent="0.2">
      <c r="A1090" s="22"/>
      <c r="B1090" s="22"/>
      <c r="C1090" s="19"/>
      <c r="D1090" s="19"/>
      <c r="E1090" s="19"/>
      <c r="F1090" s="19"/>
      <c r="G1090" s="19"/>
      <c r="H1090" s="19"/>
      <c r="I1090" s="8"/>
    </row>
    <row r="1091" spans="1:9" x14ac:dyDescent="0.2">
      <c r="A1091" s="22"/>
      <c r="B1091" s="22"/>
      <c r="C1091" s="19"/>
      <c r="D1091" s="19"/>
      <c r="E1091" s="19"/>
      <c r="F1091" s="19"/>
      <c r="G1091" s="19"/>
      <c r="H1091" s="19"/>
      <c r="I1091" s="8"/>
    </row>
    <row r="1092" spans="1:9" x14ac:dyDescent="0.2">
      <c r="A1092" s="22"/>
      <c r="B1092" s="22"/>
      <c r="C1092" s="19"/>
      <c r="D1092" s="19"/>
      <c r="E1092" s="19"/>
      <c r="F1092" s="19"/>
      <c r="G1092" s="19"/>
      <c r="H1092" s="19"/>
      <c r="I1092" s="8"/>
    </row>
    <row r="1093" spans="1:9" x14ac:dyDescent="0.2">
      <c r="A1093" s="22"/>
      <c r="B1093" s="22"/>
      <c r="C1093" s="19"/>
      <c r="D1093" s="19"/>
      <c r="E1093" s="19"/>
      <c r="F1093" s="19"/>
      <c r="G1093" s="19"/>
      <c r="H1093" s="19"/>
      <c r="I1093" s="8"/>
    </row>
    <row r="1094" spans="1:9" x14ac:dyDescent="0.2">
      <c r="A1094" s="22"/>
      <c r="B1094" s="22"/>
      <c r="C1094" s="19"/>
      <c r="D1094" s="19"/>
      <c r="E1094" s="19"/>
      <c r="F1094" s="19"/>
      <c r="G1094" s="19"/>
      <c r="H1094" s="19"/>
      <c r="I1094" s="8"/>
    </row>
    <row r="1095" spans="1:9" x14ac:dyDescent="0.2">
      <c r="A1095" s="22"/>
      <c r="B1095" s="22"/>
      <c r="C1095" s="19"/>
      <c r="D1095" s="19"/>
      <c r="E1095" s="19"/>
      <c r="F1095" s="19"/>
      <c r="G1095" s="19"/>
      <c r="H1095" s="19"/>
      <c r="I1095" s="8"/>
    </row>
    <row r="1096" spans="1:9" x14ac:dyDescent="0.2">
      <c r="A1096" s="22"/>
      <c r="B1096" s="22"/>
      <c r="C1096" s="19"/>
      <c r="D1096" s="19"/>
      <c r="E1096" s="19"/>
      <c r="F1096" s="19"/>
      <c r="G1096" s="19"/>
      <c r="H1096" s="19"/>
      <c r="I1096" s="8"/>
    </row>
    <row r="1097" spans="1:9" x14ac:dyDescent="0.2">
      <c r="A1097" s="22"/>
      <c r="B1097" s="22"/>
      <c r="C1097" s="19"/>
      <c r="D1097" s="19"/>
      <c r="E1097" s="19"/>
      <c r="F1097" s="19"/>
      <c r="G1097" s="19"/>
      <c r="H1097" s="19"/>
      <c r="I1097" s="8"/>
    </row>
    <row r="1098" spans="1:9" x14ac:dyDescent="0.2">
      <c r="A1098" s="22"/>
      <c r="B1098" s="22"/>
      <c r="C1098" s="19"/>
      <c r="D1098" s="19"/>
      <c r="E1098" s="19"/>
      <c r="F1098" s="19"/>
      <c r="G1098" s="19"/>
      <c r="H1098" s="19"/>
      <c r="I1098" s="8"/>
    </row>
    <row r="1099" spans="1:9" x14ac:dyDescent="0.2">
      <c r="A1099" s="22"/>
      <c r="B1099" s="22"/>
      <c r="C1099" s="19"/>
      <c r="D1099" s="19"/>
      <c r="E1099" s="19"/>
      <c r="F1099" s="19"/>
      <c r="G1099" s="19"/>
      <c r="H1099" s="19"/>
      <c r="I1099" s="8"/>
    </row>
    <row r="1100" spans="1:9" x14ac:dyDescent="0.2">
      <c r="A1100" s="22"/>
      <c r="B1100" s="22"/>
      <c r="C1100" s="19"/>
      <c r="D1100" s="19"/>
      <c r="E1100" s="19"/>
      <c r="F1100" s="19"/>
      <c r="G1100" s="19"/>
      <c r="H1100" s="19"/>
      <c r="I1100" s="8"/>
    </row>
    <row r="1101" spans="1:9" x14ac:dyDescent="0.2">
      <c r="A1101" s="22"/>
      <c r="B1101" s="22"/>
      <c r="C1101" s="19"/>
      <c r="D1101" s="19"/>
      <c r="E1101" s="19"/>
      <c r="F1101" s="19"/>
      <c r="G1101" s="19"/>
      <c r="H1101" s="19"/>
      <c r="I1101" s="8"/>
    </row>
    <row r="1102" spans="1:9" x14ac:dyDescent="0.2">
      <c r="A1102" s="22"/>
      <c r="B1102" s="22"/>
      <c r="C1102" s="19"/>
      <c r="D1102" s="19"/>
      <c r="E1102" s="19"/>
      <c r="F1102" s="19"/>
      <c r="G1102" s="19"/>
      <c r="H1102" s="19"/>
      <c r="I1102" s="8"/>
    </row>
    <row r="1103" spans="1:9" x14ac:dyDescent="0.2">
      <c r="A1103" s="22"/>
      <c r="B1103" s="22"/>
      <c r="C1103" s="19"/>
      <c r="D1103" s="19"/>
      <c r="E1103" s="19"/>
      <c r="F1103" s="19"/>
      <c r="G1103" s="19"/>
      <c r="H1103" s="19"/>
      <c r="I1103" s="8"/>
    </row>
    <row r="1104" spans="1:9" x14ac:dyDescent="0.2">
      <c r="A1104" s="22"/>
      <c r="B1104" s="22"/>
      <c r="C1104" s="19"/>
      <c r="D1104" s="19"/>
      <c r="E1104" s="19"/>
      <c r="F1104" s="19"/>
      <c r="G1104" s="19"/>
      <c r="H1104" s="19"/>
      <c r="I1104" s="8"/>
    </row>
    <row r="1105" spans="1:9" x14ac:dyDescent="0.2">
      <c r="A1105" s="22"/>
      <c r="B1105" s="22"/>
      <c r="C1105" s="19"/>
      <c r="D1105" s="19"/>
      <c r="E1105" s="19"/>
      <c r="F1105" s="19"/>
      <c r="G1105" s="19"/>
      <c r="H1105" s="19"/>
      <c r="I1105" s="8"/>
    </row>
    <row r="1106" spans="1:9" x14ac:dyDescent="0.2">
      <c r="A1106" s="22"/>
      <c r="B1106" s="22"/>
      <c r="C1106" s="19"/>
      <c r="D1106" s="19"/>
      <c r="E1106" s="19"/>
      <c r="F1106" s="19"/>
      <c r="G1106" s="19"/>
      <c r="H1106" s="19"/>
      <c r="I1106" s="8"/>
    </row>
    <row r="1107" spans="1:9" x14ac:dyDescent="0.2">
      <c r="A1107" s="22"/>
      <c r="B1107" s="22"/>
      <c r="C1107" s="19"/>
      <c r="D1107" s="19"/>
      <c r="E1107" s="19"/>
      <c r="F1107" s="19"/>
      <c r="G1107" s="19"/>
      <c r="H1107" s="19"/>
      <c r="I1107" s="8"/>
    </row>
    <row r="1108" spans="1:9" x14ac:dyDescent="0.2">
      <c r="A1108" s="22"/>
      <c r="B1108" s="22"/>
      <c r="C1108" s="19"/>
      <c r="D1108" s="19"/>
      <c r="E1108" s="19"/>
      <c r="F1108" s="19"/>
      <c r="G1108" s="19"/>
      <c r="H1108" s="19"/>
      <c r="I1108" s="8"/>
    </row>
    <row r="1109" spans="1:9" x14ac:dyDescent="0.2">
      <c r="A1109" s="22"/>
      <c r="B1109" s="22"/>
      <c r="C1109" s="19"/>
      <c r="D1109" s="19"/>
      <c r="E1109" s="19"/>
      <c r="F1109" s="19"/>
      <c r="G1109" s="19"/>
      <c r="H1109" s="19"/>
      <c r="I1109" s="8"/>
    </row>
    <row r="1110" spans="1:9" x14ac:dyDescent="0.2">
      <c r="A1110" s="22"/>
      <c r="B1110" s="22"/>
      <c r="C1110" s="19"/>
      <c r="D1110" s="19"/>
      <c r="E1110" s="19"/>
      <c r="F1110" s="19"/>
      <c r="G1110" s="19"/>
      <c r="H1110" s="19"/>
      <c r="I1110" s="8"/>
    </row>
    <row r="1111" spans="1:9" x14ac:dyDescent="0.2">
      <c r="A1111" s="22"/>
      <c r="B1111" s="22"/>
      <c r="C1111" s="19"/>
      <c r="D1111" s="19"/>
      <c r="E1111" s="19"/>
      <c r="F1111" s="19"/>
      <c r="G1111" s="19"/>
      <c r="H1111" s="19"/>
      <c r="I1111" s="8"/>
    </row>
    <row r="1112" spans="1:9" x14ac:dyDescent="0.2">
      <c r="A1112" s="22"/>
      <c r="B1112" s="22"/>
      <c r="C1112" s="19"/>
      <c r="D1112" s="19"/>
      <c r="E1112" s="19"/>
      <c r="F1112" s="19"/>
      <c r="G1112" s="19"/>
      <c r="H1112" s="19"/>
      <c r="I1112" s="8"/>
    </row>
    <row r="1113" spans="1:9" x14ac:dyDescent="0.2">
      <c r="A1113" s="22"/>
      <c r="B1113" s="22"/>
      <c r="C1113" s="19"/>
      <c r="D1113" s="19"/>
      <c r="E1113" s="19"/>
      <c r="F1113" s="19"/>
      <c r="G1113" s="19"/>
      <c r="H1113" s="19"/>
      <c r="I1113" s="8"/>
    </row>
    <row r="1114" spans="1:9" x14ac:dyDescent="0.2">
      <c r="A1114" s="22"/>
      <c r="B1114" s="22"/>
      <c r="C1114" s="19"/>
      <c r="D1114" s="19"/>
      <c r="E1114" s="19"/>
      <c r="F1114" s="19"/>
      <c r="G1114" s="19"/>
      <c r="H1114" s="19"/>
      <c r="I1114" s="8"/>
    </row>
    <row r="1115" spans="1:9" x14ac:dyDescent="0.2">
      <c r="A1115" s="22"/>
      <c r="B1115" s="22"/>
      <c r="C1115" s="19"/>
      <c r="D1115" s="19"/>
      <c r="E1115" s="19"/>
      <c r="F1115" s="19"/>
      <c r="G1115" s="19"/>
      <c r="H1115" s="19"/>
      <c r="I1115" s="8"/>
    </row>
    <row r="1116" spans="1:9" x14ac:dyDescent="0.2">
      <c r="A1116" s="22"/>
      <c r="B1116" s="22"/>
      <c r="C1116" s="19"/>
      <c r="D1116" s="19"/>
      <c r="E1116" s="19"/>
      <c r="F1116" s="19"/>
      <c r="G1116" s="19"/>
      <c r="H1116" s="19"/>
      <c r="I1116" s="8"/>
    </row>
    <row r="1117" spans="1:9" x14ac:dyDescent="0.2">
      <c r="A1117" s="22"/>
      <c r="B1117" s="22"/>
      <c r="C1117" s="19"/>
      <c r="D1117" s="19"/>
      <c r="E1117" s="19"/>
      <c r="F1117" s="19"/>
      <c r="G1117" s="19"/>
      <c r="H1117" s="19"/>
      <c r="I1117" s="8"/>
    </row>
    <row r="1118" spans="1:9" x14ac:dyDescent="0.2">
      <c r="A1118" s="22"/>
      <c r="B1118" s="22"/>
      <c r="C1118" s="19"/>
      <c r="D1118" s="19"/>
      <c r="E1118" s="19"/>
      <c r="F1118" s="19"/>
      <c r="G1118" s="19"/>
      <c r="H1118" s="19"/>
      <c r="I1118" s="8"/>
    </row>
    <row r="1119" spans="1:9" x14ac:dyDescent="0.2">
      <c r="A1119" s="22"/>
      <c r="B1119" s="22"/>
      <c r="C1119" s="19"/>
      <c r="D1119" s="19"/>
      <c r="E1119" s="19"/>
      <c r="F1119" s="19"/>
      <c r="G1119" s="19"/>
      <c r="H1119" s="19"/>
      <c r="I1119" s="8"/>
    </row>
    <row r="1120" spans="1:9" x14ac:dyDescent="0.2">
      <c r="A1120" s="22"/>
      <c r="B1120" s="22"/>
      <c r="C1120" s="19"/>
      <c r="D1120" s="19"/>
      <c r="E1120" s="19"/>
      <c r="F1120" s="19"/>
      <c r="G1120" s="19"/>
      <c r="H1120" s="19"/>
      <c r="I1120" s="8"/>
    </row>
    <row r="1121" spans="1:9" x14ac:dyDescent="0.2">
      <c r="A1121" s="22"/>
      <c r="B1121" s="22"/>
      <c r="C1121" s="19"/>
      <c r="D1121" s="19"/>
      <c r="E1121" s="19"/>
      <c r="F1121" s="19"/>
      <c r="G1121" s="19"/>
      <c r="H1121" s="19"/>
      <c r="I1121" s="8"/>
    </row>
    <row r="1122" spans="1:9" x14ac:dyDescent="0.2">
      <c r="A1122" s="22"/>
      <c r="B1122" s="22"/>
      <c r="C1122" s="19"/>
      <c r="D1122" s="19"/>
      <c r="E1122" s="19"/>
      <c r="F1122" s="19"/>
      <c r="G1122" s="19"/>
      <c r="H1122" s="19"/>
      <c r="I1122" s="8"/>
    </row>
    <row r="1123" spans="1:9" x14ac:dyDescent="0.2">
      <c r="A1123" s="22"/>
      <c r="B1123" s="22"/>
      <c r="C1123" s="19"/>
      <c r="D1123" s="19"/>
      <c r="E1123" s="19"/>
      <c r="F1123" s="19"/>
      <c r="G1123" s="19"/>
      <c r="H1123" s="19"/>
      <c r="I1123" s="8"/>
    </row>
    <row r="1124" spans="1:9" x14ac:dyDescent="0.2">
      <c r="A1124" s="22"/>
      <c r="B1124" s="22"/>
      <c r="C1124" s="19"/>
      <c r="D1124" s="19"/>
      <c r="E1124" s="19"/>
      <c r="F1124" s="19"/>
      <c r="G1124" s="19"/>
      <c r="H1124" s="20"/>
      <c r="I1124" s="8"/>
    </row>
    <row r="1125" spans="1:9" x14ac:dyDescent="0.2">
      <c r="A1125" s="22"/>
      <c r="B1125" s="22"/>
      <c r="C1125" s="19"/>
      <c r="D1125" s="19"/>
      <c r="E1125" s="19"/>
      <c r="F1125" s="19"/>
      <c r="G1125" s="19"/>
      <c r="H1125" s="19"/>
      <c r="I1125" s="8"/>
    </row>
    <row r="1126" spans="1:9" x14ac:dyDescent="0.2">
      <c r="A1126" s="22"/>
      <c r="B1126" s="22"/>
      <c r="C1126" s="19"/>
      <c r="D1126" s="19"/>
      <c r="E1126" s="19"/>
      <c r="F1126" s="19"/>
      <c r="G1126" s="19"/>
      <c r="H1126" s="19"/>
      <c r="I1126" s="8"/>
    </row>
    <row r="1127" spans="1:9" x14ac:dyDescent="0.2">
      <c r="A1127" s="22"/>
      <c r="B1127" s="22"/>
      <c r="C1127" s="19"/>
      <c r="D1127" s="19"/>
      <c r="E1127" s="19"/>
      <c r="F1127" s="19"/>
      <c r="G1127" s="19"/>
      <c r="H1127" s="19"/>
      <c r="I1127" s="8"/>
    </row>
    <row r="1128" spans="1:9" x14ac:dyDescent="0.2">
      <c r="A1128" s="22"/>
      <c r="B1128" s="22"/>
      <c r="C1128" s="19"/>
      <c r="D1128" s="19"/>
      <c r="E1128" s="19"/>
      <c r="F1128" s="19"/>
      <c r="G1128" s="19"/>
      <c r="H1128" s="19"/>
      <c r="I1128" s="8"/>
    </row>
    <row r="1129" spans="1:9" x14ac:dyDescent="0.2">
      <c r="A1129" s="22"/>
      <c r="B1129" s="22"/>
      <c r="C1129" s="19"/>
      <c r="D1129" s="19"/>
      <c r="E1129" s="19"/>
      <c r="F1129" s="19"/>
      <c r="G1129" s="19"/>
      <c r="H1129" s="19"/>
      <c r="I1129" s="8"/>
    </row>
    <row r="1130" spans="1:9" x14ac:dyDescent="0.2">
      <c r="A1130" s="22"/>
      <c r="B1130" s="22"/>
      <c r="C1130" s="19"/>
      <c r="D1130" s="19"/>
      <c r="E1130" s="19"/>
      <c r="F1130" s="19"/>
      <c r="G1130" s="19"/>
      <c r="H1130" s="19"/>
      <c r="I1130" s="8"/>
    </row>
    <row r="1131" spans="1:9" x14ac:dyDescent="0.2">
      <c r="A1131" s="22"/>
      <c r="B1131" s="22"/>
      <c r="C1131" s="19"/>
      <c r="D1131" s="19"/>
      <c r="E1131" s="19"/>
      <c r="F1131" s="19"/>
      <c r="G1131" s="19"/>
      <c r="H1131" s="19"/>
      <c r="I1131" s="8"/>
    </row>
    <row r="1132" spans="1:9" x14ac:dyDescent="0.2">
      <c r="A1132" s="22"/>
      <c r="B1132" s="22"/>
      <c r="C1132" s="19"/>
      <c r="D1132" s="19"/>
      <c r="E1132" s="19"/>
      <c r="F1132" s="19"/>
      <c r="G1132" s="19"/>
      <c r="H1132" s="19"/>
      <c r="I1132" s="8"/>
    </row>
    <row r="1133" spans="1:9" x14ac:dyDescent="0.2">
      <c r="A1133" s="22"/>
      <c r="B1133" s="22"/>
      <c r="C1133" s="19"/>
      <c r="D1133" s="19"/>
      <c r="E1133" s="19"/>
      <c r="F1133" s="19"/>
      <c r="G1133" s="19"/>
      <c r="H1133" s="19"/>
      <c r="I1133" s="8"/>
    </row>
    <row r="1134" spans="1:9" x14ac:dyDescent="0.2">
      <c r="A1134" s="22"/>
      <c r="B1134" s="22"/>
      <c r="C1134" s="19"/>
      <c r="D1134" s="19"/>
      <c r="E1134" s="19"/>
      <c r="F1134" s="19"/>
      <c r="G1134" s="19"/>
      <c r="H1134" s="19"/>
      <c r="I1134" s="8"/>
    </row>
    <row r="1135" spans="1:9" x14ac:dyDescent="0.2">
      <c r="A1135" s="22"/>
      <c r="B1135" s="22"/>
      <c r="C1135" s="19"/>
      <c r="D1135" s="19"/>
      <c r="E1135" s="19"/>
      <c r="F1135" s="19"/>
      <c r="G1135" s="19"/>
      <c r="H1135" s="19"/>
      <c r="I1135" s="8"/>
    </row>
    <row r="1136" spans="1:9" x14ac:dyDescent="0.2">
      <c r="A1136" s="22"/>
      <c r="B1136" s="22"/>
      <c r="C1136" s="19"/>
      <c r="D1136" s="19"/>
      <c r="E1136" s="19"/>
      <c r="F1136" s="19"/>
      <c r="G1136" s="19"/>
      <c r="H1136" s="19"/>
      <c r="I1136" s="8"/>
    </row>
    <row r="1137" spans="1:9" x14ac:dyDescent="0.2">
      <c r="A1137" s="22"/>
      <c r="B1137" s="22"/>
      <c r="C1137" s="19"/>
      <c r="D1137" s="19"/>
      <c r="E1137" s="19"/>
      <c r="F1137" s="19"/>
      <c r="G1137" s="19"/>
      <c r="H1137" s="19"/>
      <c r="I1137" s="8"/>
    </row>
    <row r="1138" spans="1:9" x14ac:dyDescent="0.2">
      <c r="A1138" s="22"/>
      <c r="B1138" s="22"/>
      <c r="C1138" s="19"/>
      <c r="D1138" s="19"/>
      <c r="E1138" s="19"/>
      <c r="F1138" s="19"/>
      <c r="G1138" s="19"/>
      <c r="H1138" s="19"/>
      <c r="I1138" s="8"/>
    </row>
    <row r="1139" spans="1:9" x14ac:dyDescent="0.2">
      <c r="A1139" s="22"/>
      <c r="B1139" s="22"/>
      <c r="C1139" s="19"/>
      <c r="D1139" s="19"/>
      <c r="E1139" s="19"/>
      <c r="F1139" s="19"/>
      <c r="G1139" s="19"/>
      <c r="H1139" s="19"/>
      <c r="I1139" s="8"/>
    </row>
    <row r="1140" spans="1:9" x14ac:dyDescent="0.2">
      <c r="A1140" s="22"/>
      <c r="B1140" s="22"/>
      <c r="C1140" s="19"/>
      <c r="D1140" s="19"/>
      <c r="E1140" s="19"/>
      <c r="F1140" s="19"/>
      <c r="G1140" s="19"/>
      <c r="H1140" s="19"/>
      <c r="I1140" s="8"/>
    </row>
    <row r="1141" spans="1:9" x14ac:dyDescent="0.2">
      <c r="A1141" s="22"/>
      <c r="B1141" s="22"/>
      <c r="C1141" s="19"/>
      <c r="D1141" s="19"/>
      <c r="E1141" s="19"/>
      <c r="F1141" s="19"/>
      <c r="G1141" s="19"/>
      <c r="H1141" s="19"/>
      <c r="I1141" s="8"/>
    </row>
    <row r="1142" spans="1:9" x14ac:dyDescent="0.2">
      <c r="A1142" s="22"/>
      <c r="B1142" s="22"/>
      <c r="C1142" s="19"/>
      <c r="D1142" s="19"/>
      <c r="E1142" s="19"/>
      <c r="F1142" s="19"/>
      <c r="G1142" s="19"/>
      <c r="H1142" s="19"/>
      <c r="I1142" s="8"/>
    </row>
    <row r="1143" spans="1:9" x14ac:dyDescent="0.2">
      <c r="A1143" s="22"/>
      <c r="B1143" s="22"/>
      <c r="C1143" s="19"/>
      <c r="D1143" s="19"/>
      <c r="E1143" s="19"/>
      <c r="F1143" s="19"/>
      <c r="G1143" s="19"/>
      <c r="H1143" s="19"/>
      <c r="I1143" s="8"/>
    </row>
    <row r="1144" spans="1:9" x14ac:dyDescent="0.2">
      <c r="A1144" s="22"/>
      <c r="B1144" s="22"/>
      <c r="C1144" s="19"/>
      <c r="D1144" s="19"/>
      <c r="E1144" s="19"/>
      <c r="F1144" s="19"/>
      <c r="G1144" s="19"/>
      <c r="H1144" s="19"/>
      <c r="I1144" s="8"/>
    </row>
    <row r="1145" spans="1:9" x14ac:dyDescent="0.2">
      <c r="A1145" s="22"/>
      <c r="B1145" s="22"/>
      <c r="C1145" s="19"/>
      <c r="D1145" s="19"/>
      <c r="E1145" s="19"/>
      <c r="F1145" s="19"/>
      <c r="G1145" s="19"/>
      <c r="H1145" s="19"/>
      <c r="I1145" s="8"/>
    </row>
    <row r="1146" spans="1:9" x14ac:dyDescent="0.2">
      <c r="A1146" s="22"/>
      <c r="B1146" s="22"/>
      <c r="C1146" s="19"/>
      <c r="D1146" s="19"/>
      <c r="E1146" s="19"/>
      <c r="F1146" s="19"/>
      <c r="G1146" s="19"/>
      <c r="H1146" s="19"/>
      <c r="I1146" s="8"/>
    </row>
    <row r="1147" spans="1:9" x14ac:dyDescent="0.2">
      <c r="A1147" s="22"/>
      <c r="B1147" s="22"/>
      <c r="C1147" s="19"/>
      <c r="D1147" s="19"/>
      <c r="E1147" s="19"/>
      <c r="F1147" s="19"/>
      <c r="G1147" s="19"/>
      <c r="H1147" s="19"/>
      <c r="I1147" s="8"/>
    </row>
    <row r="1148" spans="1:9" x14ac:dyDescent="0.2">
      <c r="A1148" s="22"/>
      <c r="B1148" s="22"/>
      <c r="C1148" s="19"/>
      <c r="D1148" s="19"/>
      <c r="E1148" s="19"/>
      <c r="F1148" s="19"/>
      <c r="G1148" s="19"/>
      <c r="H1148" s="19"/>
      <c r="I1148" s="8"/>
    </row>
    <row r="1149" spans="1:9" x14ac:dyDescent="0.2">
      <c r="A1149" s="22"/>
      <c r="B1149" s="22"/>
      <c r="C1149" s="19"/>
      <c r="D1149" s="19"/>
      <c r="E1149" s="19"/>
      <c r="F1149" s="19"/>
      <c r="G1149" s="19"/>
      <c r="H1149" s="19"/>
      <c r="I1149" s="8"/>
    </row>
    <row r="1150" spans="1:9" x14ac:dyDescent="0.2">
      <c r="A1150" s="22"/>
      <c r="B1150" s="22"/>
      <c r="C1150" s="19"/>
      <c r="D1150" s="19"/>
      <c r="E1150" s="19"/>
      <c r="F1150" s="19"/>
      <c r="G1150" s="19"/>
      <c r="H1150" s="19"/>
      <c r="I1150" s="8"/>
    </row>
    <row r="1151" spans="1:9" x14ac:dyDescent="0.2">
      <c r="A1151" s="22"/>
      <c r="B1151" s="22"/>
      <c r="C1151" s="19"/>
      <c r="D1151" s="19"/>
      <c r="E1151" s="19"/>
      <c r="F1151" s="19"/>
      <c r="G1151" s="19"/>
      <c r="H1151" s="19"/>
      <c r="I1151" s="8"/>
    </row>
    <row r="1152" spans="1:9" x14ac:dyDescent="0.2">
      <c r="A1152" s="22"/>
      <c r="B1152" s="22"/>
      <c r="C1152" s="19"/>
      <c r="D1152" s="19"/>
      <c r="E1152" s="19"/>
      <c r="F1152" s="19"/>
      <c r="G1152" s="19"/>
      <c r="H1152" s="19"/>
      <c r="I1152" s="8"/>
    </row>
    <row r="1153" spans="1:9" x14ac:dyDescent="0.2">
      <c r="A1153" s="22"/>
      <c r="B1153" s="22"/>
      <c r="C1153" s="19"/>
      <c r="D1153" s="19"/>
      <c r="E1153" s="19"/>
      <c r="F1153" s="19"/>
      <c r="G1153" s="19"/>
      <c r="H1153" s="19"/>
      <c r="I1153" s="8"/>
    </row>
    <row r="1154" spans="1:9" x14ac:dyDescent="0.2">
      <c r="A1154" s="22"/>
      <c r="B1154" s="22"/>
      <c r="C1154" s="19"/>
      <c r="D1154" s="19"/>
      <c r="E1154" s="19"/>
      <c r="F1154" s="19"/>
      <c r="G1154" s="19"/>
      <c r="H1154" s="19"/>
      <c r="I1154" s="8"/>
    </row>
    <row r="1155" spans="1:9" x14ac:dyDescent="0.2">
      <c r="A1155" s="22"/>
      <c r="B1155" s="22"/>
      <c r="C1155" s="19"/>
      <c r="D1155" s="19"/>
      <c r="E1155" s="19"/>
      <c r="F1155" s="19"/>
      <c r="G1155" s="19"/>
      <c r="H1155" s="19"/>
      <c r="I1155" s="8"/>
    </row>
    <row r="1156" spans="1:9" x14ac:dyDescent="0.2">
      <c r="A1156" s="22"/>
      <c r="B1156" s="22"/>
      <c r="C1156" s="19"/>
      <c r="D1156" s="19"/>
      <c r="E1156" s="19"/>
      <c r="F1156" s="19"/>
      <c r="G1156" s="19"/>
      <c r="H1156" s="19"/>
      <c r="I1156" s="8"/>
    </row>
    <row r="1157" spans="1:9" x14ac:dyDescent="0.2">
      <c r="A1157" s="22"/>
      <c r="B1157" s="22"/>
      <c r="C1157" s="19"/>
      <c r="D1157" s="19"/>
      <c r="E1157" s="19"/>
      <c r="F1157" s="19"/>
      <c r="G1157" s="19"/>
      <c r="H1157" s="19"/>
      <c r="I1157" s="8"/>
    </row>
    <row r="1158" spans="1:9" x14ac:dyDescent="0.2">
      <c r="A1158" s="22"/>
      <c r="B1158" s="22"/>
      <c r="C1158" s="19"/>
      <c r="D1158" s="19"/>
      <c r="E1158" s="19"/>
      <c r="F1158" s="19"/>
      <c r="G1158" s="19"/>
      <c r="H1158" s="19"/>
      <c r="I1158" s="8"/>
    </row>
    <row r="1159" spans="1:9" x14ac:dyDescent="0.2">
      <c r="A1159" s="22"/>
      <c r="B1159" s="22"/>
      <c r="C1159" s="19"/>
      <c r="D1159" s="19"/>
      <c r="E1159" s="19"/>
      <c r="F1159" s="19"/>
      <c r="G1159" s="19"/>
      <c r="H1159" s="19"/>
      <c r="I1159" s="8"/>
    </row>
    <row r="1160" spans="1:9" x14ac:dyDescent="0.2">
      <c r="A1160" s="22"/>
      <c r="B1160" s="22"/>
      <c r="C1160" s="19"/>
      <c r="D1160" s="19"/>
      <c r="E1160" s="19"/>
      <c r="F1160" s="19"/>
      <c r="G1160" s="19"/>
      <c r="H1160" s="19"/>
      <c r="I1160" s="8"/>
    </row>
    <row r="1161" spans="1:9" x14ac:dyDescent="0.2">
      <c r="A1161" s="22"/>
      <c r="B1161" s="22"/>
      <c r="C1161" s="19"/>
      <c r="D1161" s="19"/>
      <c r="E1161" s="19"/>
      <c r="F1161" s="19"/>
      <c r="G1161" s="19"/>
      <c r="H1161" s="19"/>
      <c r="I1161" s="8"/>
    </row>
    <row r="1162" spans="1:9" x14ac:dyDescent="0.2">
      <c r="A1162" s="22"/>
      <c r="B1162" s="22"/>
      <c r="C1162" s="19"/>
      <c r="D1162" s="19"/>
      <c r="E1162" s="19"/>
      <c r="F1162" s="19"/>
      <c r="G1162" s="19"/>
      <c r="H1162" s="19"/>
      <c r="I1162" s="8"/>
    </row>
    <row r="1163" spans="1:9" x14ac:dyDescent="0.2">
      <c r="A1163" s="22"/>
      <c r="B1163" s="22"/>
      <c r="C1163" s="19"/>
      <c r="D1163" s="19"/>
      <c r="E1163" s="19"/>
      <c r="F1163" s="19"/>
      <c r="G1163" s="19"/>
      <c r="H1163" s="19"/>
      <c r="I1163" s="8"/>
    </row>
    <row r="1164" spans="1:9" x14ac:dyDescent="0.2">
      <c r="A1164" s="22"/>
      <c r="B1164" s="22"/>
      <c r="C1164" s="19"/>
      <c r="D1164" s="19"/>
      <c r="E1164" s="19"/>
      <c r="F1164" s="19"/>
      <c r="G1164" s="19"/>
      <c r="H1164" s="19"/>
      <c r="I1164" s="8"/>
    </row>
    <row r="1165" spans="1:9" x14ac:dyDescent="0.2">
      <c r="A1165" s="22"/>
      <c r="B1165" s="22"/>
      <c r="C1165" s="19"/>
      <c r="D1165" s="19"/>
      <c r="E1165" s="19"/>
      <c r="F1165" s="19"/>
      <c r="G1165" s="19"/>
      <c r="H1165" s="19"/>
      <c r="I1165" s="8"/>
    </row>
    <row r="1166" spans="1:9" x14ac:dyDescent="0.2">
      <c r="A1166" s="22"/>
      <c r="B1166" s="22"/>
      <c r="C1166" s="19"/>
      <c r="D1166" s="19"/>
      <c r="E1166" s="19"/>
      <c r="F1166" s="19"/>
      <c r="G1166" s="19"/>
      <c r="H1166" s="19"/>
      <c r="I1166" s="8"/>
    </row>
    <row r="1167" spans="1:9" x14ac:dyDescent="0.2">
      <c r="A1167" s="22"/>
      <c r="B1167" s="22"/>
      <c r="C1167" s="19"/>
      <c r="D1167" s="19"/>
      <c r="E1167" s="19"/>
      <c r="F1167" s="19"/>
      <c r="G1167" s="19"/>
      <c r="H1167" s="19"/>
      <c r="I1167" s="8"/>
    </row>
    <row r="1168" spans="1:9" x14ac:dyDescent="0.2">
      <c r="A1168" s="22"/>
      <c r="B1168" s="22"/>
      <c r="C1168" s="19"/>
      <c r="D1168" s="19"/>
      <c r="E1168" s="19"/>
      <c r="F1168" s="19"/>
      <c r="G1168" s="19"/>
      <c r="H1168" s="19"/>
      <c r="I1168" s="8"/>
    </row>
    <row r="1169" spans="1:9" x14ac:dyDescent="0.2">
      <c r="A1169" s="22"/>
      <c r="B1169" s="22"/>
      <c r="C1169" s="19"/>
      <c r="D1169" s="19"/>
      <c r="E1169" s="19"/>
      <c r="F1169" s="19"/>
      <c r="G1169" s="19"/>
      <c r="H1169" s="19"/>
      <c r="I1169" s="8"/>
    </row>
    <row r="1170" spans="1:9" x14ac:dyDescent="0.2">
      <c r="A1170" s="22"/>
      <c r="B1170" s="22"/>
      <c r="C1170" s="19"/>
      <c r="D1170" s="19"/>
      <c r="E1170" s="19"/>
      <c r="F1170" s="19"/>
      <c r="G1170" s="19"/>
      <c r="H1170" s="19"/>
      <c r="I1170" s="8"/>
    </row>
    <row r="1171" spans="1:9" x14ac:dyDescent="0.2">
      <c r="A1171" s="22"/>
      <c r="B1171" s="22"/>
      <c r="C1171" s="19"/>
      <c r="D1171" s="19"/>
      <c r="E1171" s="19"/>
      <c r="F1171" s="19"/>
      <c r="G1171" s="19"/>
      <c r="H1171" s="19"/>
      <c r="I1171" s="8"/>
    </row>
    <row r="1172" spans="1:9" x14ac:dyDescent="0.2">
      <c r="A1172" s="22"/>
      <c r="B1172" s="22"/>
      <c r="C1172" s="19"/>
      <c r="D1172" s="19"/>
      <c r="E1172" s="19"/>
      <c r="F1172" s="19"/>
      <c r="G1172" s="19"/>
      <c r="H1172" s="19"/>
      <c r="I1172" s="8"/>
    </row>
    <row r="1173" spans="1:9" x14ac:dyDescent="0.2">
      <c r="A1173" s="22"/>
      <c r="B1173" s="22"/>
      <c r="C1173" s="19"/>
      <c r="D1173" s="19"/>
      <c r="E1173" s="19"/>
      <c r="F1173" s="19"/>
      <c r="G1173" s="19"/>
      <c r="H1173" s="19"/>
      <c r="I1173" s="8"/>
    </row>
    <row r="1174" spans="1:9" x14ac:dyDescent="0.2">
      <c r="A1174" s="22"/>
      <c r="B1174" s="22"/>
      <c r="C1174" s="19"/>
      <c r="D1174" s="19"/>
      <c r="E1174" s="19"/>
      <c r="F1174" s="19"/>
      <c r="G1174" s="19"/>
      <c r="H1174" s="19"/>
      <c r="I1174" s="8"/>
    </row>
    <row r="1175" spans="1:9" x14ac:dyDescent="0.2">
      <c r="A1175" s="22"/>
      <c r="B1175" s="22"/>
      <c r="C1175" s="19"/>
      <c r="D1175" s="19"/>
      <c r="E1175" s="19"/>
      <c r="F1175" s="19"/>
      <c r="G1175" s="19"/>
      <c r="H1175" s="19"/>
      <c r="I1175" s="8"/>
    </row>
    <row r="1176" spans="1:9" x14ac:dyDescent="0.2">
      <c r="A1176" s="22"/>
      <c r="B1176" s="22"/>
      <c r="C1176" s="19"/>
      <c r="D1176" s="19"/>
      <c r="E1176" s="19"/>
      <c r="F1176" s="19"/>
      <c r="G1176" s="19"/>
      <c r="H1176" s="19"/>
      <c r="I1176" s="8"/>
    </row>
    <row r="1177" spans="1:9" x14ac:dyDescent="0.2">
      <c r="A1177" s="22"/>
      <c r="B1177" s="22"/>
      <c r="C1177" s="19"/>
      <c r="D1177" s="19"/>
      <c r="E1177" s="19"/>
      <c r="F1177" s="19"/>
      <c r="G1177" s="19"/>
      <c r="H1177" s="19"/>
      <c r="I1177" s="8"/>
    </row>
    <row r="1178" spans="1:9" x14ac:dyDescent="0.2">
      <c r="A1178" s="22"/>
      <c r="B1178" s="22"/>
      <c r="C1178" s="19"/>
      <c r="D1178" s="19"/>
      <c r="E1178" s="19"/>
      <c r="F1178" s="19"/>
      <c r="G1178" s="19"/>
      <c r="H1178" s="19"/>
      <c r="I1178" s="8"/>
    </row>
    <row r="1179" spans="1:9" x14ac:dyDescent="0.2">
      <c r="A1179" s="22"/>
      <c r="B1179" s="22"/>
      <c r="C1179" s="19"/>
      <c r="D1179" s="19"/>
      <c r="E1179" s="19"/>
      <c r="F1179" s="19"/>
      <c r="G1179" s="19"/>
      <c r="H1179" s="19"/>
      <c r="I1179" s="8"/>
    </row>
    <row r="1180" spans="1:9" x14ac:dyDescent="0.2">
      <c r="A1180" s="22"/>
      <c r="B1180" s="22"/>
      <c r="C1180" s="19"/>
      <c r="D1180" s="19"/>
      <c r="E1180" s="19"/>
      <c r="F1180" s="19"/>
      <c r="G1180" s="19"/>
      <c r="H1180" s="19"/>
      <c r="I1180" s="8"/>
    </row>
    <row r="1181" spans="1:9" x14ac:dyDescent="0.2">
      <c r="A1181" s="22"/>
      <c r="B1181" s="22"/>
      <c r="C1181" s="19"/>
      <c r="D1181" s="19"/>
      <c r="E1181" s="19"/>
      <c r="F1181" s="19"/>
      <c r="G1181" s="19"/>
      <c r="H1181" s="19"/>
      <c r="I1181" s="8"/>
    </row>
    <row r="1182" spans="1:9" x14ac:dyDescent="0.2">
      <c r="A1182" s="22"/>
      <c r="B1182" s="22"/>
      <c r="C1182" s="19"/>
      <c r="D1182" s="19"/>
      <c r="E1182" s="19"/>
      <c r="F1182" s="19"/>
      <c r="G1182" s="19"/>
      <c r="H1182" s="19"/>
      <c r="I1182" s="8"/>
    </row>
    <row r="1183" spans="1:9" x14ac:dyDescent="0.2">
      <c r="A1183" s="22"/>
      <c r="B1183" s="22"/>
      <c r="C1183" s="19"/>
      <c r="D1183" s="19"/>
      <c r="E1183" s="19"/>
      <c r="F1183" s="19"/>
      <c r="G1183" s="19"/>
      <c r="H1183" s="19"/>
      <c r="I1183" s="8"/>
    </row>
    <row r="1184" spans="1:9" x14ac:dyDescent="0.2">
      <c r="A1184" s="22"/>
      <c r="B1184" s="22"/>
      <c r="C1184" s="19"/>
      <c r="D1184" s="19"/>
      <c r="E1184" s="19"/>
      <c r="F1184" s="19"/>
      <c r="G1184" s="19"/>
      <c r="H1184" s="19"/>
      <c r="I1184" s="8"/>
    </row>
    <row r="1185" spans="1:9" x14ac:dyDescent="0.2">
      <c r="A1185" s="22"/>
      <c r="B1185" s="22"/>
      <c r="C1185" s="19"/>
      <c r="D1185" s="19"/>
      <c r="E1185" s="19"/>
      <c r="F1185" s="19"/>
      <c r="G1185" s="19"/>
      <c r="H1185" s="19"/>
      <c r="I1185" s="8"/>
    </row>
    <row r="1186" spans="1:9" x14ac:dyDescent="0.2">
      <c r="A1186" s="22"/>
      <c r="B1186" s="22"/>
      <c r="C1186" s="19"/>
      <c r="D1186" s="19"/>
      <c r="E1186" s="19"/>
      <c r="F1186" s="19"/>
      <c r="G1186" s="19"/>
      <c r="H1186" s="19"/>
      <c r="I1186" s="8"/>
    </row>
    <row r="1187" spans="1:9" x14ac:dyDescent="0.2">
      <c r="A1187" s="22"/>
      <c r="B1187" s="22"/>
      <c r="C1187" s="19"/>
      <c r="D1187" s="19"/>
      <c r="E1187" s="19"/>
      <c r="F1187" s="19"/>
      <c r="G1187" s="19"/>
      <c r="H1187" s="19"/>
      <c r="I1187" s="8"/>
    </row>
    <row r="1188" spans="1:9" x14ac:dyDescent="0.2">
      <c r="A1188" s="22"/>
      <c r="B1188" s="22"/>
      <c r="C1188" s="19"/>
      <c r="D1188" s="19"/>
      <c r="E1188" s="19"/>
      <c r="F1188" s="19"/>
      <c r="G1188" s="19"/>
      <c r="H1188" s="19"/>
      <c r="I1188" s="8"/>
    </row>
    <row r="1189" spans="1:9" x14ac:dyDescent="0.2">
      <c r="A1189" s="22"/>
      <c r="B1189" s="22"/>
      <c r="C1189" s="19"/>
      <c r="D1189" s="19"/>
      <c r="E1189" s="19"/>
      <c r="F1189" s="19"/>
      <c r="G1189" s="19"/>
      <c r="H1189" s="19"/>
      <c r="I1189" s="8"/>
    </row>
    <row r="1190" spans="1:9" x14ac:dyDescent="0.2">
      <c r="A1190" s="22"/>
      <c r="B1190" s="22"/>
      <c r="C1190" s="19"/>
      <c r="D1190" s="19"/>
      <c r="E1190" s="19"/>
      <c r="F1190" s="19"/>
      <c r="G1190" s="19"/>
      <c r="H1190" s="19"/>
      <c r="I1190" s="8"/>
    </row>
    <row r="1191" spans="1:9" x14ac:dyDescent="0.2">
      <c r="A1191" s="22"/>
      <c r="B1191" s="22"/>
      <c r="C1191" s="19"/>
      <c r="D1191" s="19"/>
      <c r="E1191" s="19"/>
      <c r="F1191" s="19"/>
      <c r="G1191" s="19"/>
      <c r="H1191" s="19"/>
      <c r="I1191" s="8"/>
    </row>
    <row r="1192" spans="1:9" x14ac:dyDescent="0.2">
      <c r="A1192" s="22"/>
      <c r="B1192" s="22"/>
      <c r="C1192" s="19"/>
      <c r="D1192" s="19"/>
      <c r="E1192" s="19"/>
      <c r="F1192" s="19"/>
      <c r="G1192" s="19"/>
      <c r="H1192" s="19"/>
      <c r="I1192" s="8"/>
    </row>
    <row r="1193" spans="1:9" x14ac:dyDescent="0.2">
      <c r="A1193" s="22"/>
      <c r="B1193" s="22"/>
      <c r="C1193" s="19"/>
      <c r="D1193" s="19"/>
      <c r="E1193" s="19"/>
      <c r="F1193" s="19"/>
      <c r="G1193" s="19"/>
      <c r="H1193" s="19"/>
      <c r="I1193" s="8"/>
    </row>
    <row r="1194" spans="1:9" x14ac:dyDescent="0.2">
      <c r="A1194" s="22"/>
      <c r="B1194" s="22"/>
      <c r="C1194" s="19"/>
      <c r="D1194" s="19"/>
      <c r="E1194" s="19"/>
      <c r="F1194" s="19"/>
      <c r="G1194" s="19"/>
      <c r="H1194" s="19"/>
      <c r="I1194" s="8"/>
    </row>
    <row r="1195" spans="1:9" x14ac:dyDescent="0.2">
      <c r="A1195" s="22"/>
      <c r="B1195" s="22"/>
      <c r="C1195" s="19"/>
      <c r="D1195" s="19"/>
      <c r="E1195" s="19"/>
      <c r="F1195" s="19"/>
      <c r="G1195" s="19"/>
      <c r="H1195" s="19"/>
      <c r="I1195" s="8"/>
    </row>
    <row r="1196" spans="1:9" x14ac:dyDescent="0.2">
      <c r="A1196" s="22"/>
      <c r="B1196" s="22"/>
      <c r="C1196" s="19"/>
      <c r="D1196" s="19"/>
      <c r="E1196" s="19"/>
      <c r="F1196" s="19"/>
      <c r="G1196" s="19"/>
      <c r="H1196" s="19"/>
      <c r="I1196" s="8"/>
    </row>
    <row r="1197" spans="1:9" x14ac:dyDescent="0.2">
      <c r="A1197" s="22"/>
      <c r="B1197" s="22"/>
      <c r="C1197" s="19"/>
      <c r="D1197" s="19"/>
      <c r="E1197" s="19"/>
      <c r="F1197" s="19"/>
      <c r="G1197" s="19"/>
      <c r="H1197" s="19"/>
      <c r="I1197" s="8"/>
    </row>
    <row r="1198" spans="1:9" x14ac:dyDescent="0.2">
      <c r="A1198" s="22"/>
      <c r="B1198" s="22"/>
      <c r="C1198" s="19"/>
      <c r="D1198" s="19"/>
      <c r="E1198" s="19"/>
      <c r="F1198" s="19"/>
      <c r="G1198" s="19"/>
      <c r="H1198" s="19"/>
      <c r="I1198" s="8"/>
    </row>
    <row r="1199" spans="1:9" x14ac:dyDescent="0.2">
      <c r="A1199" s="22"/>
      <c r="B1199" s="22"/>
      <c r="C1199" s="19"/>
      <c r="D1199" s="19"/>
      <c r="E1199" s="19"/>
      <c r="F1199" s="19"/>
      <c r="G1199" s="19"/>
      <c r="H1199" s="19"/>
      <c r="I1199" s="8"/>
    </row>
    <row r="1200" spans="1:9" x14ac:dyDescent="0.2">
      <c r="A1200" s="22"/>
      <c r="B1200" s="22"/>
      <c r="C1200" s="19"/>
      <c r="D1200" s="19"/>
      <c r="E1200" s="19"/>
      <c r="F1200" s="19"/>
      <c r="G1200" s="19"/>
      <c r="H1200" s="19"/>
      <c r="I1200" s="8"/>
    </row>
    <row r="1201" spans="1:9" x14ac:dyDescent="0.2">
      <c r="A1201" s="22"/>
      <c r="B1201" s="22"/>
      <c r="C1201" s="19"/>
      <c r="D1201" s="19"/>
      <c r="E1201" s="19"/>
      <c r="F1201" s="19"/>
      <c r="G1201" s="19"/>
      <c r="H1201" s="19"/>
      <c r="I1201" s="8"/>
    </row>
    <row r="1202" spans="1:9" x14ac:dyDescent="0.2">
      <c r="A1202" s="22"/>
      <c r="B1202" s="22"/>
      <c r="C1202" s="19"/>
      <c r="D1202" s="19"/>
      <c r="E1202" s="19"/>
      <c r="F1202" s="19"/>
      <c r="G1202" s="19"/>
      <c r="H1202" s="19"/>
      <c r="I1202" s="8"/>
    </row>
    <row r="1203" spans="1:9" x14ac:dyDescent="0.2">
      <c r="A1203" s="22"/>
      <c r="B1203" s="22"/>
      <c r="C1203" s="19"/>
      <c r="D1203" s="19"/>
      <c r="E1203" s="19"/>
      <c r="F1203" s="19"/>
      <c r="G1203" s="19"/>
      <c r="H1203" s="19"/>
      <c r="I1203" s="8"/>
    </row>
    <row r="1204" spans="1:9" x14ac:dyDescent="0.2">
      <c r="A1204" s="22"/>
      <c r="B1204" s="22"/>
      <c r="C1204" s="19"/>
      <c r="D1204" s="19"/>
      <c r="E1204" s="19"/>
      <c r="F1204" s="19"/>
      <c r="G1204" s="19"/>
      <c r="H1204" s="19"/>
      <c r="I1204" s="8"/>
    </row>
    <row r="1205" spans="1:9" x14ac:dyDescent="0.2">
      <c r="A1205" s="22"/>
      <c r="B1205" s="22"/>
      <c r="C1205" s="19"/>
      <c r="D1205" s="19"/>
      <c r="E1205" s="19"/>
      <c r="F1205" s="19"/>
      <c r="G1205" s="19"/>
      <c r="H1205" s="19"/>
      <c r="I1205" s="8"/>
    </row>
    <row r="1206" spans="1:9" x14ac:dyDescent="0.2">
      <c r="A1206" s="22"/>
      <c r="B1206" s="22"/>
      <c r="C1206" s="19"/>
      <c r="D1206" s="19"/>
      <c r="E1206" s="19"/>
      <c r="F1206" s="19"/>
      <c r="G1206" s="19"/>
      <c r="H1206" s="19"/>
      <c r="I1206" s="8"/>
    </row>
    <row r="1207" spans="1:9" x14ac:dyDescent="0.2">
      <c r="A1207" s="22"/>
      <c r="B1207" s="22"/>
      <c r="C1207" s="19"/>
      <c r="D1207" s="19"/>
      <c r="E1207" s="19"/>
      <c r="F1207" s="19"/>
      <c r="G1207" s="19"/>
      <c r="H1207" s="19"/>
      <c r="I1207" s="8"/>
    </row>
    <row r="1208" spans="1:9" x14ac:dyDescent="0.2">
      <c r="A1208" s="22"/>
      <c r="B1208" s="22"/>
      <c r="C1208" s="19"/>
      <c r="D1208" s="19"/>
      <c r="E1208" s="19"/>
      <c r="F1208" s="19"/>
      <c r="G1208" s="19"/>
      <c r="H1208" s="19"/>
      <c r="I1208" s="8"/>
    </row>
    <row r="1209" spans="1:9" x14ac:dyDescent="0.2">
      <c r="A1209" s="22"/>
      <c r="B1209" s="22"/>
      <c r="C1209" s="19"/>
      <c r="D1209" s="19"/>
      <c r="E1209" s="19"/>
      <c r="F1209" s="19"/>
      <c r="G1209" s="19"/>
      <c r="H1209" s="19"/>
      <c r="I1209" s="8"/>
    </row>
    <row r="1210" spans="1:9" x14ac:dyDescent="0.2">
      <c r="A1210" s="22"/>
      <c r="B1210" s="22"/>
      <c r="C1210" s="19"/>
      <c r="D1210" s="19"/>
      <c r="E1210" s="19"/>
      <c r="F1210" s="19"/>
      <c r="G1210" s="19"/>
      <c r="H1210" s="19"/>
      <c r="I1210" s="8"/>
    </row>
    <row r="1211" spans="1:9" x14ac:dyDescent="0.2">
      <c r="A1211" s="22"/>
      <c r="B1211" s="22"/>
      <c r="C1211" s="19"/>
      <c r="D1211" s="19"/>
      <c r="E1211" s="19"/>
      <c r="F1211" s="19"/>
      <c r="G1211" s="19"/>
      <c r="H1211" s="19"/>
      <c r="I1211" s="8"/>
    </row>
    <row r="1212" spans="1:9" x14ac:dyDescent="0.2">
      <c r="A1212" s="22"/>
      <c r="B1212" s="22"/>
      <c r="C1212" s="19"/>
      <c r="D1212" s="19"/>
      <c r="E1212" s="19"/>
      <c r="F1212" s="19"/>
      <c r="G1212" s="19"/>
      <c r="H1212" s="19"/>
      <c r="I1212" s="8"/>
    </row>
    <row r="1213" spans="1:9" x14ac:dyDescent="0.2">
      <c r="A1213" s="22"/>
      <c r="B1213" s="22"/>
      <c r="C1213" s="19"/>
      <c r="D1213" s="19"/>
      <c r="E1213" s="19"/>
      <c r="F1213" s="19"/>
      <c r="G1213" s="19"/>
      <c r="H1213" s="19"/>
      <c r="I1213" s="8"/>
    </row>
    <row r="1214" spans="1:9" x14ac:dyDescent="0.2">
      <c r="A1214" s="22"/>
      <c r="B1214" s="22"/>
      <c r="C1214" s="19"/>
      <c r="D1214" s="19"/>
      <c r="E1214" s="19"/>
      <c r="F1214" s="19"/>
      <c r="G1214" s="19"/>
      <c r="H1214" s="19"/>
      <c r="I1214" s="8"/>
    </row>
    <row r="1215" spans="1:9" x14ac:dyDescent="0.2">
      <c r="A1215" s="22"/>
      <c r="B1215" s="22"/>
      <c r="C1215" s="19"/>
      <c r="D1215" s="19"/>
      <c r="E1215" s="19"/>
      <c r="F1215" s="19"/>
      <c r="G1215" s="19"/>
      <c r="H1215" s="19"/>
      <c r="I1215" s="8"/>
    </row>
    <row r="1216" spans="1:9" x14ac:dyDescent="0.2">
      <c r="A1216" s="22"/>
      <c r="B1216" s="22"/>
      <c r="C1216" s="19"/>
      <c r="D1216" s="19"/>
      <c r="E1216" s="19"/>
      <c r="F1216" s="19"/>
      <c r="G1216" s="19"/>
      <c r="H1216" s="19"/>
      <c r="I1216" s="8"/>
    </row>
    <row r="1217" spans="1:9" x14ac:dyDescent="0.2">
      <c r="A1217" s="22"/>
      <c r="B1217" s="22"/>
      <c r="C1217" s="19"/>
      <c r="D1217" s="19"/>
      <c r="E1217" s="19"/>
      <c r="F1217" s="19"/>
      <c r="G1217" s="19"/>
      <c r="H1217" s="19"/>
      <c r="I1217" s="8"/>
    </row>
    <row r="1218" spans="1:9" x14ac:dyDescent="0.2">
      <c r="A1218" s="22"/>
      <c r="B1218" s="22"/>
      <c r="C1218" s="19"/>
      <c r="D1218" s="19"/>
      <c r="E1218" s="19"/>
      <c r="F1218" s="19"/>
      <c r="G1218" s="19"/>
      <c r="H1218" s="19"/>
      <c r="I1218" s="8"/>
    </row>
    <row r="1219" spans="1:9" x14ac:dyDescent="0.2">
      <c r="A1219" s="22"/>
      <c r="B1219" s="22"/>
      <c r="C1219" s="19"/>
      <c r="D1219" s="19"/>
      <c r="E1219" s="19"/>
      <c r="F1219" s="19"/>
      <c r="G1219" s="19"/>
      <c r="H1219" s="19"/>
      <c r="I1219" s="8"/>
    </row>
    <row r="1220" spans="1:9" x14ac:dyDescent="0.2">
      <c r="A1220" s="22"/>
      <c r="B1220" s="22"/>
      <c r="C1220" s="19"/>
      <c r="D1220" s="19"/>
      <c r="E1220" s="19"/>
      <c r="F1220" s="19"/>
      <c r="G1220" s="19"/>
      <c r="H1220" s="19"/>
      <c r="I1220" s="8"/>
    </row>
    <row r="1221" spans="1:9" x14ac:dyDescent="0.2">
      <c r="A1221" s="22"/>
      <c r="B1221" s="22"/>
      <c r="C1221" s="19"/>
      <c r="D1221" s="19"/>
      <c r="E1221" s="19"/>
      <c r="F1221" s="19"/>
      <c r="G1221" s="19"/>
      <c r="H1221" s="19"/>
      <c r="I1221" s="8"/>
    </row>
    <row r="1222" spans="1:9" x14ac:dyDescent="0.2">
      <c r="A1222" s="22"/>
      <c r="B1222" s="22"/>
      <c r="C1222" s="19"/>
      <c r="D1222" s="19"/>
      <c r="E1222" s="19"/>
      <c r="F1222" s="19"/>
      <c r="G1222" s="19"/>
      <c r="H1222" s="19"/>
      <c r="I1222" s="8"/>
    </row>
    <row r="1223" spans="1:9" x14ac:dyDescent="0.2">
      <c r="A1223" s="22"/>
      <c r="B1223" s="22"/>
      <c r="C1223" s="19"/>
      <c r="D1223" s="19"/>
      <c r="E1223" s="19"/>
      <c r="F1223" s="19"/>
      <c r="G1223" s="19"/>
      <c r="H1223" s="19"/>
      <c r="I1223" s="8"/>
    </row>
    <row r="1224" spans="1:9" x14ac:dyDescent="0.2">
      <c r="A1224" s="22"/>
      <c r="B1224" s="22"/>
      <c r="C1224" s="19"/>
      <c r="D1224" s="19"/>
      <c r="E1224" s="19"/>
      <c r="F1224" s="19"/>
      <c r="G1224" s="19"/>
      <c r="H1224" s="19"/>
      <c r="I1224" s="8"/>
    </row>
    <row r="1225" spans="1:9" x14ac:dyDescent="0.2">
      <c r="A1225" s="22"/>
      <c r="B1225" s="22"/>
      <c r="C1225" s="19"/>
      <c r="D1225" s="19"/>
      <c r="E1225" s="19"/>
      <c r="F1225" s="19"/>
      <c r="G1225" s="19"/>
      <c r="H1225" s="19"/>
      <c r="I1225" s="8"/>
    </row>
    <row r="1226" spans="1:9" x14ac:dyDescent="0.2">
      <c r="A1226" s="22"/>
      <c r="B1226" s="22"/>
      <c r="C1226" s="19"/>
      <c r="D1226" s="19"/>
      <c r="E1226" s="19"/>
      <c r="F1226" s="19"/>
      <c r="G1226" s="19"/>
      <c r="H1226" s="19"/>
      <c r="I1226" s="8"/>
    </row>
    <row r="1227" spans="1:9" x14ac:dyDescent="0.2">
      <c r="A1227" s="22"/>
      <c r="B1227" s="22"/>
      <c r="C1227" s="19"/>
      <c r="D1227" s="19"/>
      <c r="E1227" s="19"/>
      <c r="F1227" s="19"/>
      <c r="G1227" s="19"/>
      <c r="H1227" s="19"/>
      <c r="I1227" s="8"/>
    </row>
    <row r="1228" spans="1:9" x14ac:dyDescent="0.2">
      <c r="A1228" s="22"/>
      <c r="B1228" s="22"/>
      <c r="C1228" s="19"/>
      <c r="D1228" s="19"/>
      <c r="E1228" s="19"/>
      <c r="F1228" s="19"/>
      <c r="G1228" s="19"/>
      <c r="H1228" s="19"/>
      <c r="I1228" s="8"/>
    </row>
    <row r="1229" spans="1:9" x14ac:dyDescent="0.2">
      <c r="A1229" s="22"/>
      <c r="B1229" s="22"/>
      <c r="C1229" s="19"/>
      <c r="D1229" s="19"/>
      <c r="E1229" s="19"/>
      <c r="F1229" s="19"/>
      <c r="G1229" s="19"/>
      <c r="H1229" s="19"/>
      <c r="I1229" s="8"/>
    </row>
    <row r="1230" spans="1:9" x14ac:dyDescent="0.2">
      <c r="A1230" s="22"/>
      <c r="B1230" s="22"/>
      <c r="C1230" s="19"/>
      <c r="D1230" s="19"/>
      <c r="E1230" s="19"/>
      <c r="F1230" s="19"/>
      <c r="G1230" s="19"/>
      <c r="H1230" s="19"/>
      <c r="I1230" s="8"/>
    </row>
    <row r="1231" spans="1:9" x14ac:dyDescent="0.2">
      <c r="A1231" s="22"/>
      <c r="B1231" s="22"/>
      <c r="C1231" s="19"/>
      <c r="D1231" s="19"/>
      <c r="E1231" s="19"/>
      <c r="F1231" s="19"/>
      <c r="G1231" s="19"/>
      <c r="H1231" s="19"/>
      <c r="I1231" s="8"/>
    </row>
    <row r="1232" spans="1:9" x14ac:dyDescent="0.2">
      <c r="A1232" s="22"/>
      <c r="B1232" s="22"/>
      <c r="C1232" s="19"/>
      <c r="D1232" s="19"/>
      <c r="E1232" s="19"/>
      <c r="F1232" s="19"/>
      <c r="G1232" s="19"/>
      <c r="H1232" s="19"/>
      <c r="I1232" s="8"/>
    </row>
    <row r="1233" spans="1:9" x14ac:dyDescent="0.2">
      <c r="A1233" s="22"/>
      <c r="B1233" s="22"/>
      <c r="C1233" s="19"/>
      <c r="D1233" s="19"/>
      <c r="E1233" s="19"/>
      <c r="F1233" s="19"/>
      <c r="G1233" s="19"/>
      <c r="H1233" s="19"/>
      <c r="I1233" s="8"/>
    </row>
    <row r="1234" spans="1:9" x14ac:dyDescent="0.2">
      <c r="A1234" s="22"/>
      <c r="B1234" s="22"/>
      <c r="C1234" s="19"/>
      <c r="D1234" s="19"/>
      <c r="E1234" s="19"/>
      <c r="F1234" s="19"/>
      <c r="G1234" s="19"/>
      <c r="H1234" s="19"/>
      <c r="I1234" s="8"/>
    </row>
    <row r="1235" spans="1:9" x14ac:dyDescent="0.2">
      <c r="A1235" s="22"/>
      <c r="B1235" s="22"/>
      <c r="C1235" s="19"/>
      <c r="D1235" s="19"/>
      <c r="E1235" s="19"/>
      <c r="F1235" s="19"/>
      <c r="G1235" s="19"/>
      <c r="H1235" s="19"/>
      <c r="I1235" s="8"/>
    </row>
    <row r="1236" spans="1:9" x14ac:dyDescent="0.2">
      <c r="A1236" s="22"/>
      <c r="B1236" s="22"/>
      <c r="C1236" s="19"/>
      <c r="D1236" s="19"/>
      <c r="E1236" s="19"/>
      <c r="F1236" s="19"/>
      <c r="G1236" s="19"/>
      <c r="H1236" s="19"/>
      <c r="I1236" s="8"/>
    </row>
    <row r="1237" spans="1:9" x14ac:dyDescent="0.2">
      <c r="A1237" s="22"/>
      <c r="B1237" s="22"/>
      <c r="C1237" s="19"/>
      <c r="D1237" s="19"/>
      <c r="E1237" s="19"/>
      <c r="F1237" s="19"/>
      <c r="G1237" s="19"/>
      <c r="H1237" s="19"/>
      <c r="I1237" s="8"/>
    </row>
    <row r="1238" spans="1:9" x14ac:dyDescent="0.2">
      <c r="A1238" s="22"/>
      <c r="B1238" s="22"/>
      <c r="C1238" s="19"/>
      <c r="D1238" s="19"/>
      <c r="E1238" s="19"/>
      <c r="F1238" s="19"/>
      <c r="G1238" s="19"/>
      <c r="H1238" s="19"/>
      <c r="I1238" s="8"/>
    </row>
    <row r="1239" spans="1:9" x14ac:dyDescent="0.2">
      <c r="A1239" s="22"/>
      <c r="B1239" s="22"/>
      <c r="C1239" s="19"/>
      <c r="D1239" s="19"/>
      <c r="E1239" s="19"/>
      <c r="F1239" s="19"/>
      <c r="G1239" s="19"/>
      <c r="H1239" s="19"/>
      <c r="I1239" s="8"/>
    </row>
    <row r="1240" spans="1:9" x14ac:dyDescent="0.2">
      <c r="A1240" s="22"/>
      <c r="B1240" s="22"/>
      <c r="C1240" s="19"/>
      <c r="D1240" s="19"/>
      <c r="E1240" s="19"/>
      <c r="F1240" s="19"/>
      <c r="G1240" s="19"/>
      <c r="H1240" s="19"/>
      <c r="I1240" s="8"/>
    </row>
    <row r="1241" spans="1:9" x14ac:dyDescent="0.2">
      <c r="A1241" s="22"/>
      <c r="B1241" s="22"/>
      <c r="C1241" s="19"/>
      <c r="D1241" s="19"/>
      <c r="E1241" s="19"/>
      <c r="F1241" s="19"/>
      <c r="G1241" s="19"/>
      <c r="H1241" s="19"/>
      <c r="I1241" s="8"/>
    </row>
    <row r="1242" spans="1:9" x14ac:dyDescent="0.2">
      <c r="A1242" s="22"/>
      <c r="B1242" s="22"/>
      <c r="C1242" s="19"/>
      <c r="D1242" s="19"/>
      <c r="E1242" s="19"/>
      <c r="F1242" s="19"/>
      <c r="G1242" s="19"/>
      <c r="H1242" s="19"/>
      <c r="I1242" s="8"/>
    </row>
    <row r="1243" spans="1:9" x14ac:dyDescent="0.2">
      <c r="A1243" s="22"/>
      <c r="B1243" s="22"/>
      <c r="C1243" s="19"/>
      <c r="D1243" s="19"/>
      <c r="E1243" s="19"/>
      <c r="F1243" s="19"/>
      <c r="G1243" s="19"/>
      <c r="H1243" s="19"/>
      <c r="I1243" s="8"/>
    </row>
    <row r="1244" spans="1:9" x14ac:dyDescent="0.2">
      <c r="A1244" s="22"/>
      <c r="B1244" s="22"/>
      <c r="C1244" s="19"/>
      <c r="D1244" s="19"/>
      <c r="E1244" s="19"/>
      <c r="F1244" s="19"/>
      <c r="G1244" s="19"/>
      <c r="H1244" s="19"/>
      <c r="I1244" s="8"/>
    </row>
    <row r="1245" spans="1:9" x14ac:dyDescent="0.2">
      <c r="A1245" s="22"/>
      <c r="B1245" s="22"/>
      <c r="C1245" s="19"/>
      <c r="D1245" s="19"/>
      <c r="E1245" s="19"/>
      <c r="F1245" s="19"/>
      <c r="G1245" s="19"/>
      <c r="H1245" s="19"/>
      <c r="I1245" s="8"/>
    </row>
    <row r="1246" spans="1:9" x14ac:dyDescent="0.2">
      <c r="A1246" s="22"/>
      <c r="B1246" s="22"/>
      <c r="C1246" s="19"/>
      <c r="D1246" s="19"/>
      <c r="E1246" s="19"/>
      <c r="F1246" s="19"/>
      <c r="G1246" s="19"/>
      <c r="H1246" s="19"/>
      <c r="I1246" s="8"/>
    </row>
    <row r="1247" spans="1:9" x14ac:dyDescent="0.2">
      <c r="A1247" s="22"/>
      <c r="B1247" s="22"/>
      <c r="C1247" s="19"/>
      <c r="D1247" s="19"/>
      <c r="E1247" s="19"/>
      <c r="F1247" s="19"/>
      <c r="G1247" s="19"/>
      <c r="H1247" s="19"/>
      <c r="I1247" s="8"/>
    </row>
    <row r="1248" spans="1:9" x14ac:dyDescent="0.2">
      <c r="A1248" s="22"/>
      <c r="B1248" s="22"/>
      <c r="C1248" s="19"/>
      <c r="D1248" s="19"/>
      <c r="E1248" s="19"/>
      <c r="F1248" s="19"/>
      <c r="G1248" s="19"/>
      <c r="H1248" s="19"/>
      <c r="I1248" s="8"/>
    </row>
    <row r="1249" spans="1:9" x14ac:dyDescent="0.2">
      <c r="A1249" s="22"/>
      <c r="B1249" s="22"/>
      <c r="C1249" s="19"/>
      <c r="D1249" s="19"/>
      <c r="E1249" s="19"/>
      <c r="F1249" s="19"/>
      <c r="G1249" s="19"/>
      <c r="H1249" s="19"/>
      <c r="I1249" s="8"/>
    </row>
    <row r="1250" spans="1:9" x14ac:dyDescent="0.2">
      <c r="A1250" s="22"/>
      <c r="B1250" s="22"/>
      <c r="C1250" s="19"/>
      <c r="D1250" s="19"/>
      <c r="E1250" s="19"/>
      <c r="F1250" s="19"/>
      <c r="G1250" s="19"/>
      <c r="H1250" s="19"/>
      <c r="I1250" s="8"/>
    </row>
    <row r="1251" spans="1:9" x14ac:dyDescent="0.2">
      <c r="A1251" s="22"/>
      <c r="B1251" s="22"/>
      <c r="C1251" s="19"/>
      <c r="D1251" s="19"/>
      <c r="E1251" s="19"/>
      <c r="F1251" s="19"/>
      <c r="G1251" s="19"/>
      <c r="H1251" s="19"/>
      <c r="I1251" s="8"/>
    </row>
    <row r="1252" spans="1:9" x14ac:dyDescent="0.2">
      <c r="A1252" s="22"/>
      <c r="B1252" s="22"/>
      <c r="C1252" s="19"/>
      <c r="D1252" s="19"/>
      <c r="E1252" s="19"/>
      <c r="F1252" s="19"/>
      <c r="G1252" s="19"/>
      <c r="H1252" s="19"/>
      <c r="I1252" s="8"/>
    </row>
    <row r="1253" spans="1:9" x14ac:dyDescent="0.2">
      <c r="A1253" s="22"/>
      <c r="B1253" s="22"/>
      <c r="C1253" s="19"/>
      <c r="D1253" s="19"/>
      <c r="E1253" s="19"/>
      <c r="F1253" s="19"/>
      <c r="G1253" s="19"/>
      <c r="H1253" s="19"/>
      <c r="I1253" s="8"/>
    </row>
    <row r="1254" spans="1:9" x14ac:dyDescent="0.2">
      <c r="A1254" s="22"/>
      <c r="B1254" s="22"/>
      <c r="C1254" s="19"/>
      <c r="D1254" s="19"/>
      <c r="E1254" s="19"/>
      <c r="F1254" s="19"/>
      <c r="G1254" s="19"/>
      <c r="H1254" s="19"/>
      <c r="I1254" s="8"/>
    </row>
    <row r="1255" spans="1:9" x14ac:dyDescent="0.2">
      <c r="A1255" s="22"/>
      <c r="B1255" s="22"/>
      <c r="C1255" s="19"/>
      <c r="D1255" s="19"/>
      <c r="E1255" s="19"/>
      <c r="F1255" s="19"/>
      <c r="G1255" s="19"/>
      <c r="H1255" s="19"/>
      <c r="I1255" s="8"/>
    </row>
    <row r="1256" spans="1:9" x14ac:dyDescent="0.2">
      <c r="A1256" s="22"/>
      <c r="B1256" s="22"/>
      <c r="C1256" s="19"/>
      <c r="D1256" s="19"/>
      <c r="E1256" s="19"/>
      <c r="F1256" s="19"/>
      <c r="G1256" s="19"/>
      <c r="H1256" s="19"/>
      <c r="I1256" s="8"/>
    </row>
    <row r="1257" spans="1:9" x14ac:dyDescent="0.2">
      <c r="A1257" s="22"/>
      <c r="B1257" s="22"/>
      <c r="C1257" s="19"/>
      <c r="D1257" s="19"/>
      <c r="E1257" s="19"/>
      <c r="F1257" s="19"/>
      <c r="G1257" s="19"/>
      <c r="H1257" s="19"/>
      <c r="I1257" s="8"/>
    </row>
    <row r="1258" spans="1:9" x14ac:dyDescent="0.2">
      <c r="A1258" s="22"/>
      <c r="B1258" s="22"/>
      <c r="C1258" s="19"/>
      <c r="D1258" s="19"/>
      <c r="E1258" s="19"/>
      <c r="F1258" s="19"/>
      <c r="G1258" s="19"/>
      <c r="H1258" s="19"/>
      <c r="I1258" s="8"/>
    </row>
    <row r="1259" spans="1:9" x14ac:dyDescent="0.2">
      <c r="A1259" s="22"/>
      <c r="B1259" s="22"/>
      <c r="C1259" s="19"/>
      <c r="D1259" s="19"/>
      <c r="E1259" s="19"/>
      <c r="F1259" s="19"/>
      <c r="G1259" s="19"/>
      <c r="H1259" s="19"/>
      <c r="I1259" s="8"/>
    </row>
    <row r="1260" spans="1:9" x14ac:dyDescent="0.2">
      <c r="A1260" s="22"/>
      <c r="B1260" s="22"/>
      <c r="C1260" s="19"/>
      <c r="D1260" s="19"/>
      <c r="E1260" s="19"/>
      <c r="F1260" s="19"/>
      <c r="G1260" s="19"/>
      <c r="H1260" s="19"/>
      <c r="I1260" s="8"/>
    </row>
    <row r="1261" spans="1:9" x14ac:dyDescent="0.2">
      <c r="A1261" s="22"/>
      <c r="B1261" s="22"/>
      <c r="C1261" s="19"/>
      <c r="D1261" s="19"/>
      <c r="E1261" s="19"/>
      <c r="F1261" s="19"/>
      <c r="G1261" s="19"/>
      <c r="H1261" s="19"/>
      <c r="I1261" s="8"/>
    </row>
    <row r="1262" spans="1:9" x14ac:dyDescent="0.2">
      <c r="A1262" s="22"/>
      <c r="B1262" s="22"/>
      <c r="C1262" s="19"/>
      <c r="D1262" s="19"/>
      <c r="E1262" s="19"/>
      <c r="F1262" s="19"/>
      <c r="G1262" s="19"/>
      <c r="H1262" s="19"/>
      <c r="I1262" s="8"/>
    </row>
    <row r="1263" spans="1:9" x14ac:dyDescent="0.2">
      <c r="A1263" s="22"/>
      <c r="B1263" s="22"/>
      <c r="C1263" s="19"/>
      <c r="D1263" s="19"/>
      <c r="E1263" s="19"/>
      <c r="F1263" s="19"/>
      <c r="G1263" s="19"/>
      <c r="H1263" s="19"/>
      <c r="I1263" s="8"/>
    </row>
    <row r="1264" spans="1:9" x14ac:dyDescent="0.2">
      <c r="A1264" s="22"/>
      <c r="B1264" s="22"/>
      <c r="C1264" s="19"/>
      <c r="D1264" s="19"/>
      <c r="E1264" s="19"/>
      <c r="F1264" s="19"/>
      <c r="G1264" s="19"/>
      <c r="H1264" s="19"/>
      <c r="I1264" s="8"/>
    </row>
    <row r="1265" spans="1:9" x14ac:dyDescent="0.2">
      <c r="A1265" s="22"/>
      <c r="B1265" s="22"/>
      <c r="C1265" s="19"/>
      <c r="D1265" s="19"/>
      <c r="E1265" s="19"/>
      <c r="F1265" s="19"/>
      <c r="G1265" s="19"/>
      <c r="H1265" s="19"/>
      <c r="I1265" s="8"/>
    </row>
    <row r="1266" spans="1:9" x14ac:dyDescent="0.2">
      <c r="A1266" s="22"/>
      <c r="B1266" s="22"/>
      <c r="C1266" s="19"/>
      <c r="D1266" s="19"/>
      <c r="E1266" s="19"/>
      <c r="F1266" s="19"/>
      <c r="G1266" s="19"/>
      <c r="H1266" s="19"/>
      <c r="I1266" s="8"/>
    </row>
    <row r="1267" spans="1:9" x14ac:dyDescent="0.2">
      <c r="A1267" s="22"/>
      <c r="B1267" s="22"/>
      <c r="C1267" s="19"/>
      <c r="D1267" s="19"/>
      <c r="E1267" s="19"/>
      <c r="F1267" s="19"/>
      <c r="G1267" s="19"/>
      <c r="H1267" s="19"/>
      <c r="I1267" s="8"/>
    </row>
    <row r="1268" spans="1:9" x14ac:dyDescent="0.2">
      <c r="A1268" s="22"/>
      <c r="B1268" s="22"/>
      <c r="C1268" s="19"/>
      <c r="D1268" s="19"/>
      <c r="E1268" s="19"/>
      <c r="F1268" s="19"/>
      <c r="G1268" s="19"/>
      <c r="H1268" s="19"/>
      <c r="I1268" s="8"/>
    </row>
    <row r="1269" spans="1:9" x14ac:dyDescent="0.2">
      <c r="A1269" s="22"/>
      <c r="B1269" s="22"/>
      <c r="C1269" s="19"/>
      <c r="D1269" s="19"/>
      <c r="E1269" s="19"/>
      <c r="F1269" s="19"/>
      <c r="G1269" s="19"/>
      <c r="H1269" s="19"/>
      <c r="I1269" s="8"/>
    </row>
    <row r="1270" spans="1:9" x14ac:dyDescent="0.2">
      <c r="A1270" s="22"/>
      <c r="B1270" s="22"/>
      <c r="C1270" s="19"/>
      <c r="D1270" s="19"/>
      <c r="E1270" s="19"/>
      <c r="F1270" s="19"/>
      <c r="G1270" s="19"/>
      <c r="H1270" s="19"/>
      <c r="I1270" s="8"/>
    </row>
    <row r="1271" spans="1:9" x14ac:dyDescent="0.2">
      <c r="A1271" s="22"/>
      <c r="B1271" s="22"/>
      <c r="C1271" s="19"/>
      <c r="D1271" s="19"/>
      <c r="E1271" s="19"/>
      <c r="F1271" s="19"/>
      <c r="G1271" s="19"/>
      <c r="H1271" s="19"/>
      <c r="I1271" s="8"/>
    </row>
    <row r="1272" spans="1:9" x14ac:dyDescent="0.2">
      <c r="A1272" s="22"/>
      <c r="B1272" s="22"/>
      <c r="C1272" s="19"/>
      <c r="D1272" s="19"/>
      <c r="E1272" s="19"/>
      <c r="F1272" s="19"/>
      <c r="G1272" s="19"/>
      <c r="H1272" s="19"/>
      <c r="I1272" s="8"/>
    </row>
    <row r="1273" spans="1:9" x14ac:dyDescent="0.2">
      <c r="A1273" s="22"/>
      <c r="B1273" s="22"/>
      <c r="C1273" s="19"/>
      <c r="D1273" s="19"/>
      <c r="E1273" s="19"/>
      <c r="F1273" s="19"/>
      <c r="G1273" s="19"/>
      <c r="H1273" s="19"/>
      <c r="I1273" s="8"/>
    </row>
    <row r="1274" spans="1:9" x14ac:dyDescent="0.2">
      <c r="A1274" s="22"/>
      <c r="B1274" s="22"/>
      <c r="C1274" s="19"/>
      <c r="D1274" s="19"/>
      <c r="E1274" s="19"/>
      <c r="F1274" s="19"/>
      <c r="G1274" s="19"/>
      <c r="H1274" s="19"/>
      <c r="I1274" s="8"/>
    </row>
    <row r="1275" spans="1:9" x14ac:dyDescent="0.2">
      <c r="A1275" s="22"/>
      <c r="B1275" s="22"/>
      <c r="C1275" s="19"/>
      <c r="D1275" s="19"/>
      <c r="E1275" s="19"/>
      <c r="F1275" s="19"/>
      <c r="G1275" s="19"/>
      <c r="H1275" s="19"/>
      <c r="I127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filtered</vt:lpstr>
      <vt:lpstr>positive</vt:lpstr>
      <vt:lpstr>negative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Fariz Ikhwantri</cp:lastModifiedBy>
  <dcterms:created xsi:type="dcterms:W3CDTF">2025-12-20T20:43:44Z</dcterms:created>
  <dcterms:modified xsi:type="dcterms:W3CDTF">2026-07-14T20:27:57Z</dcterms:modified>
</cp:coreProperties>
</file>