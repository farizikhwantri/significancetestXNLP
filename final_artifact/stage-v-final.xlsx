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fariz/repositories/significancetestXNLP/output/"/>
    </mc:Choice>
  </mc:AlternateContent>
  <xr:revisionPtr revIDLastSave="0" documentId="13_ncr:1_{30AC8B43-F71A-3D4C-A66B-D7E231D7FB69}" xr6:coauthVersionLast="47" xr6:coauthVersionMax="47" xr10:uidLastSave="{00000000-0000-0000-0000-000000000000}"/>
  <bookViews>
    <workbookView xWindow="0" yWindow="660" windowWidth="30240" windowHeight="17080" xr2:uid="{00000000-000D-0000-FFFF-FFFF00000000}"/>
  </bookViews>
  <sheets>
    <sheet name="filtered" sheetId="1" r:id="rId1"/>
    <sheet name="positive" sheetId="4" r:id="rId2"/>
    <sheet name="positive_(prev_ver)" sheetId="2" r:id="rId3"/>
    <sheet name="negative" sheetId="3" r:id="rId4"/>
  </sheets>
  <definedNames>
    <definedName name="_xlnm._FilterDatabase" localSheetId="0" hidden="1">filtered!$A$1:$J$1402</definedName>
    <definedName name="_xlnm._FilterDatabase" localSheetId="2" hidden="1">'positive_(prev_ver)'!$A$1:$K$94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06" i="1" l="1"/>
  <c r="G129" i="4"/>
  <c r="J132" i="4"/>
  <c r="K132" i="4"/>
  <c r="L132" i="4"/>
  <c r="I132" i="4"/>
  <c r="J131" i="4"/>
  <c r="K131" i="4"/>
  <c r="L131" i="4"/>
  <c r="I131" i="4"/>
  <c r="G1461" i="1" l="1"/>
  <c r="D1469" i="1"/>
  <c r="D1468" i="1"/>
  <c r="D1467" i="1"/>
  <c r="G56" i="1"/>
  <c r="N100" i="2"/>
  <c r="O100" i="2"/>
  <c r="O99" i="2"/>
  <c r="N99" i="2"/>
  <c r="M99" i="2"/>
  <c r="M100" i="2" s="1"/>
  <c r="L99" i="2"/>
  <c r="L100" i="2" s="1"/>
  <c r="E1405" i="1"/>
  <c r="J1415" i="1"/>
  <c r="J1413" i="1"/>
  <c r="C1405" i="1"/>
  <c r="J1405" i="1"/>
  <c r="J1420" i="1"/>
  <c r="J1419" i="1"/>
  <c r="D1420" i="1"/>
  <c r="D1422" i="1"/>
  <c r="D1421" i="1"/>
  <c r="B1405" i="1"/>
  <c r="J1414" i="1"/>
  <c r="J1412" i="1"/>
  <c r="J1411" i="1"/>
  <c r="J1410" i="1"/>
  <c r="J1409" i="1"/>
  <c r="J1408" i="1"/>
  <c r="J1407" i="1"/>
  <c r="C1411" i="1"/>
  <c r="F1405" i="1"/>
  <c r="G1402" i="1"/>
  <c r="G1401" i="1"/>
  <c r="G1400"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G1360"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7" i="1"/>
  <c r="G526" i="1"/>
  <c r="G525" i="1"/>
  <c r="G524" i="1"/>
  <c r="G523" i="1"/>
  <c r="G522" i="1"/>
  <c r="G521"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9" i="1"/>
  <c r="G378" i="1"/>
  <c r="G377" i="1"/>
  <c r="G376" i="1"/>
  <c r="G375" i="1"/>
  <c r="G374" i="1"/>
  <c r="G373" i="1"/>
  <c r="G372" i="1"/>
  <c r="G371" i="1"/>
  <c r="G370" i="1"/>
  <c r="G369" i="1"/>
  <c r="G368" i="1"/>
  <c r="G367" i="1"/>
  <c r="G366" i="1"/>
  <c r="G365" i="1"/>
  <c r="G364" i="1"/>
  <c r="G363" i="1"/>
  <c r="G362" i="1"/>
  <c r="G361" i="1"/>
  <c r="G360" i="1"/>
  <c r="G359" i="1"/>
  <c r="G358" i="1"/>
  <c r="G357" i="1"/>
  <c r="G356" i="1"/>
  <c r="G355" i="1"/>
  <c r="G354" i="1"/>
  <c r="G353" i="1"/>
  <c r="G352" i="1"/>
  <c r="G351" i="1"/>
  <c r="G350" i="1"/>
  <c r="G349" i="1"/>
  <c r="G348"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315" i="1"/>
  <c r="G314" i="1"/>
  <c r="G313" i="1"/>
  <c r="G312" i="1"/>
  <c r="G311" i="1"/>
  <c r="G310" i="1"/>
  <c r="G309" i="1"/>
  <c r="G308" i="1"/>
  <c r="G307" i="1"/>
  <c r="G306" i="1"/>
  <c r="G305" i="1"/>
  <c r="G304" i="1"/>
  <c r="G303" i="1"/>
  <c r="G302" i="1"/>
  <c r="G301" i="1"/>
  <c r="G300" i="1"/>
  <c r="G299" i="1"/>
  <c r="G298" i="1"/>
  <c r="G297" i="1"/>
  <c r="G296" i="1"/>
  <c r="G295" i="1"/>
  <c r="G294" i="1"/>
  <c r="G293" i="1"/>
  <c r="G292" i="1"/>
  <c r="G291" i="1"/>
  <c r="G290" i="1"/>
  <c r="G289" i="1"/>
  <c r="G288" i="1"/>
  <c r="G287" i="1"/>
  <c r="G286" i="1"/>
  <c r="G285"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51" i="1"/>
  <c r="G250" i="1"/>
  <c r="G249" i="1"/>
  <c r="G248" i="1"/>
  <c r="G247" i="1"/>
  <c r="G246" i="1"/>
  <c r="G245" i="1"/>
  <c r="G244" i="1"/>
  <c r="G243" i="1"/>
  <c r="G242" i="1"/>
  <c r="G241" i="1"/>
  <c r="G240" i="1"/>
  <c r="G239" i="1"/>
  <c r="G238" i="1"/>
  <c r="G237" i="1"/>
  <c r="G236"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D1460" i="1" l="1"/>
  <c r="E1460" i="1" s="1"/>
  <c r="D1458" i="1"/>
  <c r="E1458" i="1" s="1"/>
  <c r="D1459" i="1"/>
  <c r="E1459" i="1" s="1"/>
  <c r="H1460" i="1"/>
  <c r="H1457" i="1"/>
  <c r="I1458" i="1"/>
  <c r="I1460" i="1"/>
  <c r="H1456" i="1"/>
  <c r="I1459" i="1"/>
  <c r="I1457" i="1"/>
  <c r="H1458" i="1"/>
  <c r="I1456" i="1"/>
  <c r="I1455" i="1"/>
  <c r="H1459" i="1"/>
  <c r="H1455" i="1"/>
  <c r="D1464" i="1"/>
  <c r="C1412" i="1"/>
  <c r="C1466" i="1"/>
  <c r="D1465" i="1"/>
  <c r="D1466" i="1"/>
  <c r="C1467" i="1"/>
  <c r="E1467" i="1" s="1"/>
  <c r="C1468" i="1"/>
  <c r="E1468" i="1" s="1"/>
  <c r="C1469" i="1"/>
  <c r="E1469" i="1" s="1"/>
  <c r="C1464" i="1"/>
  <c r="C1465" i="1"/>
  <c r="D1417" i="1"/>
  <c r="C1417" i="1"/>
  <c r="C1455" i="1" s="1"/>
  <c r="K1405" i="1"/>
  <c r="D1405" i="1"/>
  <c r="C1422" i="1"/>
  <c r="D1418" i="1"/>
  <c r="C1410" i="1"/>
  <c r="D1411" i="1" s="1"/>
  <c r="D1419" i="1"/>
  <c r="G1405" i="1"/>
  <c r="C1418" i="1"/>
  <c r="C1419" i="1"/>
  <c r="C1457" i="1" s="1"/>
  <c r="C1420" i="1"/>
  <c r="C1421" i="1"/>
  <c r="J1406" i="1"/>
  <c r="J1416" i="1"/>
  <c r="D1410" i="1"/>
  <c r="D1457" i="1" l="1"/>
  <c r="E1457" i="1" s="1"/>
  <c r="D1456" i="1"/>
  <c r="E1456" i="1" s="1"/>
  <c r="C1456" i="1"/>
  <c r="D1455" i="1"/>
  <c r="D1470" i="1"/>
  <c r="E1420" i="1"/>
  <c r="C1458" i="1"/>
  <c r="E1421" i="1"/>
  <c r="C1459" i="1"/>
  <c r="E1422" i="1"/>
  <c r="C1460" i="1"/>
  <c r="C1470" i="1"/>
  <c r="E1465" i="1"/>
  <c r="E1464" i="1"/>
  <c r="E1466" i="1"/>
  <c r="D1406" i="1"/>
  <c r="E1419" i="1"/>
  <c r="E1418" i="1"/>
  <c r="E1417" i="1"/>
  <c r="C1423" i="1"/>
  <c r="C1461" i="1" l="1"/>
  <c r="C1472" i="1" s="1"/>
  <c r="E1455" i="1"/>
  <c r="D1461" i="1"/>
  <c r="E1470" i="1"/>
  <c r="D1472" i="1" l="1"/>
  <c r="E1472" i="1" s="1"/>
  <c r="E1461" i="1"/>
</calcChain>
</file>

<file path=xl/sharedStrings.xml><?xml version="1.0" encoding="utf-8"?>
<sst xmlns="http://schemas.openxmlformats.org/spreadsheetml/2006/main" count="7640" uniqueCount="3394">
  <si>
    <t>id</t>
  </si>
  <si>
    <t>title</t>
  </si>
  <si>
    <t>has_explanation_evaluation</t>
  </si>
  <si>
    <t>has_significance_testing</t>
  </si>
  <si>
    <t>is_xai_interpretable</t>
  </si>
  <si>
    <t>checked</t>
  </si>
  <si>
    <t>verified</t>
  </si>
  <si>
    <t>notes</t>
  </si>
  <si>
    <t>Gemini</t>
  </si>
  <si>
    <t>main_venue_match</t>
  </si>
  <si>
    <t>yang-etal-2025-self</t>
  </si>
  <si>
    <t>Self-Rationalization in the Wild: A Large-scale Out-of-Distribution Evaluation on {NLI}-related tasks</t>
  </si>
  <si>
    <t>✔</t>
  </si>
  <si>
    <t>significant test only on correlation, no other significant test reported</t>
  </si>
  <si>
    <t>TACL</t>
  </si>
  <si>
    <t>liu-etal-2025-exploring</t>
  </si>
  <si>
    <t>Exploring Practical Gaps in Using Cross Entropy to Implement Maximum Mutual Information Criterion for Rationalization</t>
  </si>
  <si>
    <t>guo-etal-2025-lab</t>
  </si>
  <si>
    <t>{LAB}-{KG}: A Retrieval-Augmented Generation Method with Knowledge Graphs for Medical Lab Test Interpretation</t>
  </si>
  <si>
    <t>Illustrative, qualitative claims for RAG</t>
  </si>
  <si>
    <t>COLING</t>
  </si>
  <si>
    <t>tayyar-madabushi-etal-2025-generative</t>
  </si>
  <si>
    <t>Generative {F}rame{N}et: Scalable and Adaptive Frames for Interpretable Knowledge Storage and Retrieval for {LLM}s Powered by {LLM}s</t>
  </si>
  <si>
    <t>michel-etal-2025-evaluating</t>
  </si>
  <si>
    <t>Evaluating {LLM}s for Quotation Attribution in Literary Texts: A Case Study of {LL}a{M}a3</t>
  </si>
  <si>
    <t>LLMs memorization,  The authors calculated the correlation between quotation attribution accuracy and various metrics (Name-Cloze, CSG-Memorization, and CSG-Reasoning). Student's t-test (Top 5 vs. Bottom 5): Paired Student's t-test for Annotation Contamination:</t>
  </si>
  <si>
    <t>NAACL</t>
  </si>
  <si>
    <t>vladika-etal-2025-step</t>
  </si>
  <si>
    <t>Step-by-Step Fact Verification System for Medical Claims with Explainable Reasoning</t>
  </si>
  <si>
    <t>saakyan-etal-2025-understanding</t>
  </si>
  <si>
    <t>Understanding Figurative Meaning through Explainable Visual Entailment</t>
  </si>
  <si>
    <t xml:space="preserve"> "tests": [
  "paired bootstrap test",
  "Cohen’s κ"
 ],
 "p_values": [
  "p &lt; 0.03",
  "p &lt; 0.002",
  "p &lt; 0.05",
  "p &lt; 0.07",
  "p &lt; 0.1"
 ],
 "evidence": [
  "propose a new task framing the figurative meaning understanding problem as an explainable visual entailment task",
  "justify the predicted label with a textual explanation",
  "identify common types of errors in VLM reasoning (hallucination and incomplete or unsound reasoning) across classes of models via human evaluation."
 ],</t>
  </si>
  <si>
    <t>calderon-reichart-2025-behalf</t>
  </si>
  <si>
    <t>On Behalf of the Stakeholders: Trends in {NLP} Model Interpretability in the Era of {LLM}s</t>
  </si>
  <si>
    <t>Survey Paper</t>
  </si>
  <si>
    <t>wang-etal-2025-llms-convert</t>
  </si>
  <si>
    <t>Can {LLM}s Convert Graphs to Text-Attributed Graphs?</t>
  </si>
  <si>
    <t>gao-etal-2025-interpretable</t>
  </si>
  <si>
    <t>An Interpretable and Crosslingual Method for Evaluating Second-Language Dialogues</t>
  </si>
  <si>
    <t>tan-etal-2025-cascading</t>
  </si>
  <si>
    <t>Cascading Large Language Models for Salient Event Graph Generation</t>
  </si>
  <si>
    <t>lepori-etal-2025-racing</t>
  </si>
  <si>
    <t>Racing Thoughts: Explaining Contextualization Errors in Large Language Models</t>
  </si>
  <si>
    <t>mechanistic interpretability LLMs</t>
  </si>
  <si>
    <t>chen-etal-2025-benchmarking</t>
  </si>
  <si>
    <t>Benchmarking Large Language Models on Answering and Explaining Challenging Medical Questions</t>
  </si>
  <si>
    <t>There are human evaluation and correlation metrics computed. But no mention of p-value</t>
  </si>
  <si>
    <t>xing-etal-2025-evaluating</t>
  </si>
  <si>
    <t>Evaluating Evidence Attribution in Generated Fact Checking Explanations</t>
  </si>
  <si>
    <t>evidence attribution for fact-checking explanation generation. We introduce a novel evaluation protocol – citation masking and recovery – to assess attribution quality in generated explanations. (kind of perturbation or eraser metrics)</t>
  </si>
  <si>
    <t>howard-etal-2025-uncovering</t>
  </si>
  <si>
    <t>Uncovering Bias in Large Vision-Language Models at Scale with Counterfactuals</t>
  </si>
  <si>
    <t>Human/reference evaluation</t>
  </si>
  <si>
    <t>Convince Gemini</t>
  </si>
  <si>
    <t>li-etal-2025-mitigating-biases</t>
  </si>
  <si>
    <t>Mitigating Biases of Large Language Models in Stance Detection with Counterfactual Augmented Calibration</t>
  </si>
  <si>
    <t>has significant testing but not related to explanation evaluation</t>
  </si>
  <si>
    <t>wan-etal-2025-positional</t>
  </si>
  <si>
    <t>On Positional Bias of Faithfulness for Long-form Summarization</t>
  </si>
  <si>
    <t/>
  </si>
  <si>
    <t>wan-etal-2025-mamm</t>
  </si>
  <si>
    <t>{MAMM}-Refine: A Recipe for Improving Faithfulness in Generation with Multi-Agent Collaboration</t>
  </si>
  <si>
    <t>We also evaluate the explanations generated by the DETECT subtask as part of its chain-of-thought. To evaluate our approach, we adopt the methodology outlined by Wadhwa et al. (2024), which we further verify with human evaluations in Section C.1. Specifically, we prompt GPT-4o to assess whether the generated critique aligns with the human-written critique. Mention kendall but no p-value</t>
  </si>
  <si>
    <t>kim-etal-2025-llm</t>
  </si>
  <si>
    <t>{LLM}-guided Plan and Retrieval: A Strategic Alignment for Interpretable User Satisfaction Estimation in Dialogue</t>
  </si>
  <si>
    <t>lee-etal-2025-self</t>
  </si>
  <si>
    <t>Self-Training Meets Consistency: Improving {LLM}s' Reasoning with Consistency-Driven Rationale Evaluation</t>
  </si>
  <si>
    <t>menta-etal-2025-analyzing</t>
  </si>
  <si>
    <t>Analyzing Memorization in Large Language Models through the Lens of Model Attribution</t>
  </si>
  <si>
    <t>"investigate memorization from an architectural lens by analyzing how attention modules at different layers impact its memorization and generalization performance", "Using attribution techniques, we systematically intervene in the LLM’s architecture", "isolate the impact of specific attention modules on both memorization and generalization"</t>
  </si>
  <si>
    <t>yao-etal-2025-mcqg</t>
  </si>
  <si>
    <t>{MCQG}-{SR}efine: Multiple Choice Question Generation and Evaluation with Iterative Self-Critique, Correction, and Comparison Feedback</t>
  </si>
  <si>
    <t>The correlation between the LLM-as-Judge
and Expert-X across different aspect filtering methods. Measured by cohen kappa</t>
  </si>
  <si>
    <t>ranaldi-etal-2025-eliciting</t>
  </si>
  <si>
    <t>Eliciting Critical Reasoning in Retrieval-Augmented Generation via Contrastive Explanations</t>
  </si>
  <si>
    <t>being robust to perturbations in the retrieved documents</t>
  </si>
  <si>
    <t>golovanevsky-etal-2025-vlms</t>
  </si>
  <si>
    <t>What Do {VLM}s {NOTICE}? A Mechanistic Interpretability Pipeline for {G}aussian-Noise-free Text-Image Corruption and Evaluation</t>
  </si>
  <si>
    <t>Image Corruption: Semantic Image Pairs. Measuring Patching Effects. The most com-
mon ways of measuring patching effect are restoration probability and logit difference.</t>
  </si>
  <si>
    <t>yu-etal-2025-self</t>
  </si>
  <si>
    <t>Self-Generated Critiques Boost Reward Modeling for Language Models</t>
  </si>
  <si>
    <t>Critique Generation.  Instance-level Critique Filtering.</t>
  </si>
  <si>
    <t>koupaee-etal-2025-faithful</t>
  </si>
  <si>
    <t>Faithful, Unfaithful or Ambiguous? Multi-Agent Debate with Initial Stance for Summary Evaluation</t>
  </si>
  <si>
    <t>in detecting the correct labels for summaries, and Krippendorff alpha (K-alpha) (Krippendorff, 2011)</t>
  </si>
  <si>
    <t>teplica-etal-2025-sciurus</t>
  </si>
  <si>
    <t>{SCIUR}us: Shared Circuits for Interpretable Uncertainty Representations in Language Models</t>
  </si>
  <si>
    <t>We reject the null hypothesis with p &lt; 0.05 in 36 out of 38 cases, and p &lt; 0.0001 in 31 out of 38 cases.</t>
  </si>
  <si>
    <t>sohn-etal-2025-rationale</t>
  </si>
  <si>
    <t>Rationale-Guided Retrieval Augmented Generation for Medical Question Answering</t>
  </si>
  <si>
    <t>chen-zeng-2025-prototype</t>
  </si>
  <si>
    <t>Prototype Conditioned Generative Replay for Continual Learning in {NLP}</t>
  </si>
  <si>
    <t>yuan-etal-2025-cross</t>
  </si>
  <si>
    <t>Cross-Document Cross-Lingual {NLI} via {RST}-Enhanced Graph Fusion and Interpretability Prediction</t>
  </si>
  <si>
    <t>EMNLP</t>
  </si>
  <si>
    <t>staliunaite-vlachos-2025-dis2dis</t>
  </si>
  <si>
    <t>{D}is2{D}is: Explaining Ambiguity in Fact-Checking</t>
  </si>
  <si>
    <t>Table 8: The results of the T-test statistical significance test comparing different disambiguation methods.</t>
  </si>
  <si>
    <t>Findings</t>
  </si>
  <si>
    <t>qian-etal-2025-teaching</t>
  </si>
  <si>
    <t>Teaching Large Language Models Number-Focused Headline Generation With Key Element Rationales</t>
  </si>
  <si>
    <t>fekete-bjerva-2025-linguistically</t>
  </si>
  <si>
    <t>Linguistically Grounded Analysis of Language Models using Shapley Head Values</t>
  </si>
  <si>
    <t>T-Test on Pruning In- and Out-of-Cluster</t>
  </si>
  <si>
    <t>luo-etal-2025-faithfulpersona</t>
  </si>
  <si>
    <t>{F}aithful{P}ersona: Balancing Faithfulness and Personalization in Code Explanations through Self-Critique</t>
  </si>
  <si>
    <t>Human Evaluators evaluate explanations generated by GPT 3.5 on Usefulness, Clearness, and Understanding, assigning Likert scores from 1 (very poor) to 5 (excellent)</t>
  </si>
  <si>
    <t>pan-etal-2025-prototype</t>
  </si>
  <si>
    <t>Prototype Tuning: A Meta-Learning Approach for Few-Shot Document-Level Relation Extraction with Large Language Models</t>
  </si>
  <si>
    <t>muhamed-etal-2025-decoding</t>
  </si>
  <si>
    <t>Decoding Dark Matter: Specialized Sparse Autoencoders for Interpreting Rare Concepts in Foundation Models</t>
  </si>
  <si>
    <t>chang-etal-2025-safr</t>
  </si>
  <si>
    <t>{SAFR}: Neuron Redistribution for Interpretability</t>
  </si>
  <si>
    <t>To evaluate our method, we define an evaluation metric called Superposition
Regularization Score (SRS). By deleting the top k% of tokens based on capacity, SRS calculates the average change in the prediction accuracy over all test data as follows:</t>
  </si>
  <si>
    <t>singh-etal-2025-fidelity</t>
  </si>
  <si>
    <t>{FIDELITY}: Fine-grained Interpretable Distillation for Effective Language Insights and Topic Yielding</t>
  </si>
  <si>
    <t>sun-chen-2025-enhancing</t>
  </si>
  <si>
    <t>Enhancing the Prototype Network with Local-to-Global Optimization for Few-Shot Relation Extraction</t>
  </si>
  <si>
    <t>avitan-etal-2025-practical</t>
  </si>
  <si>
    <t>A Practical Method for Generating String Counterfactuals</t>
  </si>
  <si>
    <t>To quantitatively evaluate local changes induced by the counterfactual generation process, we analyze the words whose probabilities change the most between the
original and counterfactual sentences. Let c, c′ ∈ C be two concepts. In the case of concept erasure, Test results for readability, grammar, and gender specification tasks across LEACE MiMiC and MiMiC+
interventions. p-values above 0.05 in the binomial tests indicate no significant preference for the original text
over the counterfactual, suggesting that the interventions did not degrade text quality. p-values below 0.05 in the
chi-square tests indicate statistically significant differences in gender specification after the interventions.</t>
  </si>
  <si>
    <t>lu-etal-2025-tart</t>
  </si>
  <si>
    <t>{TART}: An Open-Source Tool-Augmented Framework for Explainable Table-based Reasoning</t>
  </si>
  <si>
    <t>silva-etal-2025-cdb</t>
  </si>
  <si>
    <t>{CDB}: A Unified Framework for Hope Speech Detection Through Counterfactual, Desire and Belief</t>
  </si>
  <si>
    <t>ye-etal-2025-improving</t>
  </si>
  <si>
    <t>Improving Reward Models with Synthetic Critiques</t>
  </si>
  <si>
    <t>We analyze the quality of the critiques generated by different models using metacritique scores proposed in Sun et al. (2024)</t>
  </si>
  <si>
    <t>jiao-etal-2025-feasibility</t>
  </si>
  <si>
    <t>On the Feasibility of In-Context Probing for Data Attribution</t>
  </si>
  <si>
    <t>chu-etal-2025-rationale</t>
  </si>
  <si>
    <t>Rationale Behind Essay Scores: Enhancing {S}-{LLM}{'}s Multi-Trait Essay Scoring with Rationale Generated by {LLM}s</t>
  </si>
  <si>
    <t>gai-etal-2025-medthink</t>
  </si>
  <si>
    <t>{M}ed{T}hink: A Rationale-Guided Framework for Explaining Medical Visual Question Answering</t>
  </si>
  <si>
    <t>jing-etal-2025-scale</t>
  </si>
  <si>
    <t>On A Scale From 1 to 5: Quantifying Hallucination in Faithfulness Evaluation</t>
  </si>
  <si>
    <t>bismay-etal-2025-reasoningrec</t>
  </si>
  <si>
    <t>{R}easoning{R}ec: Bridging Personalized Recommendations and Human-Interpretable Explanations through {LLM} Reasoning</t>
  </si>
  <si>
    <t>goel-etal-2025-target</t>
  </si>
  <si>
    <t>Target-Augmented Shared Fusion-based Multimodal Sarcasm Explanation Generation</t>
  </si>
  <si>
    <t>udagawa-etal-2025-bias</t>
  </si>
  <si>
    <t>Bias Analysis and Mitigation through Protected Attribute Detection and Regard Classification</t>
  </si>
  <si>
    <t>wang-etal-2025-multilingual-datasets</t>
  </si>
  <si>
    <t>Multilingual Datasets for Custom Input Extraction and Explanation Requests Parsing in Conversational {XAI} Systems</t>
  </si>
  <si>
    <t>wang-etal-2025-improving-llm</t>
  </si>
  <si>
    <t>Improving {LLM} Reasoning through Interpretable Role-Playing Steering</t>
  </si>
  <si>
    <t>li-etal-2025-dont</t>
  </si>
  <si>
    <t>Don{'}t Take the Premise for Granted: Evaluating the Premise Critique Ability of Large Language Models</t>
  </si>
  <si>
    <t>lan-etal-2025-training</t>
  </si>
  <si>
    <t>Training Language Models to Critique With Multi-agent Feedback</t>
  </si>
  <si>
    <t>shu-etal-2025-survey</t>
  </si>
  <si>
    <t>A Survey on Sparse Autoencoders: Interpreting the Internal Mechanisms of Large Language Models</t>
  </si>
  <si>
    <t>shu-etal-2025-large</t>
  </si>
  <si>
    <t>Large Vision-Language Model Alignment and Misalignment: A Survey Through the Lens of Explainability</t>
  </si>
  <si>
    <t>yu-etal-2025-structured</t>
  </si>
  <si>
    <t>A Structured Framework for Evaluating and Enhancing Interpretive Capabilities of Multimodal {LLM}s in Culturally Situated Tasks</t>
  </si>
  <si>
    <t>huang-etal-2025-manusearch</t>
  </si>
  <si>
    <t>{M}anu{S}earch: Democratizing Deep Search in Large Language Models with a Transparent and Open Multi-Agent Framework</t>
  </si>
  <si>
    <t>hossain-etal-2025-toward</t>
  </si>
  <si>
    <t>Toward Inclusive Language Models: Sparsity-Driven Calibration for Systematic and Interpretable Mitigation of Social Biases in {LLM}s</t>
  </si>
  <si>
    <t>ho-etal-2025-table</t>
  </si>
  <si>
    <t>Table-Text Alignment: Explaining Claim Verification Against Tables in Scientific Papers</t>
  </si>
  <si>
    <t>rao-etal-2025-llm</t>
  </si>
  <si>
    <t>{LLM}-based Open Domain Planning by Leveraging Entity-Attribute-Level Domain Models</t>
  </si>
  <si>
    <t>jeon-etal-2025-progressive</t>
  </si>
  <si>
    <t>Progressive Facial Granularity Aggregation with Bilateral Attribute-based Enhancement for Face-to-Speech Synthesis</t>
  </si>
  <si>
    <t>van-supranes-etal-2025-enhancing</t>
  </si>
  <si>
    <t>Enhancing Hate Speech Classifiers through a Gradient-assisted Counterfactual Text Generation Strategy</t>
  </si>
  <si>
    <t>du-etal-2025-role</t>
  </si>
  <si>
    <t>Role-Guided Annotation and Prototype-Aligned Representation Learning for Historical Literature Sentiment Classification</t>
  </si>
  <si>
    <t>wu-etal-2025-beyond-spurious</t>
  </si>
  <si>
    <t>Beyond Spurious Signals: Debiasing Multimodal Large Language Models via Counterfactual Inference and Adaptive Expert Routing</t>
  </si>
  <si>
    <t>zhang-etal-2025-hierprompt</t>
  </si>
  <si>
    <t>{H}ier{P}rompt: Zero-Shot Hierarchical Text Classification with {LLM}-Enhanced Prototypes</t>
  </si>
  <si>
    <t>ernst-etal-2025-come</t>
  </si>
  <si>
    <t>Where Did That Come From? Sentence-Level Error-Tolerant Attribution</t>
  </si>
  <si>
    <t>hu-etal-2025-explaining</t>
  </si>
  <si>
    <t>Explaining Length Bias in {LLM}-Based Preference Evaluations</t>
  </si>
  <si>
    <t>li-etal-2025-heal</t>
  </si>
  <si>
    <t>{HEAL}: Hybrid Enhancement with {LLM}-based Agents for Text-attributed Hypergraph Self-supervised Representation Learning</t>
  </si>
  <si>
    <t>yan-etal-2025-towards</t>
  </si>
  <si>
    <t>Towards Efficient {C}o{T} Distillation: Self-Guided Rationale Selector for Better Performance with Fewer Rationales</t>
  </si>
  <si>
    <t>chen-etal-2025-enhancing-attributed</t>
  </si>
  <si>
    <t>Enhancing Attributed Question Answering using Tailored Progressive Curriculum Learning</t>
  </si>
  <si>
    <t>xin-etal-2025-salamander</t>
  </si>
  <si>
    <t>{S}ala{MA}nder: Shapley-based Mathematical Expression Attribution and Metric for Chain-of-Thought Reasoning</t>
  </si>
  <si>
    <t>wu-etal-2025-unveiling-multimodal</t>
  </si>
  <si>
    <t>Unveiling Multimodal Processing: Exploring Activation Patterns in Multimodal {LLM}s for Interpretability and Efficiency</t>
  </si>
  <si>
    <t>kumar-etal-2025-extracting</t>
  </si>
  <si>
    <t>Extracting Conceptual Spaces from {LLM}s Using Prototype Embeddings</t>
  </si>
  <si>
    <t>eldifrawi-etal-2025-fingract</t>
  </si>
  <si>
    <t>{F}in{G}r{A}ct: A Framework for {FIN}e-{GR}rained Evaluation of {ACT}ionability in Explainable Automatic Fact-Checking</t>
  </si>
  <si>
    <t>wang-etal-2025-attribution</t>
  </si>
  <si>
    <t>Attribution and Application of Multiple Neurons in Multimodal Large Language Models</t>
  </si>
  <si>
    <t>ying-etal-2025-language</t>
  </si>
  <si>
    <t>Language-Informed Synthesis of Rational Agent Models for Grounded Theory-of-Mind Reasoning On-the-fly</t>
  </si>
  <si>
    <t>du-etal-2025-explainable</t>
  </si>
  <si>
    <t>Explainable Text Classification with {LLM}s: Enhancing Performance through Dialectical Prompting and Explanation-Guided Training</t>
  </si>
  <si>
    <t>koo-etal-2025-hawk</t>
  </si>
  <si>
    <t>{HAWK}: Highlighting Entity-aware Knowledge for Alleviating Information Sparsity in Long Contexts</t>
  </si>
  <si>
    <t>balasubramanian-etal-2025-closer</t>
  </si>
  <si>
    <t>A Closer Look at Bias and Chain-of-Thought Faithfulness of Large (Vision) Language Models</t>
  </si>
  <si>
    <t>zeng-etal-2025-mm</t>
  </si>
  <si>
    <t>{MM}-{CRITIC}: A Holistic Evaluation of Large Multimodal Models as Multimodal Critique</t>
  </si>
  <si>
    <t>peled-cohen-etal-2025-dementia</t>
  </si>
  <si>
    <t>Dementia Through Different Eyes: Explainable Modeling of Human and {LLM} Perceptions for Early Awareness</t>
  </si>
  <si>
    <t>luo-etal-2025-fair</t>
  </si>
  <si>
    <t>Fair Text-Attributed Graph Representation Learning</t>
  </si>
  <si>
    <t>li-etal-2025-influence</t>
  </si>
  <si>
    <t>Do Influence Functions Work on Large Language Models?</t>
  </si>
  <si>
    <t>aida-bollegala-2025-scdtour</t>
  </si>
  <si>
    <t>{SCDT}our: Embedding Axis Ordering and Merging for Interpretable Semantic Change Detection</t>
  </si>
  <si>
    <t>niaouri-etal-2025-mask</t>
  </si>
  <si>
    <t>[{MASK}]{ED} - Language Modeling for Explainable Classification and Disentangling of Socially Unacceptable Discourse.</t>
  </si>
  <si>
    <t>rahimi-etal-2025-lost</t>
  </si>
  <si>
    <t>Not Lost After All: How Cross-Encoder Attribution Challenges Position Bias Assumptions in {LLM} Summarization</t>
  </si>
  <si>
    <t>zeng-etal-2025-residualized</t>
  </si>
  <si>
    <t>Residualized Similarity for Faithfully Explainable Authorship Verification</t>
  </si>
  <si>
    <t>islam-goldwasser-2025-post</t>
  </si>
  <si>
    <t>Post-hoc Study of Climate Microtargeting on Social Media Ads with {LLM}s: Thematic Insights and Fairness Evaluation</t>
  </si>
  <si>
    <t>wang-etal-2025-inducing</t>
  </si>
  <si>
    <t>Inducing Argument Facets for Faithful Opinion Summarization</t>
  </si>
  <si>
    <t>yu-etal-2025-explainable</t>
  </si>
  <si>
    <t>Explainable Chain-of-Thought Reasoning: An Empirical Analysis on State-Aware Reasoning Dynamics</t>
  </si>
  <si>
    <t>long-etal-2025-finlfqa</t>
  </si>
  <si>
    <t>{F}in{LFQA}: Evaluating Attributed Text Generation of {LLM}s in Financial Long-Form Question Answering</t>
  </si>
  <si>
    <t>sengupta-etal-2025-investigating</t>
  </si>
  <si>
    <t>Investigating the Impact of Conceptual Metaphors on {LLM}-based {NLI} through Shapley Interactions</t>
  </si>
  <si>
    <t>sicilia-alikhani-2025-adaptive</t>
  </si>
  <si>
    <t>Adaptive {P}latt Scaling with Causal Interpretations for Self-Reflective Language Model Uncertainty Estimates</t>
  </si>
  <si>
    <t>li-etal-2025-treble</t>
  </si>
  <si>
    <t>Treble Counterfactual {VLM}s: A Causal Approach to Hallucination</t>
  </si>
  <si>
    <t>han-etal-2025-attributes</t>
  </si>
  <si>
    <t>Attributes as Textual Genes: Leveraging {LLM}s as Genetic Algorithm Simulators for Conditional Synthetic Data Generation</t>
  </si>
  <si>
    <t>seo-kwon-2025-protoxtm</t>
  </si>
  <si>
    <t>{P}roto{XTM}: Cross-Lingual Topic Modeling with Document-Level Prototype-based Contrastive Learning</t>
  </si>
  <si>
    <t>guimaraes-etal-2025-narratex</t>
  </si>
  <si>
    <t>{N}arrat{EX} Dataset: Explaining the Dominant Narratives in News Texts</t>
  </si>
  <si>
    <t>yu-etal-2025-lore</t>
  </si>
  <si>
    <t>{LORE}: Continual Logit Rewriting Fosters Faithful Generation</t>
  </si>
  <si>
    <t>ha-etal-2025-mv</t>
  </si>
  <si>
    <t>{MV}-{CLAM}: Multi-View Molecular Interpretation with Cross-Modal Projection via Language Model</t>
  </si>
  <si>
    <t>pauli-etal-2025-mind</t>
  </si>
  <si>
    <t>Mind the Style Gap: Meta-Evaluation of Style and Attribute Transfer Metrics</t>
  </si>
  <si>
    <t>liu-chu-2025-llms</t>
  </si>
  <si>
    <t>Do {LLM}s Align Human Values Regarding Social Biases? Judging and Explaining Social Biases with {LLM}s</t>
  </si>
  <si>
    <t>ou-etal-2025-claimcheck</t>
  </si>
  <si>
    <t>{CLAIMCHECK}: How Grounded are {LLM} Critiques of Scientific Papers?</t>
  </si>
  <si>
    <t>joshi-etal-2025-improving</t>
  </si>
  <si>
    <t>Improving Language Model Personas via Rationalization with Psychological Scaffolds</t>
  </si>
  <si>
    <t>mamta-cocarascu-2025-guard</t>
  </si>
  <si>
    <t>{I}-{GUARD}: Interpretability-Guided Parameter Optimization for Adversarial Defense</t>
  </si>
  <si>
    <t>fedorova-etal-2025-explaining</t>
  </si>
  <si>
    <t>Explaining novel senses using definition generation with open language models</t>
  </si>
  <si>
    <t>wu-etal-2025-evaluating</t>
  </si>
  <si>
    <t>Evaluating Fairness in Large Vision-Language Models Across Diverse Demographic Attributes and Prompts</t>
  </si>
  <si>
    <t>han-etal-2025-black</t>
  </si>
  <si>
    <t>No Black Boxes: Interpretable and Interactable Predictive Healthcare with Knowledge-Enhanced Agentic Causal Discovery</t>
  </si>
  <si>
    <t>oozeer-etal-2025-beyond</t>
  </si>
  <si>
    <t>Beyond Linear Steering: Unified Multi-Attribute Control for Language Models</t>
  </si>
  <si>
    <t>cheng-etal-2025-mitigating</t>
  </si>
  <si>
    <t>Mitigating Spurious Correlations via Counterfactual Contrastive Learning</t>
  </si>
  <si>
    <t>hasanain-etal-2025-propxplain</t>
  </si>
  <si>
    <t>{P}rop{X}plain: Can {LLM}s Enable Explainable Propaganda Detection?</t>
  </si>
  <si>
    <t>bao-etal-2025-whos</t>
  </si>
  <si>
    <t>Who{'}s the Author? How Explanations Impact User Reliance in {AI}-Assisted Authorship Attribution</t>
  </si>
  <si>
    <t>ding-etal-2025-attention</t>
  </si>
  <si>
    <t>Attention with Dependency Parsing Augmentation for Fine-Grained Attribution</t>
  </si>
  <si>
    <t>gebreegziabher-etal-2025-leveraging</t>
  </si>
  <si>
    <t>Leveraging Variation Theory in Counterfactual Data Augmentation for Optimized Active Learning</t>
  </si>
  <si>
    <t>wang-etal-2025-fitcf</t>
  </si>
  <si>
    <t>{F}it{CF}: A Framework for Automatic Feature Importance-guided Counterfactual Example Generation</t>
  </si>
  <si>
    <t>wu-etal-2025-separate</t>
  </si>
  <si>
    <t>Separate the Wheat from the Chaff: A Post-Hoc Approach to Safety Re-Alignment for Fine-Tuned Language Models</t>
  </si>
  <si>
    <t>weidinger-etal-2025-aquaechr</t>
  </si>
  <si>
    <t>{AQ}u{AECHR}: Attributed Question Answering for {E}uropean Court of Human Rights</t>
  </si>
  <si>
    <t>chen-etal-2025-explainable</t>
  </si>
  <si>
    <t>Explainable Hallucination through Natural Language Inference Mapping</t>
  </si>
  <si>
    <t>chu-etal-2025-self</t>
  </si>
  <si>
    <t>Self-Critique Guided Iterative Reasoning for Multi-hop Question Answering</t>
  </si>
  <si>
    <t>zhou-etal-2025-reasoning</t>
  </si>
  <si>
    <t>Reasoning is All You Need for Video Generalization: A Counterfactual Benchmark with Sub-question Evaluation</t>
  </si>
  <si>
    <t>maiya-etal-2025-explaining</t>
  </si>
  <si>
    <t>Explaining Puzzle Solutions in Natural Language: An Exploratory Study on 6x6 Sudoku</t>
  </si>
  <si>
    <t>yang-etal-2025-longfaith</t>
  </si>
  <si>
    <t>{L}ong{F}aith: Enhancing Long-Context Reasoning in {LLM}s with Faithful Synthetic Data</t>
  </si>
  <si>
    <t>chu-etal-2025-domaino1s</t>
  </si>
  <si>
    <t>Domain$o1$s: Guiding {LLM} Reasoning for Explainable Answers in High-Stakes Domains</t>
  </si>
  <si>
    <t>long-etal-2025-beyond</t>
  </si>
  <si>
    <t>Beyond In-Context Learning: Aligning Long-form Generation of Large Language Models via Task-Inherent Attribute Guidelines</t>
  </si>
  <si>
    <t>bevendorff-etal-2025-two</t>
  </si>
  <si>
    <t>The Two Paradigms of {LLM} Detection: Authorship Attribution vs. Authorship Verification</t>
  </si>
  <si>
    <t>xiao-etal-2025-tokenshapley</t>
  </si>
  <si>
    <t>{T}oken{S}hapley: Token Level Context Attribution with Shapley Value</t>
  </si>
  <si>
    <t>chetia-phukan-etal-2025-investigating</t>
  </si>
  <si>
    <t>Investigating Prosodic Signatures via Speech Pre-Trained Models for Audio Deepfake Source Attribution</t>
  </si>
  <si>
    <t>jia-etal-2025-bridging</t>
  </si>
  <si>
    <t>Bridging Relevance and Reasoning: Rationale Distillation in Retrieval-Augmented Generation</t>
  </si>
  <si>
    <t>saxena-etal-2025-matched</t>
  </si>
  <si>
    <t>{MATCHED}: Multimodal Authorship-Attribution To Combat Human Trafficking in Escort-Advertisement Data</t>
  </si>
  <si>
    <t>rodriguez-etal-2025-continued</t>
  </si>
  <si>
    <t>Continued Pretraining and Interpretability-Based Evaluation for Low-Resource Languages: A {G}alician Case Study</t>
  </si>
  <si>
    <t>li-etal-2025-investigating</t>
  </si>
  <si>
    <t>Investigating Context Faithfulness in Large Language Models: The Roles of Memory Strength and Evidence Style</t>
  </si>
  <si>
    <t>huangyw-etal-2025-dynamic</t>
  </si>
  <si>
    <t>Dynamic Attention-Guided Context Decoding for Mitigating Context Faithfulness Hallucinations in Large Language Models</t>
  </si>
  <si>
    <t>zhao-etal-2025-correcting</t>
  </si>
  <si>
    <t>Correcting on Graph: Faithful Semantic Parsing over Knowledge Graphs with Large Language Models</t>
  </si>
  <si>
    <t>zhu-etal-2025-rationales</t>
  </si>
  <si>
    <t>Rationales Are Not Silver Bullets: Measuring the Impact of Rationales on Model Performance and Reliability</t>
  </si>
  <si>
    <t>fu-etal-2025-mark</t>
  </si>
  <si>
    <t>{MARK}: Multi-agent Collaboration with Ranking Guidance for Text-attributed Graph Clustering</t>
  </si>
  <si>
    <t>fan-etal-2025-sek</t>
  </si>
  <si>
    <t>{SEK}: Self-Explained Keywords Empower Large Language Models for Code Generation</t>
  </si>
  <si>
    <t>jiang-etal-2025-towards-explainable</t>
  </si>
  <si>
    <t>Towards Explainable Temporal Reasoning in Large Language Models: A Structure-Aware Generative Framework</t>
  </si>
  <si>
    <t>ping-etal-2025-longdpo</t>
  </si>
  <si>
    <t>{L}ong{DPO}: Unlock Better Long-form Generation Abilities for {LLM}s via Critique-augmented Stepwise Information</t>
  </si>
  <si>
    <t>sui-etal-2025-fidelis</t>
  </si>
  <si>
    <t>{F}i{D}e{L}i{S}: Faithful Reasoning in Large Language Models for Knowledge Graph Question Answering</t>
  </si>
  <si>
    <t>zhu-etal-2025-lime</t>
  </si>
  <si>
    <t>{LIME}: Less Is More for {MLLM} Evaluation</t>
  </si>
  <si>
    <t>li-etal-2025-cmie</t>
  </si>
  <si>
    <t>{CMIE}: Combining {MLLM} Insights with External Evidence for Explainable Out-of-Context Misinformation Detection</t>
  </si>
  <si>
    <t>zhang-etal-2025-explainable</t>
  </si>
  <si>
    <t>Explainable Depression Detection in Clinical Interviews with Personalized Retrieval-Augmented Generation</t>
  </si>
  <si>
    <t>kim-etal-2025-reasoning</t>
  </si>
  <si>
    <t>Reasoning Circuits in Language Models: A Mechanistic Interpretation of Syllogistic Inference</t>
  </si>
  <si>
    <t>bi-etal-2025-context</t>
  </si>
  <si>
    <t>Context-{DPO}: Aligning Language Models for Context-Faithfulness</t>
  </si>
  <si>
    <t>li-etal-2025-towards-better</t>
  </si>
  <si>
    <t>Towards Better Chain-of-Thought: A Reflection on Effectiveness and Faithfulness</t>
  </si>
  <si>
    <t>hong-etal-2025-rhetorical</t>
  </si>
  <si>
    <t>Rhetorical Device-Aware Sarcasm Detection with Counterfactual Data Augmentation</t>
  </si>
  <si>
    <t>wu-etal-2025-boosting</t>
  </si>
  <si>
    <t>Boosting {LLM} Translation Skills without General Ability Loss via Rationale Distillation</t>
  </si>
  <si>
    <t>sariyanto-etal-2025-towards</t>
  </si>
  <si>
    <t>Towards Explainable Hate Speech Detection</t>
  </si>
  <si>
    <t>tak-etal-2025-mechanistic</t>
  </si>
  <si>
    <t>Mechanistic Interpretability of Emotion Inference in Large Language Models</t>
  </si>
  <si>
    <t>chen-etal-2025-cod</t>
  </si>
  <si>
    <t>{C}o{D}, Towards an Interpretable Medical Agent using Chain of Diagnosis</t>
  </si>
  <si>
    <t>wang-etal-2025-ldir</t>
  </si>
  <si>
    <t>{LDIR}: Low-Dimensional Dense and Interpretable Text Embeddings with Relative Representations</t>
  </si>
  <si>
    <t>zhong-etal-2025-nargina</t>
  </si>
  <si>
    <t>{N}ar{GINA}: Towards Accurate and Interpretable Children{'}s Narrative Ability Assessment via Narrative Graphs</t>
  </si>
  <si>
    <t>im-etal-2025-deragec</t>
  </si>
  <si>
    <t>{D}e{RAGEC}: Denoising Named Entity Candidates with Synthetic Rationale for {ASR} Error Correction</t>
  </si>
  <si>
    <t>paci-etal-2025-want</t>
  </si>
  <si>
    <t>They want to pretend not to understand: The Limits of Current {LLM}s in Interpreting Implicit Content of Political Discourse</t>
  </si>
  <si>
    <t>saparina-lapata-2025-disambiguate</t>
  </si>
  <si>
    <t>Disambiguate First, Parse Later: Generating Interpretations for Ambiguity Resolution in Semantic Parsing</t>
  </si>
  <si>
    <t>beckh-etal-2025-anatomy</t>
  </si>
  <si>
    <t>The Anatomy of Evidence: An Investigation Into Explainable {ICD} Coding</t>
  </si>
  <si>
    <t>li-etal-2025-generate</t>
  </si>
  <si>
    <t>Generate, Discriminate, Evolve: Enhancing Context Faithfulness via Fine-Grained Sentence-Level Self-Evolution</t>
  </si>
  <si>
    <t>salemi-etal-2025-expert</t>
  </si>
  <si>
    <t>{E}x{P}er{T}: Effective and Explainable Evaluation of Personalized Long-Form Text Generation</t>
  </si>
  <si>
    <t>tan-etal-2025-open</t>
  </si>
  <si>
    <t>Open-World Authorship Attribution</t>
  </si>
  <si>
    <t>shen-etal-2025-transparentize</t>
  </si>
  <si>
    <t>Transparentize the Internal and External Knowledge Utilization in {LLM}s with Trustworthy Citation</t>
  </si>
  <si>
    <t>zahid-etal-2025-bedaa</t>
  </si>
  <si>
    <t>{BEDAA}: {B}ayesian Enhanced {D}e{BERT}a for Uncertainty-Aware Authorship Attribution</t>
  </si>
  <si>
    <t>saynova-etal-2025-fact</t>
  </si>
  <si>
    <t>Fact Recall, Heuristics or Pure Guesswork? Precise Interpretations of Language Models for Fact Completion</t>
  </si>
  <si>
    <t>zhang-etal-2025-safety</t>
  </si>
  <si>
    <t>Safety is Not Only About Refusal: Reasoning-Enhanced Fine-tuning for Interpretable {LLM} Safety</t>
  </si>
  <si>
    <t>aljanaideh-2025-speech</t>
  </si>
  <si>
    <t>Speech Act Patterns for Improving Generalizability of Explainable Politeness Detection Models</t>
  </si>
  <si>
    <t>kim-etal-2025-fave</t>
  </si>
  <si>
    <t>{F}a{V}e: Factored and Verified Search Rationale for Long-form Answer</t>
  </si>
  <si>
    <t>lv-etal-2025-distribution</t>
  </si>
  <si>
    <t>Out-of-Distribution Detection via {LLM}-Guided Outlier Generation for Text-attributed Graph</t>
  </si>
  <si>
    <t>hong-etal-2025-data</t>
  </si>
  <si>
    <t>Data Interpreter: An {LLM} Agent for Data Science</t>
  </si>
  <si>
    <t>jang-etal-2025-verbosity</t>
  </si>
  <si>
    <t>Verbosity-Aware Rationale Reduction: Sentence-Level Rationale Reduction for Efficient and Effective Reasoning</t>
  </si>
  <si>
    <t>abolghasemi-etal-2025-evaluation</t>
  </si>
  <si>
    <t>Evaluation of Attribution Bias in Generator-Aware Retrieval-Augmented Large Language Models</t>
  </si>
  <si>
    <t>xu-etal-2025-diagnosing</t>
  </si>
  <si>
    <t>Diagnosing Failures in Large Language Models' Answers: Integrating Error Attribution into Evaluation Framework</t>
  </si>
  <si>
    <t>ye-etal-2025-input</t>
  </si>
  <si>
    <t>Can Input Attributions Explain Inductive Reasoning in In-Context Learning?</t>
  </si>
  <si>
    <t>song-etal-2025-rationale</t>
  </si>
  <si>
    <t>Does Rationale Quality Matter? Enhancing Mental Disorder Detection via Selective Reasoning Distillation</t>
  </si>
  <si>
    <t>lu-etal-2025-wasa</t>
  </si>
  <si>
    <t>{WASA}: {WA}termark-based Source Attribution for Large Language Model-Generated Data</t>
  </si>
  <si>
    <t>zhou-etal-2025-llms</t>
  </si>
  <si>
    <t>Are {LLM}s Rational Investors? A Study on the Financial Bias in {LLM}s</t>
  </si>
  <si>
    <t>wongkamjan-etal-2025-trust</t>
  </si>
  <si>
    <t>Should {I} Trust You? Detecting Deception in Negotiations using Counterfactual {RL}</t>
  </si>
  <si>
    <t>kim-etal-2025-expert</t>
  </si>
  <si>
    <t>{EXPERT}: An Explainable Image Captioning Evaluation Metric with Structured Explanations</t>
  </si>
  <si>
    <t>yu-etal-2025-training</t>
  </si>
  <si>
    <t>Training Language Model to Critique for Better Refinement</t>
  </si>
  <si>
    <t>cao-etal-2025-rationalize</t>
  </si>
  <si>
    <t>Rationalize and Align: Enhancing Writing Assistance with Rationale via Self-Training for Improved Alignment</t>
  </si>
  <si>
    <t>zhang-etal-2025-mprf</t>
  </si>
  <si>
    <t>{MPRF}: Interpretable Stance Detection through Multi-Path Reasoning Framework</t>
  </si>
  <si>
    <t>peng-etal-2025-emotion</t>
  </si>
  <si>
    <t>Emotion Transfer with Enhanced Prototype for Unseen Emotion Recognition in Conversation</t>
  </si>
  <si>
    <t>xu-etal-2025-training</t>
  </si>
  <si>
    <t>Training a Utility-based Retriever Through Shared Context Attribution for Retrieval-Augmented Language Models</t>
  </si>
  <si>
    <t>diao-etal-2025-protovqa</t>
  </si>
  <si>
    <t>{P}roto{VQA}: An Adaptable Prototypical Framework for Explainable Fine-Grained Visual Question Answering</t>
  </si>
  <si>
    <t>polyakov-etal-2025-interpretability</t>
  </si>
  <si>
    <t>Interpretability Analysis of Arithmetic In-Context Learning in Large Language Models</t>
  </si>
  <si>
    <t>wright-etal-2025-unstructured</t>
  </si>
  <si>
    <t>Unstructured Evidence Attribution for Long Context Query Focused Summarization</t>
  </si>
  <si>
    <t>yang-etal-2025-unveiling</t>
  </si>
  <si>
    <t>Unveiling Internal Reasoning Modes in {LLM}s: A Deep Dive into Latent Reasoning vs. Factual Shortcuts with Attribute Rate Ratio</t>
  </si>
  <si>
    <t>wang-etal-2025-unleashing</t>
  </si>
  <si>
    <t>Unleashing the Reasoning Potential of {LLM}s by Critique Fine-Tuning on One Problem</t>
  </si>
  <si>
    <t>yan-etal-2025-trust</t>
  </si>
  <si>
    <t>{TRUST}-{VL}: An Explainable News Assistant for General Multimodal Misinformation Detection</t>
  </si>
  <si>
    <t>xu-etal-2025-tree</t>
  </si>
  <si>
    <t>Tree-of-Quote Prompting Improves Factuality and Attribution in Multi-Hop and Medical Reasoning</t>
  </si>
  <si>
    <t>wang-etal-2025-identification</t>
  </si>
  <si>
    <t>Identification of Multiple Logical Interpretations in Counter-Arguments</t>
  </si>
  <si>
    <t>cai-etal-2025-flightgpt</t>
  </si>
  <si>
    <t>{F}light{GPT}: Towards Generalizable and Interpretable {UAV} Vision-and-Language Navigation with Vision-Language Models</t>
  </si>
  <si>
    <t>zhang-wan-2025-r</t>
  </si>
  <si>
    <t>{R}-Bind: Unified Enhancement of Attribute and Relation Binding in Text-to-Image Diffusion Models</t>
  </si>
  <si>
    <t>dehghanighobadi-etal-2025-llms</t>
  </si>
  <si>
    <t>Can {LLM}s Explain Themselves Counterfactually?</t>
  </si>
  <si>
    <t>rair-etal-2025-annotators</t>
  </si>
  <si>
    <t>When Annotators Disagree, Topology Explains: Mapper, a Topological Tool for Exploring Text Embedding Geometry and Ambiguity</t>
  </si>
  <si>
    <t>wang-atanasova-2025-self</t>
  </si>
  <si>
    <t>Self-Critique and Refinement for Faithful Natural Language Explanations</t>
  </si>
  <si>
    <t>tutek-etal-2025-measuring</t>
  </si>
  <si>
    <t>Measuring Chain of Thought Faithfulness by Unlearning Reasoning Steps</t>
  </si>
  <si>
    <t>balagansky-etal-2025-train</t>
  </si>
  <si>
    <t>Train One Sparse Autoencoder Across Multiple Sparsity Budgets to Preserve Interpretability and Accuracy</t>
  </si>
  <si>
    <t>yeo-etal-2025-towards</t>
  </si>
  <si>
    <t>Towards Faithful Natural Language Explanations: A Study Using Activation Patching in Large Language Models</t>
  </si>
  <si>
    <t>ong-etal-2025-deriving</t>
  </si>
  <si>
    <t>Deriving Strategic Market Insights with Large Language Models: A Benchmark for Forward Counterfactual Generation</t>
  </si>
  <si>
    <t>yang-etal-2025-faithun</t>
  </si>
  <si>
    <t>{F}aith{U}n: Toward Faithful Forgetting in Language Models by Investigating the Interconnectedness of Knowledge</t>
  </si>
  <si>
    <t>zhai-etal-2025-mentalglm</t>
  </si>
  <si>
    <t>{M}ental{GLM} Series: Explainable Large Language Models for Mental Health Analysis on {C}hinese Social Media</t>
  </si>
  <si>
    <t>calabrese-etal-2025-compositional</t>
  </si>
  <si>
    <t>Compositional Generalisation for Explainable Hate Speech Detection</t>
  </si>
  <si>
    <t>storks-etal-2025-transparent</t>
  </si>
  <si>
    <t>Transparent and Coherent Procedural Mistake Detection</t>
  </si>
  <si>
    <t>wang-etal-2025-qcrd</t>
  </si>
  <si>
    <t>{QCRD}: Quality-guided Contrastive Rationale Distillation for Large Language Models</t>
  </si>
  <si>
    <t>calderon-etal-2025-multi</t>
  </si>
  <si>
    <t>Multi-Domain Explainability of Preferences</t>
  </si>
  <si>
    <t>zhao-iii-2025-necessary</t>
  </si>
  <si>
    <t>A Necessary Step toward Faithfulness: Measuring and Improving Consistency in Free-Text Explanations</t>
  </si>
  <si>
    <t>sun-etal-2025-thinkedit</t>
  </si>
  <si>
    <t>{T}hink{E}dit: Interpretable Weight Editing to Mitigate Overly Short Thinking in Reasoning Models</t>
  </si>
  <si>
    <t>liu-etal-2025-pychoagent</t>
  </si>
  <si>
    <t>{P}ycho{A}gent: Psychology-driven {LLM} Agents for Explainable Panic Prediction on Social Media during Sudden Disaster Events</t>
  </si>
  <si>
    <t>wang-etal-2025-v</t>
  </si>
  <si>
    <t>{V}-{SEAM}: Visual Semantic Editing and Attention Modulating for Causal Interpretability of Vision-Language Models</t>
  </si>
  <si>
    <t>tu-etal-2025-rrinf</t>
  </si>
  <si>
    <t>{RRI}nf: Efficient Influence Function Estimation via Ridge Regression for Large Language Models and Text-to-Image Diffusion Models</t>
  </si>
  <si>
    <t>giloni-etal-2025-cair</t>
  </si>
  <si>
    <t>{CAIR}: Counterfactual-based Agent Influence Ranker for Agentic {AI} Workflows</t>
  </si>
  <si>
    <t>resck-etal-2025-explainability</t>
  </si>
  <si>
    <t>Explainability and Interpretability of Multilingual Large Language Models: A Survey</t>
  </si>
  <si>
    <t>guo-etal-2025-dsvd</t>
  </si>
  <si>
    <t>{DSVD}: Dynamic Self-Verify Decoding for Faithful Generation in Large Language Models</t>
  </si>
  <si>
    <t>zhao-etal-2025-lga</t>
  </si>
  <si>
    <t>{LGA}: {LLM}-{GNN} Aggregation for Temporal Evolution Attribute Graph Prediction</t>
  </si>
  <si>
    <t>yuan-etal-2025-mmag</t>
  </si>
  <si>
    <t>{MMAG}: Multimodal Learning for Mucus Anomaly Grading in Nasal Endoscopy via Semantic Attribute Prompting</t>
  </si>
  <si>
    <t>lee-etal-2025-interpretation</t>
  </si>
  <si>
    <t>Interpretation Meets Safety: A Survey on Interpretation Methods and Tools for Improving {LLM} Safety</t>
  </si>
  <si>
    <t>xie-etal-2025-rd</t>
  </si>
  <si>
    <t>{RD}-{MCSA}: A Multi-Class Sentiment Analysis Approach Integrating In-Context Classification Rationales and Demonstrations</t>
  </si>
  <si>
    <t>lee-etal-2025-localization</t>
  </si>
  <si>
    <t>Does Localization Inform Unlearning? A Rigorous Examination of Local Parameter Attribution for Knowledge Unlearning in Language Models</t>
  </si>
  <si>
    <t>bai-etal-2025-understanding</t>
  </si>
  <si>
    <t>Understanding and Leveraging the Expert Specialization of Context Faithfulness in Mixture-of-Experts {LLM}s</t>
  </si>
  <si>
    <t>opitz-etal-2025-interpretable</t>
  </si>
  <si>
    <t>Interpretable Text Embeddings and Text Similarity Explanation: A Survey</t>
  </si>
  <si>
    <t>suri-etal-2025-follow</t>
  </si>
  <si>
    <t>Follow the Flow: Fine-grained Flowchart Attribution with Neurosymbolic Agents</t>
  </si>
  <si>
    <t>estienne-etal-2025-collaborative</t>
  </si>
  <si>
    <t>Collaborative Rational Speech Act: Pragmatic Reasoning for Multi-Turn Dialog</t>
  </si>
  <si>
    <t>liu-etal-2025-dual-path</t>
  </si>
  <si>
    <t>Dual-Path Counterfactual Integration for Multimodal Aspect-Based Sentiment Classification</t>
  </si>
  <si>
    <t>maslenkova-etal-2025-building</t>
  </si>
  <si>
    <t>Building Trust in Clinical {LLM}s: Bias Analysis and Dataset Transparency</t>
  </si>
  <si>
    <t>wang-etal-2025-drivel</t>
  </si>
  <si>
    <t>Drivel-ology: Challenging {LLM}s with Interpreting Nonsense with Depth</t>
  </si>
  <si>
    <t>sperber-etal-2025-toward</t>
  </si>
  <si>
    <t>Toward Machine Interpreting: Lessons from Human Interpreting Studies</t>
  </si>
  <si>
    <t>arakelyan-etal-2025-flare</t>
  </si>
  <si>
    <t>{FLARE}: Faithful Logic-Aided Reasoning and Exploration</t>
  </si>
  <si>
    <t>clark-etal-2025-resource</t>
  </si>
  <si>
    <t>Resource-Rational Noisy-Channel Language Processing: Testing the Effect of Algorithmic Constraints on Inferences</t>
  </si>
  <si>
    <t>wang-blanco-2025-identifying</t>
  </si>
  <si>
    <t>mayne-etal-2025-llms</t>
  </si>
  <si>
    <t>{LLM}s Don{'}t Know Their Own Decision Boundaries: The Unreliability of Self-Generated Counterfactual Explanations</t>
  </si>
  <si>
    <t>dang-etal-2025-improving</t>
  </si>
  <si>
    <t>Improving Large Language Models Function Calling and Interpretability via Guided-Structured Templates</t>
  </si>
  <si>
    <t>kang-etal-2025-fairgen</t>
  </si>
  <si>
    <t>{F}air{G}en: Controlling Sensitive Attributes for Fair Generations in Diffusion Models via Adaptive Latent Guidance</t>
  </si>
  <si>
    <t>lee-etal-2025-interpretable</t>
  </si>
  <si>
    <t>Interpretable Mnemonic Generation for Kanji Learning via Expectation-Maximization</t>
  </si>
  <si>
    <t>bussotti-papotti-2025-refining</t>
  </si>
  <si>
    <t>Refining Attention for Explainable and Noise-Robust Fact-Checking with Transformers</t>
  </si>
  <si>
    <t>jeon-etal-2025-sali4vid</t>
  </si>
  <si>
    <t>{S}ali4{V}id: Saliency-Aware Video Reweighting and Adaptive Caption Retrieval for Dense Video Captioning</t>
  </si>
  <si>
    <t>ye-etal-2025-enhanced</t>
  </si>
  <si>
    <t>Enhanced Noun-Noun Compound Interpretation through Textual Enrichment</t>
  </si>
  <si>
    <t>park-etal-2025-decoding</t>
  </si>
  <si>
    <t>Decoding Dense Embeddings: Sparse Autoencoders for Interpreting and Discretizing Dense Retrieval</t>
  </si>
  <si>
    <t>la-cava-tagarelli-2025-openturingbench</t>
  </si>
  <si>
    <t>{O}pen{T}uring{B}ench: An Open-Model-based Benchmark and Framework for Machine-Generated Text Detection and Attribution</t>
  </si>
  <si>
    <t>huang-etal-2025-critictool</t>
  </si>
  <si>
    <t>{CRITICTOOL}: Evaluating Self-Critique Capabilities of Large Language Models in Tool-Calling Error Scenarios</t>
  </si>
  <si>
    <t>bhagwatkar-etal-2025-cave</t>
  </si>
  <si>
    <t>{CAVE} : Detecting and Explaining Commonsense Anomalies in Visual Environments</t>
  </si>
  <si>
    <t>jing-etal-2025-lingualens</t>
  </si>
  <si>
    <t>{L}ingua{L}ens: Towards Interpreting Linguistic Mechanisms of Large Language Models via Sparse Auto-Encoder</t>
  </si>
  <si>
    <t>malladi-etal-2025-explaining</t>
  </si>
  <si>
    <t>Explaining Differences Between Model Pairs in Natural Language through Sample Learning</t>
  </si>
  <si>
    <t>shi-etal-2025-llms</t>
  </si>
  <si>
    <t>Do {LLM}s Behave as Claimed? Investigating How {LLM}s Follow Their Own Claims using Counterfactual Questions</t>
  </si>
  <si>
    <t>shao-etal-2025-iterative</t>
  </si>
  <si>
    <t>Iterative Multilingual Spectral Attribute Erasure</t>
  </si>
  <si>
    <t>harrasse-etal-2025-tinysql</t>
  </si>
  <si>
    <t>{T}iny{SQL}: A Progressive Text-to-{SQL} Dataset for Mechanistic Interpretability Research</t>
  </si>
  <si>
    <t>yuan-etal-2025-graph</t>
  </si>
  <si>
    <t>Graph-Guided Textual Explanation Generation Framework</t>
  </si>
  <si>
    <t>zaman-srivastava-2025-causal</t>
  </si>
  <si>
    <t>A Causal Lens for Evaluating Faithfulness Metrics</t>
  </si>
  <si>
    <t>liu-etal-2025-metafaith</t>
  </si>
  <si>
    <t>{M}eta{F}aith: Faithful Natural Language Uncertainty Expression in {LLM}s</t>
  </si>
  <si>
    <t>lewis-lim-etal-2025-analysing</t>
  </si>
  <si>
    <t>Analysing Chain of Thought Dynamics: Active Guidance or Unfaithful Post-hoc Rationalisation?</t>
  </si>
  <si>
    <t>kmainasi-etal-2025-memeintel</t>
  </si>
  <si>
    <t>{M}eme{I}ntel: Explainable Detection of Propagandistic and Hateful Memes</t>
  </si>
  <si>
    <t>liu-etal-2025-autoct</t>
  </si>
  <si>
    <t>{A}uto{CT}: Automating Interpretable Clinical Trial Prediction with {LLM} Agents</t>
  </si>
  <si>
    <t>pulakurthi-etal-2025-x</t>
  </si>
  <si>
    <t>{X}-{C}o{T}: Explainable Text-to-Video Retrieval via {LLM}-based Chain-of-Thought Reasoning</t>
  </si>
  <si>
    <t>popovic-farber-2025-extractive</t>
  </si>
  <si>
    <t>Extractive Fact Decomposition for Interpretable Natural Language Inference in one Forward Pass</t>
  </si>
  <si>
    <t>chen-toral-2025-shortcuts</t>
  </si>
  <si>
    <t>From Shortcuts to Balance: Attribution Analysis of Speech-Text Feature Utilization in Distinguishing Original from Machine-Translated Texts</t>
  </si>
  <si>
    <t>xin-etal-2025-cda</t>
  </si>
  <si>
    <t>{CDA}{\textasciicircum}2: Counterfactual Diffusion Augmentation for Cross-Domain Adaptation in Low-Resource Sentiment Analysis</t>
  </si>
  <si>
    <t>li-ouyang-2025-explaining</t>
  </si>
  <si>
    <t>Explaining Relationships Among Research Papers</t>
  </si>
  <si>
    <t>alshomary-etal-2025-latent</t>
  </si>
  <si>
    <t>Latent Space Interpretation for Stylistic Analysis and Explainable Authorship Attribution</t>
  </si>
  <si>
    <t>wang-etal-2025-cross</t>
  </si>
  <si>
    <t>Cross-Refine: Improving Natural Language Explanation Generation by Learning in Tandem</t>
  </si>
  <si>
    <t>liu-etal-2025-enhancing</t>
  </si>
  <si>
    <t>Enhancing Multi-party Dialogue Discourse Parsing with Explanation Generation</t>
  </si>
  <si>
    <t>mun-shin-2025-polysemy</t>
  </si>
  <si>
    <t>Polysemy Interpretation and Transformer Language Models: A Case of {K}orean Adverbial Postposition -(u)lo</t>
  </si>
  <si>
    <t>tan-etal-2025-improving</t>
  </si>
  <si>
    <t>Improving Explainable Fact-Checking with Claim-Evidence Correlations</t>
  </si>
  <si>
    <t>mina-etal-2025-cognitive</t>
  </si>
  <si>
    <t>Cognitive Biases, Task Complexity, and Result Interpretability in Large Language Models</t>
  </si>
  <si>
    <t>chu-etal-2025-towards</t>
  </si>
  <si>
    <t>Towards Faithful Multi-step Reasoning through Fine-Grained Causal-aware Attribution Reasoning Distillation</t>
  </si>
  <si>
    <t>tilli-vu-2025-discrete</t>
  </si>
  <si>
    <t>Discrete Subgraph Sampling for Interpretable Graph based Visual Question Answering</t>
  </si>
  <si>
    <t>shen-etal-2025-reasoning</t>
  </si>
  <si>
    <t>Reasoning with Trees: Faithful Question Answering over Knowledge Graph</t>
  </si>
  <si>
    <t>irnawan-etal-2025-claim</t>
  </si>
  <si>
    <t>Claim veracity assessment for explainable fake news detection</t>
  </si>
  <si>
    <t>chen-etal-2025-faithful</t>
  </si>
  <si>
    <t>Faithful Inference Chains Extraction for Fact Verification over Multi-view Heterogeneous Graph with Causal Intervention</t>
  </si>
  <si>
    <t>hao-etal-2025-post</t>
  </si>
  <si>
    <t>Post-Hoc Watermarking for Robust Detection in Text Generated by Large Language Models</t>
  </si>
  <si>
    <t>wu-etal-2025-edge</t>
  </si>
  <si>
    <t>Edge-free but Structure-aware: Prototype-Guided Knowledge Distillation from {GNN}s to {MLP}s</t>
  </si>
  <si>
    <t>liu-etal-2025-empirical</t>
  </si>
  <si>
    <t>Empirical Study on Data Attributes Insufficiency of Evaluation Benchmarks for {LLM}s</t>
  </si>
  <si>
    <t>alqurashi-etal-2025-bert</t>
  </si>
  <si>
    <t>{BERT}-based Classical {A}rabic Poetry Authorship Attribution</t>
  </si>
  <si>
    <t>riahi-samani-etal-2025-large</t>
  </si>
  <si>
    <t>Large Language Models with Reinforcement Learning from Human Feedback Approach for Enhancing Explainable Sexism Detection</t>
  </si>
  <si>
    <t>ferreira-etal-2025-explanation</t>
  </si>
  <si>
    <t>Explanation Regularisation through the Lens of Attributions</t>
  </si>
  <si>
    <t>salles-etal-2025-hatebrxplain</t>
  </si>
  <si>
    <t>{H}ate{BRX}plain: A Benchmark Dataset with Human-Annotated Rationales for Explainable Hate Speech Detection in {B}razilian {P}ortuguese</t>
  </si>
  <si>
    <t>hu-etal-2025-large</t>
  </si>
  <si>
    <t>Large Language Model-Based Event Relation Extraction with Rationales</t>
  </si>
  <si>
    <t>li-etal-2025-incorporating</t>
  </si>
  <si>
    <t>Incorporating Review-missing Interactions for Generative Explainable Recommendation</t>
  </si>
  <si>
    <t>zhang-etal-2025-hire</t>
  </si>
  <si>
    <t>Hire Me or Not? Examining Language Model{'}s Behavior with Occupation Attributes</t>
  </si>
  <si>
    <t>ling-etal-2025-enhancing</t>
  </si>
  <si>
    <t>Enhancing Factual Consistency in Text Summarization via Counterfactual Debiasing</t>
  </si>
  <si>
    <t>dementieva-etal-2025-multilingual</t>
  </si>
  <si>
    <t>Multilingual and Explainable Text Detoxification with Parallel Corpora</t>
  </si>
  <si>
    <t>zhao-etal-2025-dynamic</t>
  </si>
  <si>
    <t>Dynamic-prototype Contrastive Fine-tuning for Continual Few-shot Relation Extraction with Unseen Relation Detection</t>
  </si>
  <si>
    <t>xu-etal-2025-log</t>
  </si>
  <si>
    <t>{LOG}: A Local-to-Global Optimization Approach for Retrieval-based Explainable Multi-Hop Question Answering</t>
  </si>
  <si>
    <t>gallipoli-cagliero-2025-piece</t>
  </si>
  <si>
    <t>It is not a piece of cake for {GPT}: Explaining Textual Entailment Recognition in the presence of Figurative Language</t>
  </si>
  <si>
    <t>wen-etal-2025-gaprotonet</t>
  </si>
  <si>
    <t>{GAP}roto{N}et: A Multi-head Graph Attention-based Prototypical Network for Interpretable Text Classification</t>
  </si>
  <si>
    <t>kim-2025-ambiguous</t>
  </si>
  <si>
    <t>How Ambiguous Are the Rationales for Natural Language Reasoning? A Simple Approach to Handling Rationale Uncertainty</t>
  </si>
  <si>
    <t>zarharan-etal-2025-farexstance</t>
  </si>
  <si>
    <t>{F}ar{E}x{S}tance: Explainable Stance Detection for {F}arsi</t>
  </si>
  <si>
    <t>duan-etal-2025-unveiling</t>
  </si>
  <si>
    <t>Unveiling Language Competence Neurons: A Psycholinguistic Approach to Model Interpretability</t>
  </si>
  <si>
    <t>gao-etal-2025-consistency</t>
  </si>
  <si>
    <t>Consistency Rating of Semantic Transparency: an Evaluation Method for Metaphor Competence in Idiom Understanding Tasks</t>
  </si>
  <si>
    <t>fang-etal-2025-counterfactual</t>
  </si>
  <si>
    <t>Counterfactual Debating with Preset Stances for Hallucination Elimination of {LLM}s</t>
  </si>
  <si>
    <t>lim-lauw-2025-interpreting</t>
  </si>
  <si>
    <t>Interpreting Topic Models in Byte-Pair Encoding Space</t>
  </si>
  <si>
    <t>zhou-etal-2025-text</t>
  </si>
  <si>
    <t>Text-Attributed Graph Learning with Coupled Augmentations</t>
  </si>
  <si>
    <t>lam-etal-2025-leveraging</t>
  </si>
  <si>
    <t>Leveraging Human Production-Interpretation Asymmetries to Test {LLM} Cognitive Plausibility</t>
  </si>
  <si>
    <t>ACL</t>
  </si>
  <si>
    <t>zhao-etal-2025-seeking</t>
  </si>
  <si>
    <t>Seeking Rational Demonstrations for Large Language Models: A Domain Generalization Approach to Unsupervised Cross-Domain Keyphrase Generation</t>
  </si>
  <si>
    <t>alipoormolabashi-etal-2025-quantifying</t>
  </si>
  <si>
    <t>Quantifying Misattribution Unfairness in Authorship Attribution</t>
  </si>
  <si>
    <t>kim-hwang-2025-counterfactual</t>
  </si>
  <si>
    <t>Counterfactual-Consistency Prompting for Relative Temporal Understanding in Large Language Models</t>
  </si>
  <si>
    <t>ye-etal-2025-cleme2</t>
  </si>
  <si>
    <t>{CLEME}2.0: Towards Interpretable Evaluation by Disentangling Edits for Grammatical Error Correction</t>
  </si>
  <si>
    <t>ruggeri-signorelli-2025-interlocking</t>
  </si>
  <si>
    <t>Interlocking-free Selective Rationalization Through Genetic-based Learning</t>
  </si>
  <si>
    <t>li-etal-2025-open</t>
  </si>
  <si>
    <t>Open-World Attribute Mining for {E}-Commerce Products with Multimodal Self-Correction Instruction Tuning</t>
  </si>
  <si>
    <t>edin-etal-2025-normalized</t>
  </si>
  <si>
    <t>Normalized {AOPC}: Fixing Misleading Faithfulness Metrics for Feature Attributions Explainability</t>
  </si>
  <si>
    <t>patel-etal-2025-retrieve</t>
  </si>
  <si>
    <t>Retrieve to Explain: Evidence-driven Predictions for Explainable Drug Target Identification</t>
  </si>
  <si>
    <t>zhou-etal-2025-taming</t>
  </si>
  <si>
    <t>Taming Language Models for Text-attributed Graph Learning with Decoupled Aggregation</t>
  </si>
  <si>
    <t>yang-etal-2025-confidence</t>
  </si>
  <si>
    <t>Confidence v.s. Critique: A Decomposition of Self-Correction Capability for {LLM}s</t>
  </si>
  <si>
    <t>luo-etal-2025-automating</t>
  </si>
  <si>
    <t>Automating Legal Interpretation with {LLM}s: Retrieval, Generation, and Evaluation</t>
  </si>
  <si>
    <t>wei-zhu-2025-protolens</t>
  </si>
  <si>
    <t>{P}roto{L}ens: Advancing Prototype Learning for Fine-Grained Interpretability in Text Classification</t>
  </si>
  <si>
    <t>zhang-etal-2025-dually</t>
  </si>
  <si>
    <t>Dually Self-Improved Counterfactual Data Augmentation Using Large Language Model</t>
  </si>
  <si>
    <t>meng-etal-2025-stigma</t>
  </si>
  <si>
    <t>What is Stigma Attributed to? A Theory-Grounded, Expert-Annotated Interview Corpus for Demystifying Mental-Health Stigma</t>
  </si>
  <si>
    <t>gur-arieh-etal-2025-enhancing</t>
  </si>
  <si>
    <t>Enhancing Automated Interpretability with Output-Centric Feature Descriptions</t>
  </si>
  <si>
    <t>chen-etal-2025-f5</t>
  </si>
  <si>
    <t>F5-{TTS}: A Fairytaler that Fakes Fluent and Faithful Speech with Flow Matching</t>
  </si>
  <si>
    <t>zhelnin-etal-2025-gift</t>
  </si>
  <si>
    <t>{GIFT}-{SW}: {G}aussian noise Injected Fine-Tuning of Salient Weights for {LLM}s</t>
  </si>
  <si>
    <t>li-etal-2025-drift</t>
  </si>
  <si>
    <t>Drift: Enhancing {LLM} Faithfulness in Rationale Generation via Dual-Reward Probabilistic Inference</t>
  </si>
  <si>
    <t>lin-etal-2025-gamebot</t>
  </si>
  <si>
    <t>{GAMEB}o{T}: Transparent Assessment of {LLM} Reasoning in Games</t>
  </si>
  <si>
    <t>xie-etal-2025-improving</t>
  </si>
  <si>
    <t>Improving Model Factuality with Fine-grained Critique-based Evaluator</t>
  </si>
  <si>
    <t>ravenda-etal-2025-llms</t>
  </si>
  <si>
    <t>Are {LLM}s effective psychological assessors? Leveraging adaptive {RAG} for interpretable mental health screening through psychometric practice</t>
  </si>
  <si>
    <t>kim-lee-2025-forward</t>
  </si>
  <si>
    <t>Forward Knows Efficient Backward Path: Saliency-Guided Memory-Efficient Fine-tuning of Large Language Models</t>
  </si>
  <si>
    <t>li-ng-2025-think</t>
  </si>
  <si>
    <t>Think{\&amp;}Cite: Improving Attributed Text Generation with Self-Guided Tree Search and Progress Reward Modeling</t>
  </si>
  <si>
    <t>zhu-etal-2025-real</t>
  </si>
  <si>
    <t>From Real to Synthetic: Synthesizing Millions of Diversified and Complicated User Instructions with Attributed Grounding</t>
  </si>
  <si>
    <t>pham-etal-2025-mitigating</t>
  </si>
  <si>
    <t>Mitigating Non-Representative Prototypes and Representation Bias in Few-Shot Continual Relation Extraction</t>
  </si>
  <si>
    <t>niu-etal-2025-knowledge</t>
  </si>
  <si>
    <t>Knowledge-Augmented Multimodal Clinical Rationale Generation for Disease Diagnosis with Small Language Models</t>
  </si>
  <si>
    <t>jiang-etal-2025-enhancing</t>
  </si>
  <si>
    <t>Enhancing Interpretable Image Classification Through {LLM} Agents and Conditional Concept Bottleneck Models</t>
  </si>
  <si>
    <t>lian-etal-2025-beyond</t>
  </si>
  <si>
    <t>Beyond Surface Simplicity: Revealing Hidden Reasoning Attributes for Precise Commonsense Diagnosis</t>
  </si>
  <si>
    <t>rose-etal-2025-meddxagent</t>
  </si>
  <si>
    <t>{MEDD}x{A}gent: A Unified Modular Agent Framework for Explainable Automatic Differential Diagnosis</t>
  </si>
  <si>
    <t>hirsch-etal-2025-laquer</t>
  </si>
  <si>
    <t>{LAQ}uer: Localized Attribution Queries in Content-grounded Generation</t>
  </si>
  <si>
    <t>patnaik-etal-2025-learning</t>
  </si>
  <si>
    <t>Learning Together to Perform Better: Teaching Small-Scale {LLM}s to Collaborate via Preferential Rationale Tuning</t>
  </si>
  <si>
    <t>song-etal-2025-irt</t>
  </si>
  <si>
    <t>{IRT}-Router: Effective and Interpretable Multi-{LLM} Routing via Item Response Theory</t>
  </si>
  <si>
    <t>javorsky-etal-2025-mockconf</t>
  </si>
  <si>
    <t>{M}ock{C}onf: A Student Interpretation Dataset: Analysis, Word- and Span-level Alignment and Baselines</t>
  </si>
  <si>
    <t>khan-etal-2025-explaining</t>
  </si>
  <si>
    <t>Explaining Matters: Leveraging Definitions and Semantic Expansion for Sexism Detection</t>
  </si>
  <si>
    <t>huang-etal-2025-improving</t>
  </si>
  <si>
    <t>Improving Contextual Faithfulness of Large Language Models via Retrieval Heads-Induced Optimization</t>
  </si>
  <si>
    <t>radevski-etal-2025-synthesizing</t>
  </si>
  <si>
    <t>On Synthesizing Data for Context Attribution in Question Answering</t>
  </si>
  <si>
    <t>hu-etal-2025-llms</t>
  </si>
  <si>
    <t>Can {LLM}s Evaluate Complex Attribution in {QA}? Automatic Benchmarking using Knowledge Graphs</t>
  </si>
  <si>
    <t>bao-etal-2025-fixing</t>
  </si>
  <si>
    <t>Fixing Distribution Shifts of {LLM} Self-Critique via On-Policy Self-Play Training</t>
  </si>
  <si>
    <t>quan-etal-2025-faithful</t>
  </si>
  <si>
    <t>Faithful and Robust {LLM}-Driven Theorem Proving for {NLI} Explanations</t>
  </si>
  <si>
    <t>zheng-etal-2025-dncasr</t>
  </si>
  <si>
    <t>{DNCASR}: End-to-End Training for Speaker-Attributed {ASR}</t>
  </si>
  <si>
    <t>azarkhalili-libbrecht-2025-generalized</t>
  </si>
  <si>
    <t>Generalized Attention Flow: Feature Attribution for Transformer Models via Maximum Flow</t>
  </si>
  <si>
    <t>nguyen-etal-2025-multi</t>
  </si>
  <si>
    <t>Multi-Attribute Steering of Language Models via Targeted Intervention</t>
  </si>
  <si>
    <t>singhvi-etal-2025-using</t>
  </si>
  <si>
    <t>Using Shapley interactions to understand how models use structure</t>
  </si>
  <si>
    <t>spinoso-di-piano-etal-2025-rsa</t>
  </si>
  <si>
    <t>({RSA}){\texttwosuperior}: A Rhetorical-Strategy-Aware Rational Speech Act Framework for Figurative Language Understanding</t>
  </si>
  <si>
    <t>tang-etal-2025-cognibench</t>
  </si>
  <si>
    <t>{C}ogni{B}ench: A Legal-inspired Framework and Dataset for Assessing Cognitive Faithfulness of Large Language Models</t>
  </si>
  <si>
    <t>zhang-etal-2025-faithfulrag</t>
  </si>
  <si>
    <t>{F}aithful{RAG}: Fact-Level Conflict Modeling for Context-Faithful Retrieval-Augmented Generation</t>
  </si>
  <si>
    <t>park-etal-2025-evaluating</t>
  </si>
  <si>
    <t>Evaluating Visual and Cultural Interpretation: The K-Viscuit Benchmark with Human-{VLM} Collaboration</t>
  </si>
  <si>
    <t>chang-etal-2025-jopa</t>
  </si>
  <si>
    <t>{J}o{PA}: Explaining Large Language Model{'}s Generation via Joint Prompt Attribution</t>
  </si>
  <si>
    <t>feng-etal-2025-culfit</t>
  </si>
  <si>
    <t>{C}ul{F}i{T}: A Fine-grained Cultural-aware {LLM} Training Paradigm via Multilingual Critique Data Synthesis</t>
  </si>
  <si>
    <t>li-etal-2025-decoding</t>
  </si>
  <si>
    <t>Decoding Knowledge Attribution in Mixture-of-Experts: A Framework of Basic-Refinement Collaboration and Efficiency Analysis</t>
  </si>
  <si>
    <t>suri-etal-2025-chartlens</t>
  </si>
  <si>
    <t>{C}hart{L}ens: Fine-grained Visual Attribution in Charts</t>
  </si>
  <si>
    <t>go-etal-2025-xdac</t>
  </si>
  <si>
    <t>{XDAC}: {XAI}-Driven Detection and Attribution of {LLM}-Generated News Comments in {K}orean</t>
  </si>
  <si>
    <t>lee-etal-2025-emotional</t>
  </si>
  <si>
    <t>Does the Emotional Understanding of {LVLM}s Vary Under High-Stress Environments and Across Different Demographic Attributes?</t>
  </si>
  <si>
    <t>li-etal-2025-decoding-graphs</t>
  </si>
  <si>
    <t>Decoding on Graphs: Faithful and Sound Reasoning on Knowledge Graphs through Generation of Well-Formed Chains</t>
  </si>
  <si>
    <t>li-pan-2025-ceaes</t>
  </si>
  <si>
    <t>{CEAES}: Bidirectional Reinforcement Learning Optimization for Consistent and Explainable Essay Assessment</t>
  </si>
  <si>
    <t>liang-etal-2025-colloquial</t>
  </si>
  <si>
    <t>Colloquial Singaporean {E}nglish Style Transfer with Fine-Grained Explainable Control</t>
  </si>
  <si>
    <t>hu-etal-2025-dual</t>
  </si>
  <si>
    <t>A Dual-Perspective {NLG} Meta-Evaluation Framework with Automatic Benchmark and Better Interpretability</t>
  </si>
  <si>
    <t>ghosh-etal-2025-just</t>
  </si>
  <si>
    <t>Just a Scratch: Enhancing {LLM} Capabilities for Self-harm Detection through Intent Differentiation and Emoji Interpretation</t>
  </si>
  <si>
    <t>min-etal-2025-understanding</t>
  </si>
  <si>
    <t>Understanding Impact of Human Feedback via Influence Functions</t>
  </si>
  <si>
    <t>padhi-etal-2025-counterspeech</t>
  </si>
  <si>
    <t>Counterspeech the ultimate shield! Multi-Conditioned Counterspeech Generation through Attributed Prefix Learning</t>
  </si>
  <si>
    <t>hein-etal-2025-chexalign</t>
  </si>
  <si>
    <t>{C}he{X}align: Preference fine-tuning in chest {X}-ray interpretation models without human feedback</t>
  </si>
  <si>
    <t>sun-etal-2025-prism</t>
  </si>
  <si>
    <t>{PRISM}: A Framework for Producing Interpretable Political Bias Embeddings with Political-Aware Cross-Encoder</t>
  </si>
  <si>
    <t>pronesti-etal-2025-query</t>
  </si>
  <si>
    <t>Query-driven Document-level Scientific Evidence Extraction from Biomedical Studies</t>
  </si>
  <si>
    <t>wang-etal-2025-a3</t>
  </si>
  <si>
    <t>$\mathcal{A}^3$: Automatic Alignment Framework for Attributed Text Generation</t>
  </si>
  <si>
    <t>kamigaito-etal-2025-diversity</t>
  </si>
  <si>
    <t>Diversity Explains Inference Scaling Laws: Through a Case Study of Minimum {B}ayes Risk Decoding</t>
  </si>
  <si>
    <t>ma-etal-2025-visa</t>
  </si>
  <si>
    <t>{VISA}: Retrieval Augmented Generation with Visual Source Attribution</t>
  </si>
  <si>
    <t>li-etal-2025-iris</t>
  </si>
  <si>
    <t>{IRIS}: Interpretable Retrieval-Augmented Classification for Long Interspersed Document Sequences</t>
  </si>
  <si>
    <t>saranathan-etal-2025-sublime</t>
  </si>
  <si>
    <t>{S}ub{LIME}: Subset Selection via Rank Correlation Prediction for Data-Efficient {LLM} Evaluation</t>
  </si>
  <si>
    <t>douglas-etal-2025-less</t>
  </si>
  <si>
    <t>Less is More: Explainable and Efficient {ICD} Code Prediction with Clinical Entities</t>
  </si>
  <si>
    <t>su-etal-2025-taclr</t>
  </si>
  <si>
    <t>{TACLR}: A Scalable and Efficient Retrieval-based Method for Industrial Product Attribute Value Identification</t>
  </si>
  <si>
    <t>yang-etal-2025-maple</t>
  </si>
  <si>
    <t>{MAPLE}: Enhancing Review Generation with Multi-Aspect Prompt {LE}arning in Explainable Recommendation</t>
  </si>
  <si>
    <t>xu-etal-2025-citeeval</t>
  </si>
  <si>
    <t>{C}ite{E}val: Principle-Driven Citation Evaluation for Source Attribution</t>
  </si>
  <si>
    <t>sui-etal-2025-kristeva</t>
  </si>
  <si>
    <t>{KRISTEVA}: Close Reading as a Novel Task for Benchmarking Interpretive Reasoning</t>
  </si>
  <si>
    <t>sha-lukasiewicz-2024-text</t>
  </si>
  <si>
    <t>Text Attribute Control via Closed-Loop Disentanglement</t>
  </si>
  <si>
    <t>zeng-gao-2024-justilm</t>
  </si>
  <si>
    <t>{J}usti{LM}: Few-shot Justification Generation for Explainable Fact-Checking of Real-world Claims</t>
  </si>
  <si>
    <t>"Justification is an explanation that supports the veracity assigned to a claim in fact-checking."</t>
  </si>
  <si>
    <t>adlakha-etal-2024-evaluating</t>
  </si>
  <si>
    <t>Evaluating Correctness and Faithfulness of Instruction-Following Models for Question Answering</t>
  </si>
  <si>
    <t>Correlation of several automatic evalu-
ation metrics with human judgments for correct-
ness w.r.t. information need.</t>
  </si>
  <si>
    <t>aggazzotti-etal-2024-authorship</t>
  </si>
  <si>
    <t>Can Authorship Attribution Models Distinguish Speakers in Speech Transcripts?</t>
  </si>
  <si>
    <t>guerreiro-etal-2024-xcomet</t>
  </si>
  <si>
    <t>x{COMET}: Transparent Machine Translation Evaluation through Fine-grained Error Detection</t>
  </si>
  <si>
    <t xml:space="preserve"> top-performing cluster according to statistical significance (p &lt; 0.05).</t>
  </si>
  <si>
    <t>honda-etal-2024-eliminate</t>
  </si>
  <si>
    <t>Not Eliminate but Aggregate: Post-Hoc Control over Mixture-of-Experts to Address Shortcut Shifts in Natural Language Understanding</t>
  </si>
  <si>
    <t>jandaghi-etal-2024-faithful-persona</t>
  </si>
  <si>
    <t>Faithful Persona-based Conversational Dataset Generation with Large Language Models</t>
  </si>
  <si>
    <t>zhang-etal-2024-improving-toponym</t>
  </si>
  <si>
    <t>Improving Toponym Resolution by Predicting Attributes to Constrain Geographical Ontology Entries</t>
  </si>
  <si>
    <t>xie-etal-2024-extracting</t>
  </si>
  <si>
    <t>Extracting Lexical Features from Dialects via Interpretable Dialect Classifiers</t>
  </si>
  <si>
    <t>ding-etal-2024-rationale</t>
  </si>
  <si>
    <t>A Rationale-centric Counterfactual Data Augmentation Method for Cross-Document Event Coreference Resolution</t>
  </si>
  <si>
    <t>kovatchev-lease-2024-benchmark</t>
  </si>
  <si>
    <t>Benchmark Transparency: Measuring the Impact of Data on Evaluation</t>
  </si>
  <si>
    <t>wu-etal-2024-reasoning</t>
  </si>
  <si>
    <t>Reasoning or Reciting? Exploring the Capabilities and Limitations of Language Models Through Counterfactual Tasks</t>
  </si>
  <si>
    <t>erk-apidianaki-2024-adjusting</t>
  </si>
  <si>
    <t>Adjusting Interpretable Dimensions in Embedding Space with Human Judgments</t>
  </si>
  <si>
    <t>jiang-etal-2024-trisum</t>
  </si>
  <si>
    <t>{T}ri{S}um: Learning Summarization Ability from Large Language Models with Structured Rationale</t>
  </si>
  <si>
    <t>malaviya-etal-2024-expertqa</t>
  </si>
  <si>
    <t>{E}xpert{QA}: Expert-Curated Questions and Attributed Answers</t>
  </si>
  <si>
    <t>zhao-aletras-2024-comparing</t>
  </si>
  <si>
    <t>Comparing Explanation Faithfulness between Multilingual and Monolingual Fine-tuned Language Models</t>
  </si>
  <si>
    <t>salkhordeh-ziabari-etal-2024-reinforced</t>
  </si>
  <si>
    <t>Reinforced Multiple Instance Selection for Speaker Attribute Prediction</t>
  </si>
  <si>
    <t>wang-etal-2024-helpsteer</t>
  </si>
  <si>
    <t>{H}elp{S}teer: Multi-attribute Helpfulness Dataset for {S}teer{LM}</t>
  </si>
  <si>
    <t>patel-etal-2024-towards</t>
  </si>
  <si>
    <t>Towards Improved Multi-Source Attribution for Long-Form Answer Generation</t>
  </si>
  <si>
    <t>nath-etal-2024-okay</t>
  </si>
  <si>
    <t>Okay, Let{'}s Do This! Modeling Event Coreference with Generated Rationales and Knowledge Distillation</t>
  </si>
  <si>
    <t>wang-etal-2024-enhancing</t>
  </si>
  <si>
    <t>Enhancing Large Language Models Against Inductive Instructions with Dual-critique Prompting</t>
  </si>
  <si>
    <t>cao-wang-2024-awesome</t>
  </si>
  <si>
    <t>{AWESOME}: {GPU} Memory-constrained Long Document Summarization using Memory Mechanism and Global Salient Content</t>
  </si>
  <si>
    <t>daheim-etal-2024-elastic</t>
  </si>
  <si>
    <t>Elastic Weight Removal for Faithful and Abstractive Dialogue Generation</t>
  </si>
  <si>
    <t>mcinerney-etal-2024-towards</t>
  </si>
  <si>
    <t>Towards Reducing Diagnostic Errors with Interpretable Risk Prediction</t>
  </si>
  <si>
    <t>valvoda-cotterell-2024-towards</t>
  </si>
  <si>
    <t>Towards Explainability in Legal Outcome Prediction Models</t>
  </si>
  <si>
    <t>vasileiou-eberle-2024-explaining</t>
  </si>
  <si>
    <t>Explaining Text Similarity in Transformer Models</t>
  </si>
  <si>
    <t>zhuang-etal-2024-macsc</t>
  </si>
  <si>
    <t>{M}a{CSC}: Towards Multimodal-augmented Pre-trained Language Models via Conceptual Prototypes and Self-balancing Calibration</t>
  </si>
  <si>
    <t>li-chaturvedi-2024-rationale</t>
  </si>
  <si>
    <t>Rationale-based Opinion Summarization</t>
  </si>
  <si>
    <t>zhu-etal-2024-efficient</t>
  </si>
  <si>
    <t>Efficient End-to-End Visual Document Understanding with Rationale Distillation</t>
  </si>
  <si>
    <t>spangher-etal-2024-legaldiscourse</t>
  </si>
  <si>
    <t>{L}egal{D}iscourse: Interpreting When Laws Apply and To Whom</t>
  </si>
  <si>
    <t>niu-etal-2024-hong</t>
  </si>
  <si>
    <t>A {H}ong {K}ong {S}ign {L}anguage Corpus Collected from Sign-interpreted {TV} News</t>
  </si>
  <si>
    <t>urakawa-etal-2024-japanese</t>
  </si>
  <si>
    <t>A {J}apanese News Simplification Corpus with Faithfulness</t>
  </si>
  <si>
    <t>ikhwantri-etal-2024-analyzing</t>
  </si>
  <si>
    <t>Analyzing Interpretability of Summarization Model with Eye-gaze Information</t>
  </si>
  <si>
    <t>liu-etal-2024-ce</t>
  </si>
  <si>
    <t>{CE}-{VDG}: Counterfactual Entropy-based Bias Reduction for Video-grounded Dialogue Generation</t>
  </si>
  <si>
    <t>imashev-etal-2024-comparative</t>
  </si>
  <si>
    <t>Comparative Analysis of Sign Language Interpreting Agents Perception: A Study of the Deaf</t>
  </si>
  <si>
    <t>steindl-etal-2024-counterfactual</t>
  </si>
  <si>
    <t>Counterfactual Dialog Mixing as Data Augmentation for Task-Oriented Dialog Systems</t>
  </si>
  <si>
    <t>kranzlein-etal-2024-curiam</t>
  </si>
  <si>
    <t>{C}u{RIAM}: Corpus Re Interpretation and Metalanguage in {U}.{S}. {S}upreme {C}ourt Opinions</t>
  </si>
  <si>
    <t>petersen-frey-biemann-2024-dataset</t>
  </si>
  <si>
    <t>Dataset of Quotation Attribution in {G}erman News Articles</t>
  </si>
  <si>
    <t>xin-etal-2024-diffusion</t>
  </si>
  <si>
    <t>Diffusion Based Counterfactual Augmentation for Dual Sentiment Classification</t>
  </si>
  <si>
    <t>hu-etal-2024-generator</t>
  </si>
  <si>
    <t>Does the Generator Mind Its Contexts? An Analysis of Generative Model Faithfulness under Context Transfer</t>
  </si>
  <si>
    <t>zhang-etal-2024-empowering</t>
  </si>
  <si>
    <t>Empowering Tree-structured Entailment Reasoning: Rhetorical Perception and {LLM}-driven Interpretability</t>
  </si>
  <si>
    <t>lu-etal-2024-evaluating</t>
  </si>
  <si>
    <t>Evaluating Saliency Explanations in {NLP} by Crowdsourcing</t>
  </si>
  <si>
    <t>brandl-etal-2024-evaluating</t>
  </si>
  <si>
    <t>Evaluating Webcam-based Gaze Data as an Alternative for Human Rationale Annotations</t>
  </si>
  <si>
    <t>hwang-etal-2024-explainable</t>
  </si>
  <si>
    <t>Explainable Multi-hop Question Generation: An End-to-End Approach without Intermediate Question Labeling</t>
  </si>
  <si>
    <t>zhou-etal-2024-explaining</t>
  </si>
  <si>
    <t>Explaining Pre-Trained Language Models with Attribution Scores: An Analysis in Low-Resource Settings</t>
  </si>
  <si>
    <t>musil-marecek-2024-exploring</t>
  </si>
  <si>
    <t>Exploring Interpretability of Independent Components of Word Embeddings with Automated Word Intruder Test</t>
  </si>
  <si>
    <t>shi-etal-2024-find</t>
  </si>
  <si>
    <t>Find-the-Common: A Benchmark for Explaining Visual Patterns from Images</t>
  </si>
  <si>
    <t>richard-etal-2024-fracas</t>
  </si>
  <si>
    <t>{FRACAS}: a {FR}ench Annotated Corpus of Attribution relations in new{S}</t>
  </si>
  <si>
    <t>maladry-etal-2024-human</t>
  </si>
  <si>
    <t>Human and System Perspectives on the Expression of Irony: An Analysis of Likelihood Labels and Rationales</t>
  </si>
  <si>
    <t>ghosh-roy-han-2024-ilciter</t>
  </si>
  <si>
    <t>{ILC}ite{R}: Evidence-grounded Interpretable Local Citation Recommendation</t>
  </si>
  <si>
    <t>zhang-etal-2024-improving-continual</t>
  </si>
  <si>
    <t>Improving Continual Few-shot Relation Extraction through Relational Knowledge Distillation and Prototype Augmentation</t>
  </si>
  <si>
    <t>li-etal-2024-improving-faithfulness</t>
  </si>
  <si>
    <t>Improving Faithfulness of Large Language Models in Summarization via Sliding Generation and Self-Consistency</t>
  </si>
  <si>
    <t>banerjee-etal-2024-inffeed</t>
  </si>
  <si>
    <t>{I}nf{F}eed: Influence Functions as a Feedback to Improve the Performance of Subjective Tasks</t>
  </si>
  <si>
    <t>tran-miyao-2024-integrating</t>
  </si>
  <si>
    <t>Integrating Headedness Information into an Auto-generated Multilingual {CCG}bank for Improved Semantic Interpretation</t>
  </si>
  <si>
    <t>abderrazek-etal-2024-interpretable</t>
  </si>
  <si>
    <t>Interpretable Assessment of Speech Intelligibility Using Deep Learning: A Case Study on Speech Disorders Due to Head and Neck Cancers</t>
  </si>
  <si>
    <t>wu-etal-2024-interpretable</t>
  </si>
  <si>
    <t>Interpretable Short Video Rumor Detection Based on Modality Tampering</t>
  </si>
  <si>
    <t>zhang-etal-2024-interpreting</t>
  </si>
  <si>
    <t>Interpreting Themes from Educational Stories</t>
  </si>
  <si>
    <t>tilli-vu-2024-intrinsic</t>
  </si>
  <si>
    <t>Intrinsic Subgraph Generation for Interpretable Graph Based Visual Question Answering</t>
  </si>
  <si>
    <t>ishii-etal-2024-jemhopqa</t>
  </si>
  <si>
    <t>{JEMH}op{QA}: Dataset for {J}apanese Explainable Multi-Hop Question Answering</t>
  </si>
  <si>
    <t>cheng-etal-2024-learning</t>
  </si>
  <si>
    <t>Learning Intrinsic Dimension via Information Bottleneck for Explainable Aspect-based Sentiment Analysis</t>
  </si>
  <si>
    <t>zhou-etal-2024-mcil</t>
  </si>
  <si>
    <t>{MCIL}: Multimodal Counterfactual Instance Learning for Low-resource Entity-based Multimodal Information Extraction</t>
  </si>
  <si>
    <t>chen-etal-2024-mmaps</t>
  </si>
  <si>
    <t>{MMAPS}: End-to-End Multi-Grained Multi-Modal Attribute-Aware Product Summarization</t>
  </si>
  <si>
    <t>zhao-etal-2024-naist</t>
  </si>
  <si>
    <t>{NAIST}-{SIC}-Aligned: An Aligned {E}nglish-{J}apanese Simultaneous Interpretation Corpus</t>
  </si>
  <si>
    <t>zhang-etal-2024-new</t>
  </si>
  <si>
    <t>New Intent Discovery with Attracting and Dispersing Prototype</t>
  </si>
  <si>
    <t>rehbein-etal-2024-mouths</t>
  </si>
  <si>
    <t>Out of the Mouths of {MP}s: Speaker Attribution in Parliamentary Debates</t>
  </si>
  <si>
    <t>ogrodniczuk-etal-2024-polish-discourse</t>
  </si>
  <si>
    <t>{P}olish Discourse Corpus ({PDC}): Corpus Design, {ISO}-Compliant Annotation, Data Highlights, and Parser Development</t>
  </si>
  <si>
    <t>li-etal-2024-prompting</t>
  </si>
  <si>
    <t>Prompting Large Language Models for Counterfactual Generation: An Empirical Study</t>
  </si>
  <si>
    <t>tang-etal-2024-prototype</t>
  </si>
  <si>
    <t>Prototype-based Prompt-Instance Interaction with Causal Intervention for Few-shot Event Detection</t>
  </si>
  <si>
    <t>grissom-ii-etal-2024-rapidly</t>
  </si>
  <si>
    <t>Rapidly Piloting Real-time Linguistic Assistance for Simultaneous Interpreters with Untrained Bilingual Surrogates</t>
  </si>
  <si>
    <t>t-revi-etal-2024-rationale</t>
  </si>
  <si>
    <t>Rationale-based Learning Using Self-Supervised Narrative Events for Text Summarisation of Interactive Digital Narratives</t>
  </si>
  <si>
    <t>zeng-etal-2024-ru22fact</t>
  </si>
  <si>
    <t>{RU}22{F}act: Optimizing Evidence for Multilingual Explainable Fact-Checking on {R}ussia-{U}kraine Conflict</t>
  </si>
  <si>
    <t>jain-etal-2024-saliency</t>
  </si>
  <si>
    <t>Saliency-Aware Interpolative Augmentation for Multimodal Financial Prediction</t>
  </si>
  <si>
    <t>garcia-silva-etal-2024-space</t>
  </si>
  <si>
    <t>{SPACE}-{IDEAS}: A Dataset for Salient Information Detection in Space Innovation</t>
  </si>
  <si>
    <t>lu-etal-2024-take</t>
  </si>
  <si>
    <t>Take Its Essence, Discard Its Dross! Debiasing for Toxic Language Detection via Counterfactual Causal Effect</t>
  </si>
  <si>
    <t>kamp-etal-2024-role</t>
  </si>
  <si>
    <t>The Role of Syntactic Span Preferences in Post-Hoc Explanation Disagreement</t>
  </si>
  <si>
    <t>t-y-s-s-etal-2024-towards</t>
  </si>
  <si>
    <t>Towards Explainability and Fairness in {S}wiss Judgement Prediction: Benchmarking on a Multilingual Dataset</t>
  </si>
  <si>
    <t>sun-etal-2024-towards</t>
  </si>
  <si>
    <t>Towards Generalizable and Faithful Logic Reasoning over Natural Language via Resolution Refutation</t>
  </si>
  <si>
    <t>zhong-etal-2024-said</t>
  </si>
  <si>
    <t>Who Said What: Formalization and Benchmarks for the Task of Quote Attribution</t>
  </si>
  <si>
    <t>bayer-etal-2024-xai</t>
  </si>
  <si>
    <t>{XAI}-Attack: Utilizing Explainable {AI} to Find Incorrectly Learned Patterns for Black-Box Adversarial Example Creation</t>
  </si>
  <si>
    <t>zhang-etal-2024-xatu</t>
  </si>
  <si>
    <t>{XATU}: A Fine-grained Instruction-based Benchmark for Explainable Text Updates</t>
  </si>
  <si>
    <t>qiu-etal-2024-think</t>
  </si>
  <si>
    <t>Think While You Write: Hypothesis Verification Promotes Faithful Knowledge-to-Text Generation</t>
  </si>
  <si>
    <t>ma-etal-2024-beta</t>
  </si>
  <si>
    <t>Beta-{LR}: Interpretable Logical Reasoning based on Beta Distribution</t>
  </si>
  <si>
    <t>pham-etal-2024-peeb</t>
  </si>
  <si>
    <t>{PEEB}: Part-based Image Classifiers with an Explainable and Editable Language Bottleneck</t>
  </si>
  <si>
    <t>wang-etal-2024-interpreting</t>
  </si>
  <si>
    <t>Interpreting Answers to Yes-No Questions in Dialogues from Multiple Domains</t>
  </si>
  <si>
    <t>wei-jie-etal-2024-interpretable</t>
  </si>
  <si>
    <t>How Interpretable are Reasoning Explanations from Prompting Large Language Models?</t>
  </si>
  <si>
    <t>hong-etal-2024-gullible</t>
  </si>
  <si>
    <t>Why So Gullible? Enhancing the Robustness of Retrieval-Augmented Models against Counterfactual Noise</t>
  </si>
  <si>
    <t>samardzic-etal-2024-measure</t>
  </si>
  <si>
    <t>A Measure for Transparent Comparison of Linguistic Diversity in Multilingual {NLP} Data Sets</t>
  </si>
  <si>
    <t>saxena-keller-2024-select</t>
  </si>
  <si>
    <t>Select and Summarize: Scene Saliency for Movie Script Summarization</t>
  </si>
  <si>
    <t>moghe-etal-2024-interpreting</t>
  </si>
  <si>
    <t>Interpreting User Requests in the Context of Natural Language Standing Instructions</t>
  </si>
  <si>
    <t>resck-etal-2024-exploring</t>
  </si>
  <si>
    <t>Exploring the Trade-off Between Model Performance and Explanation Plausibility of Text Classifiers Using Human Rationales</t>
  </si>
  <si>
    <t>langedijk-etal-2024-decoderlens</t>
  </si>
  <si>
    <t>{D}ecoder{L}ens: Layerwise Interpretation of Encoder-Decoder Transformers</t>
  </si>
  <si>
    <t>berchansky-etal-2024-cotar</t>
  </si>
  <si>
    <t>{C}o{TAR}: Chain-of-Thought Attribution Reasoning with Multi-level Granularity</t>
  </si>
  <si>
    <t>zhang-etal-2024-document-hashing</t>
  </si>
  <si>
    <t>Document Hashing with Multi-Grained Prototype-Induced Hierarchical Generative Model</t>
  </si>
  <si>
    <t>ma-etal-2024-xrec</t>
  </si>
  <si>
    <t>{XR}ec: Large Language Models for Explainable Recommendation</t>
  </si>
  <si>
    <t>liu-etal-2024-safety</t>
  </si>
  <si>
    <t>{SAFETY}-{J}: Evaluating Safety with Critique</t>
  </si>
  <si>
    <t>wang-etal-2024-coxql</t>
  </si>
  <si>
    <t>{C}o{XQL}: A Dataset for Parsing Explanation Requests in Conversational {XAI} Systems</t>
  </si>
  <si>
    <t>yang-etal-2024-eave</t>
  </si>
  <si>
    <t>{EAVE}: Efficient Product Attribute Value Extraction via Lightweight Sparse-layer Interaction</t>
  </si>
  <si>
    <t>li-etal-2024-diversify</t>
  </si>
  <si>
    <t>Diversify, Rationalize, and Combine: Ensembling Multiple {QA} Strategies for Zero-shot Knowledge-based {VQA}</t>
  </si>
  <si>
    <t>wojciechowski-etal-2024-faithful</t>
  </si>
  <si>
    <t>Faithful and Plausible Natural Language Explanations for Image Classification: A Pipeline Approach</t>
  </si>
  <si>
    <t>chen-etal-2024-controlling</t>
  </si>
  <si>
    <t>Controlling Risk of Retrieval-augmented Generation: A Counterfactual Prompting Framework</t>
  </si>
  <si>
    <t>zhang-etal-2024-coarse</t>
  </si>
  <si>
    <t>A Coarse-to-Fine Prototype Learning Approach for Multi-Label Few-Shot Intent Detection</t>
  </si>
  <si>
    <t>cheng-etal-2024-towards</t>
  </si>
  <si>
    <t>Towards Explainable Computerized Adaptive Testing with Large Language Model</t>
  </si>
  <si>
    <t>bai-etal-2024-learning</t>
  </si>
  <si>
    <t>Learning Dynamic Multi-attribute Interest for Personalized Product Search</t>
  </si>
  <si>
    <t>elazar-etal-2024-measuring</t>
  </si>
  <si>
    <t>Measuring and Improving Attentiveness to Partial Inputs with Counterfactuals</t>
  </si>
  <si>
    <t>luo-etal-2024-summacoz</t>
  </si>
  <si>
    <t>{S}umma{C}oz: A Dataset for Improving the Interpretability of Factual Consistency Detection for Summarization</t>
  </si>
  <si>
    <t>song-etal-2024-robust</t>
  </si>
  <si>
    <t>A Robust Dual-debiasing {VQA} Model based on Counterfactual Causal Effect</t>
  </si>
  <si>
    <t>kai-etal-2024-sh2</t>
  </si>
  <si>
    <t>{SH}2: Self-Highlighted Hesitation Helps You Decode More Truthfully</t>
  </si>
  <si>
    <t>wang-etal-2024-survey</t>
  </si>
  <si>
    <t>A Survey on Natural Language Counterfactual Generation</t>
  </si>
  <si>
    <t>li-etal-2024-calibrating</t>
  </si>
  <si>
    <t>Calibrating {LLM}s with Preference Optimization on Thought Trees for Generating Rationale in Science Question Scoring</t>
  </si>
  <si>
    <t>wang-etal-2024-fantastic</t>
  </si>
  <si>
    <t>{FANTA}stic {SE}quences and Where to Find Them: Faithful and Efficient {API} Call Generation through State-tracked Constrained Decoding and Reranking</t>
  </si>
  <si>
    <t>khan-etal-2024-hope</t>
  </si>
  <si>
    <t>Hope `The Paragraph Guy' explains the rest : Introducing {M}e{S}um, the Meme Summarizer</t>
  </si>
  <si>
    <t>he-etal-2024-explaining</t>
  </si>
  <si>
    <t>Explaining Graph Neural Networks with Large Language Models: A Counterfactual Perspective on Molecule Graphs</t>
  </si>
  <si>
    <t>mahajan-etal-2024-align</t>
  </si>
  <si>
    <t>{ALIGN}-{SIM}: A Task-Free Test Bed for Evaluating and Interpreting Sentence Embeddings through Semantic Similarity Alignment</t>
  </si>
  <si>
    <t>palmeira-ferraz-etal-2024-llm</t>
  </si>
  <si>
    <t>{LLM} Self-Correction with {D}e{CRIM}: Decompose, Critique, and Refine for Enhanced Following of Instructions with Multiple Constraints</t>
  </si>
  <si>
    <t>stoehr-etal-2024-activation</t>
  </si>
  <si>
    <t>Activation Scaling for Steering and Interpreting Language Models</t>
  </si>
  <si>
    <t>wang-etal-2024-variational</t>
  </si>
  <si>
    <t>Variational Language Concepts for Interpreting Foundation Language Models</t>
  </si>
  <si>
    <t>wang-etal-2024-beyond-agreement</t>
  </si>
  <si>
    <t>Beyond Agreement: Diagnosing the Rationale Alignment of Automated Essay Scoring Methods based on Linguistically-informed Counterfactuals</t>
  </si>
  <si>
    <t>bazaga-etal-2024-hyperbert</t>
  </si>
  <si>
    <t>{H}yper{BERT}: Mixing Hypergraph-Aware Layers with Language Models for Node Classification on Text-Attributed Hypergraphs</t>
  </si>
  <si>
    <t>li-etal-2024-pedants</t>
  </si>
  <si>
    <t>{PEDANTS}: Cheap but Effective and Interpretable Answer Equivalence</t>
  </si>
  <si>
    <t>barkan-etal-2024-improving</t>
  </si>
  <si>
    <t>Improving {LLM} Attributions with Randomized Path-Integration</t>
  </si>
  <si>
    <t>barkan-etal-2024-llm</t>
  </si>
  <si>
    <t>{LLM} Explainability via Attributive Masking Learning</t>
  </si>
  <si>
    <t>xu-etal-2024-chatglm</t>
  </si>
  <si>
    <t>{C}hat{GLM}-Math: Improving Math Problem-Solving in Large Language Models with a Self-Critique Pipeline</t>
  </si>
  <si>
    <t>govindarajan-etal-2024-mean</t>
  </si>
  <si>
    <t>Do *they* mean `us'? Interpreting Referring Expression variation under Intergroup Bias</t>
  </si>
  <si>
    <t>fang-etal-2024-understanding</t>
  </si>
  <si>
    <t>Understanding Faithfulness and Reasoning of Large Language Models on Plain Biomedical Summaries</t>
  </si>
  <si>
    <t>joaquin-etal-2024-in2core</t>
  </si>
  <si>
    <t>{I}n2{C}ore: Leveraging Influence Functions for Coreset Selection in Instruction Finetuning of Large Language Models</t>
  </si>
  <si>
    <t>zhang-etal-2024-shieldlm</t>
  </si>
  <si>
    <t>{S}hield{LM}: Empowering {LLM}s as Aligned, Customizable and Explainable Safety Detectors</t>
  </si>
  <si>
    <t>wang-etal-2024-interpretable</t>
  </si>
  <si>
    <t>Interpretable Preferences via Multi-Objective Reward Modeling and Mixture-of-Experts</t>
  </si>
  <si>
    <t>kim-etal-2024-thinking</t>
  </si>
  <si>
    <t>What if...?: Thinking Counterfactual Keywords Helps to Mitigate Hallucination in Large Multi-modal Models</t>
  </si>
  <si>
    <t>chung-etal-2024-selection</t>
  </si>
  <si>
    <t>Selection-p: Self-Supervised Task-Agnostic Prompt Compression for Faithfulness and Transferability</t>
  </si>
  <si>
    <t>xiao-etal-2024-vanessa</t>
  </si>
  <si>
    <t>Vanessa: Visual Connotation and Aesthetic Attributes Understanding Network for Multimodal Aspect-based Sentiment Analysis</t>
  </si>
  <si>
    <t>modarressi-etal-2024-consistent</t>
  </si>
  <si>
    <t>Consistent Document-level Relation Extraction via Counterfactuals</t>
  </si>
  <si>
    <t>cao-etal-2024-tara</t>
  </si>
  <si>
    <t>{TARA}: Token-level Attribute Relation Adaptation for Multi-Attribute Controllable Text Generation</t>
  </si>
  <si>
    <t>si-etal-2024-denoising</t>
  </si>
  <si>
    <t>Denoising Rationalization for Multi-hop Fact Verification via Multi-granular Explainer</t>
  </si>
  <si>
    <t>michel-etal-2024-improving</t>
  </si>
  <si>
    <t>Improving Quotation Attribution with Fictional Character Embeddings</t>
  </si>
  <si>
    <t>sourati-etal-2024-robust</t>
  </si>
  <si>
    <t>Robust Text Classification: Analyzing Prototype-Based Networks</t>
  </si>
  <si>
    <t>schirmer-etal-2024-language</t>
  </si>
  <si>
    <t>The Language of Trauma: Modeling Traumatic Event Descriptions Across Domains with Explainable {AI}</t>
  </si>
  <si>
    <t>meng-etal-2024-attribute</t>
  </si>
  <si>
    <t>Attribute Controlled Fine-tuning for Large Language Models: A Case Study on Detoxification</t>
  </si>
  <si>
    <t>dammu-etal-2024-claimver</t>
  </si>
  <si>
    <t>{C}laim{V}er: Explainable Claim-Level Verification and Evidence Attribution of Text Through Knowledge Graphs</t>
  </si>
  <si>
    <t>thota-nilizadeh-2024-attacks</t>
  </si>
  <si>
    <t>Attacks against Abstractive Text Summarization Models through Lead Bias and Influence Functions</t>
  </si>
  <si>
    <t>xu-etal-2024-nala</t>
  </si>
  <si>
    <t>{NALA}: an Effective and Interpretable Entity Alignment Method</t>
  </si>
  <si>
    <t>elaraby-etal-2024-persuasiveness</t>
  </si>
  <si>
    <t>Persuasiveness of Generated Free-Text Rationales in Subjective Decisions: A Case Study on Pairwise Argument Ranking</t>
  </si>
  <si>
    <t>kim-etal-2024-semantic</t>
  </si>
  <si>
    <t>Semantic Token Reweighting for Interpretable and Controllable Text Embeddings in {CLIP}</t>
  </si>
  <si>
    <t>nguyen-etal-2024-llms</t>
  </si>
  <si>
    <t>{LLM}s for Generating and Evaluating Counterfactuals: A Comprehensive Study</t>
  </si>
  <si>
    <t>paul-etal-2024-making</t>
  </si>
  <si>
    <t>Making Reasoning Matter: Measuring and Improving Faithfulness of Chain-of-Thought Reasoning</t>
  </si>
  <si>
    <t>treviso-etal-2024-xtower</t>
  </si>
  <si>
    <t>x{T}ower: A Multilingual {LLM} for Explaining and Correcting Translation Errors</t>
  </si>
  <si>
    <t>shen-etal-2024-towards</t>
  </si>
  <si>
    <t>Towards Explainable {C}hinese Native Learner Essay Fluency Assessment: Dataset, Tasks, and Method</t>
  </si>
  <si>
    <t>sonkar-etal-2024-malalgoqa</t>
  </si>
  <si>
    <t>{M}al{A}lgo{QA}: Pedagogical Evaluation of Counterfactual Reasoning in Large Language Models and Implications for {AI} in Education</t>
  </si>
  <si>
    <t>vakil-amiri-2024-controlled</t>
  </si>
  <si>
    <t>Controlled Transformation of Text-Attributed Graphs</t>
  </si>
  <si>
    <t>spangher-etal-2024-explaining</t>
  </si>
  <si>
    <t>Explaining Mixtures of Sources in News Articles</t>
  </si>
  <si>
    <t>maheshwari-etal-2024-presentations</t>
  </si>
  <si>
    <t>Presentations are not always linear! {GNN} meets {LLM} for Text Document-to-Presentation Transformation with Attribution</t>
  </si>
  <si>
    <t>qorib-etal-2024-efficient</t>
  </si>
  <si>
    <t>Efficient and Interpretable Grammatical Error Correction with Mixture of Experts</t>
  </si>
  <si>
    <t>razumovskaia-etal-2024-dial</t>
  </si>
  <si>
    <t>Dial {B}e{I}nfo for Faithfulness: Improving Factuality of Information-Seeking Dialogue via Behavioural Fine-Tuning</t>
  </si>
  <si>
    <t>amouyal-etal-2024-large</t>
  </si>
  <si>
    <t>Large Language Models for Psycholinguistic Plausibility Pretesting</t>
  </si>
  <si>
    <t>wein-etal-2024-barriers</t>
  </si>
  <si>
    <t>Barriers to Effective Evaluation of Simultaneous Interpretation</t>
  </si>
  <si>
    <t>li-etal-2024-improving-cross</t>
  </si>
  <si>
    <t>Improving Cross-Domain Low-Resource Text Generation through {LLM} Post-Editing: A Programmer-Interpreter Approach</t>
  </si>
  <si>
    <t>feng-etal-2024-promptexplainer</t>
  </si>
  <si>
    <t>{P}rompt{E}xplainer: Explaining Language Models through Prompt-based Learning</t>
  </si>
  <si>
    <t>zhao-etal-2024-explaining</t>
  </si>
  <si>
    <t>Explaining Language Model Predictions with High-Impact Concepts</t>
  </si>
  <si>
    <t>mishra-etal-2024-correcting</t>
  </si>
  <si>
    <t>Correcting Language Model Outputs by Editing Salient Layers</t>
  </si>
  <si>
    <t>tian-etal-2024-cma</t>
  </si>
  <si>
    <t>{CMA}-{R}: Causal Mediation Analysis for Explaining Rumour Detection</t>
  </si>
  <si>
    <t>moon-etal-2024-generative</t>
  </si>
  <si>
    <t>Generative Interpretation: Toward Human-Like Evaluation for Educational Question-Answer Pair Generation</t>
  </si>
  <si>
    <t>leiter-etal-2024-bmx</t>
  </si>
  <si>
    <t>{BMX}: Boosting Natural Language Generation Metrics with Explainability</t>
  </si>
  <si>
    <t>peng-etal-2024-controllable</t>
  </si>
  <si>
    <t>Controllable Data Augmentation for Few-Shot Text Mining with Chain-of-Thought Attribute Manipulation</t>
  </si>
  <si>
    <t>madsen-etal-2024-self</t>
  </si>
  <si>
    <t>Are self-explanations from Large Language Models faithful?</t>
  </si>
  <si>
    <t>zou-etal-2024-implicitave</t>
  </si>
  <si>
    <t>{I}mplicit{AVE}: An Open-Source Dataset and Multimodal {LLM}s Benchmark for Implicit Attribute Value Extraction</t>
  </si>
  <si>
    <t>li-etal-2024-towards-verifiable</t>
  </si>
  <si>
    <t>Towards Verifiable Generation: A Benchmark for Knowledge-aware Language Model Attribution</t>
  </si>
  <si>
    <t>qu-etal-2024-unsupervised</t>
  </si>
  <si>
    <t>Unsupervised Distractor Generation via Large Language Model Distilling and Counterfactual Contrastive Decoding</t>
  </si>
  <si>
    <t>liao-etal-2024-mario</t>
  </si>
  <si>
    <t>{MARIO}: {MA}th Reasoning with code Interpreter Output - A Reproducible Pipeline</t>
  </si>
  <si>
    <t>pan-etal-2024-llmlingua</t>
  </si>
  <si>
    <t>{LLML}ingua-2: Data Distillation for Efficient and Faithful Task-Agnostic Prompt Compression</t>
  </si>
  <si>
    <t>jin-etal-2024-cutting</t>
  </si>
  <si>
    <t>Cutting Off the Head Ends the Conflict: A Mechanism for Interpreting and Mitigating Knowledge Conflicts in Language Models</t>
  </si>
  <si>
    <t>lin-etal-2024-criticbench</t>
  </si>
  <si>
    <t>{C}ritic{B}ench: Benchmarking {LLM}s for Critique-Correct Reasoning</t>
  </si>
  <si>
    <t>qiu-etal-2024-valor</t>
  </si>
  <si>
    <t>{VALOR}-{EVAL}: Holistic Coverage and Faithfulness Evaluation of Large Vision-Language Models</t>
  </si>
  <si>
    <t>miao-etal-2024-episodic</t>
  </si>
  <si>
    <t>Episodic Memory Retrieval from {LLM}s: A Neuromorphic Mechanism to Generate Commonsense Counterfactuals for Relation Extraction</t>
  </si>
  <si>
    <t>wang-etal-2024-llmfactor</t>
  </si>
  <si>
    <t>{LLMF}actor: Extracting Profitable Factors through Prompts for Explainable Stock Movement Prediction</t>
  </si>
  <si>
    <t>yang-etal-2024-enhancing</t>
  </si>
  <si>
    <t>Enhancing Semantic Consistency of Large Language Models through Model Editing: An Interpretability-Oriented Approach</t>
  </si>
  <si>
    <t>li-etal-2024-data</t>
  </si>
  <si>
    <t>Data-Centric Explainable Debiasing for Improving Fairness in Pre-trained Language Models</t>
  </si>
  <si>
    <t>li-etal-2024-large-language</t>
  </si>
  <si>
    <t>Can Large Language Models Mine Interpretable Financial Factors More Effectively? A Neural-Symbolic Factor Mining Agent Model</t>
  </si>
  <si>
    <t>cheng-etal-2024-call</t>
  </si>
  <si>
    <t>Call Me When Necessary: {LLM}s can Efficiently and Faithfully Reason over Structured Environments</t>
  </si>
  <si>
    <t>nigam-etal-2024-legal</t>
  </si>
  <si>
    <t>Legal Judgment Reimagined: {P}red{E}x and the Rise of Intelligent {AI} Interpretation in {I}ndian Courts</t>
  </si>
  <si>
    <t>zhou-etal-2024-evaluating</t>
  </si>
  <si>
    <t>Evaluating the Smooth Control of Attribute Intensity in Text Generation with {LLM}s</t>
  </si>
  <si>
    <t>amara-etal-2024-syntaxshap</t>
  </si>
  <si>
    <t>{S}yntax{S}hap: Syntax-aware Explainability Method for Text Generation</t>
  </si>
  <si>
    <t>maeda-etal-2024-decomposing</t>
  </si>
  <si>
    <t>Decomposing Co-occurrence Matrices into Interpretable Components as Formal Concepts</t>
  </si>
  <si>
    <t>agarwal-etal-2024-mememqa</t>
  </si>
  <si>
    <t>{M}eme{MQA}: Multimodal Question Answering for Memes via Rationale-Based Inferencing</t>
  </si>
  <si>
    <t>li-etal-2024-improving-attributed</t>
  </si>
  <si>
    <t>Improving Attributed Text Generation of Large Language Models via Preference Learning</t>
  </si>
  <si>
    <t>wei-jie-etal-2024-plausible</t>
  </si>
  <si>
    <t>Plausible Extractive Rationalization through Semi-Supervised Entailment Signal</t>
  </si>
  <si>
    <t>liang-etal-2024-controlled</t>
  </si>
  <si>
    <t>Controlled Text Generation for Large Language Model with Dynamic Attribute Graphs</t>
  </si>
  <si>
    <t>mishra-etal-2024-characterizing</t>
  </si>
  <si>
    <t>Characterizing Large Language Models as Rationalizers of Knowledge-intensive Tasks</t>
  </si>
  <si>
    <t>zhang-etal-2024-stronger</t>
  </si>
  <si>
    <t>Stronger, Lighter, Better: Towards Life-Long Attribute Value Extraction for {E}-Commerce Products</t>
  </si>
  <si>
    <t>zhang-etal-2024-rationales</t>
  </si>
  <si>
    <t>Rationales for Answers to Simple Math Word Problems Confuse Large Language Models</t>
  </si>
  <si>
    <t>yoon-etal-2024-assessing</t>
  </si>
  <si>
    <t>Assessing News Thumbnail Representativeness: Counterfactual text can enhance the cross-modal matching ability</t>
  </si>
  <si>
    <t>sun-etal-2024-critique</t>
  </si>
  <si>
    <t>The Critique of Critique</t>
  </si>
  <si>
    <t>fan-etal-2024-frva</t>
  </si>
  <si>
    <t>{FRVA}: Fact-Retrieval and Verification Augmented Entailment Tree Generation for Explainable Question Answering</t>
  </si>
  <si>
    <t>ma-etal-2024-ex</t>
  </si>
  <si>
    <t>{EX}-{FEVER}: A Dataset for Multi-hop Explainable Fact Verification</t>
  </si>
  <si>
    <t>liang-etal-2024-selp</t>
  </si>
  <si>
    <t>{SELP}: A Semantically-Driven Approach for Separated and Accurate Class Prototypes in Few-Shot Text Classification</t>
  </si>
  <si>
    <t>phukan-etal-2024-peering</t>
  </si>
  <si>
    <t>Peering into the Mind of Language Models: An Approach for Attribution in Contextual Question Answering</t>
  </si>
  <si>
    <t>wang-etal-2024-x</t>
  </si>
  <si>
    <t>{X}-{ACE}: Explainable and Multi-factor Audio Captioning Evaluation</t>
  </si>
  <si>
    <t>hua-etal-2024-propagation</t>
  </si>
  <si>
    <t>Propagation and Pitfalls: Reasoning-based Assessment of Knowledge Editing through Counterfactual Tasks</t>
  </si>
  <si>
    <t>katsios-etal-2024-figuratively</t>
  </si>
  <si>
    <t>Figuratively Speaking: Authorship Attribution via Multi-Task Figurative Language Modeling</t>
  </si>
  <si>
    <t>li-lyu-2024-gradual</t>
  </si>
  <si>
    <t>{GRADUAL}: Granularity-aware Dual Prototype Learning for Better Few-Shot Relation Extraction</t>
  </si>
  <si>
    <t>akhtar-etal-2024-chartcheck</t>
  </si>
  <si>
    <t>{C}hart{C}heck: Explainable Fact-Checking over Real-World Chart Images</t>
  </si>
  <si>
    <t>yadav-etal-2024-tox</t>
  </si>
  <si>
    <t>Tox-{BART}: Leveraging Toxicity Attributes for Explanation Generation of Implicit Hate Speech</t>
  </si>
  <si>
    <t>enouen-etal-2024-textgenshap</t>
  </si>
  <si>
    <t>{T}ext{G}en{SHAP}: Scalable Post-Hoc Explanations in Text Generation with Long Documents</t>
  </si>
  <si>
    <t>huang-etal-2024-learning</t>
  </si>
  <si>
    <t>Learning Fine-Grained Grounded Citations for Attributed Large Language Models</t>
  </si>
  <si>
    <t>zhong-etal-2024-harnessing</t>
  </si>
  <si>
    <t>Harnessing Large Language Models as Post-hoc Correctors</t>
  </si>
  <si>
    <t>abolghasemi-etal-2024-cause</t>
  </si>
  <si>
    <t>{CAUSE}: Counterfactual Assessment of User Satisfaction Estimation in Task-Oriented Dialogue Systems</t>
  </si>
  <si>
    <t>li-etal-2024-attributionbench</t>
  </si>
  <si>
    <t>{A}ttribution{B}ench: How Hard is Automatic Attribution Evaluation?</t>
  </si>
  <si>
    <t>zhang-etal-2024-countercurate</t>
  </si>
  <si>
    <t>{C}ounter{C}urate: Enhancing Physical and Semantic Visio-Linguistic Compositional Reasoning via Counterfactual Examples</t>
  </si>
  <si>
    <t>liu-etal-2024-teller</t>
  </si>
  <si>
    <t>{TELLER}: A Trustworthy Framework for Explainable, Generalizable and Controllable Fake News Detection</t>
  </si>
  <si>
    <t>li-etal-2024-evaluating-readability</t>
  </si>
  <si>
    <t>Evaluating Readability and Faithfulness of Concept-based Explanations</t>
  </si>
  <si>
    <t>zhao-etal-2024-successfully</t>
  </si>
  <si>
    <t>Successfully Guiding Humans with Imperfect Instructions by Highlighting Potential Errors and Suggesting Corrections</t>
  </si>
  <si>
    <t>deng-etal-2024-learning</t>
  </si>
  <si>
    <t>Learning Interpretable Legal Case Retrieval via Knowledge-Guided Case Reformulation</t>
  </si>
  <si>
    <t>chen-etal-2024-mitigating</t>
  </si>
  <si>
    <t>Mitigating Language Bias of {LMM}s in Social Intelligence Understanding with Virtual Counterfactual Calibration</t>
  </si>
  <si>
    <t>zhao-etal-2024-seer</t>
  </si>
  <si>
    <t>{SEER}: Self-Aligned Evidence Extraction for Retrieval-Augmented Generation</t>
  </si>
  <si>
    <t>mosbach-etal-2024-insights</t>
  </si>
  <si>
    <t>From Insights to Actions: The Impact of Interpretability and Analysis Research on {NLP}</t>
  </si>
  <si>
    <t>yu-ananiadou-2024-neuron</t>
  </si>
  <si>
    <t>Neuron-Level Knowledge Attribution in Large Language Models</t>
  </si>
  <si>
    <t>yu-ananiadou-2024-interpreting</t>
  </si>
  <si>
    <t>Interpreting Arithmetic Mechanism in Large Language Models through Comparative Neuron Analysis</t>
  </si>
  <si>
    <t>huang-etal-2024-advancing</t>
  </si>
  <si>
    <t>Advancing Large Language Model Attribution through Self-Improving</t>
  </si>
  <si>
    <t>hong-lipani-2024-interpretability</t>
  </si>
  <si>
    <t>Interpretability-based Tailored Knowledge Editing in Transformers</t>
  </si>
  <si>
    <t>wu-etal-2024-dancing</t>
  </si>
  <si>
    <t>Dancing in Chains: Reconciling Instruction Following and Faithfulness in Language Models</t>
  </si>
  <si>
    <t>fisher-etal-2024-styleremix</t>
  </si>
  <si>
    <t>{S}tyle{R}emix: Interpretable Authorship Obfuscation via Distillation and Perturbation of Style Elements</t>
  </si>
  <si>
    <t>wang-etal-2024-f2rl</t>
  </si>
  <si>
    <t>{F}$^2${RL}: Factuality and Faithfulness Reinforcement Learning Framework for Claim-Guided Evidence-Supported Counterspeech Generation</t>
  </si>
  <si>
    <t>edin-etal-2024-unsupervised</t>
  </si>
  <si>
    <t>An Unsupervised Approach to Achieve Supervised-Level Explainability in Healthcare Records</t>
  </si>
  <si>
    <t>du-etal-2024-llms</t>
  </si>
  <si>
    <t>{LLM}s Assist {NLP} Researchers: Critique Paper (Meta-)Reviewing</t>
  </si>
  <si>
    <t>feng-etal-2024-teaching-small</t>
  </si>
  <si>
    <t>Teaching Small Language Models Reasoning through Counterfactual Distillation</t>
  </si>
  <si>
    <t>xu-etal-2024-sayself</t>
  </si>
  <si>
    <t>{S}ay{S}elf: Teaching {LLM}s to Express Confidence with Self-Reflective Rationales</t>
  </si>
  <si>
    <t>qi-etal-2024-model</t>
  </si>
  <si>
    <t>Model Internals-based Answer Attribution for Trustworthy Retrieval-Augmented Generation</t>
  </si>
  <si>
    <t>huo-etal-2024-mmneuron</t>
  </si>
  <si>
    <t>{MMN}euron: Discovering Neuron-Level Domain-Specific Interpretation in Multimodal Large Language Model</t>
  </si>
  <si>
    <t>men-etal-2024-unlocking</t>
  </si>
  <si>
    <t>Unlocking the Future: Exploring Look-Ahead Planning Mechanistic Interpretability in Large Language Models</t>
  </si>
  <si>
    <t>yona-etal-2024-large</t>
  </si>
  <si>
    <t>Can Large Language Models Faithfully Express Their Intrinsic Uncertainty in Words?</t>
  </si>
  <si>
    <t>buchmann-etal-2024-attribute</t>
  </si>
  <si>
    <t>Attribute or Abstain: Large Language Models as Long Document Assistants</t>
  </si>
  <si>
    <t>hirota-etal-2024-resampled</t>
  </si>
  <si>
    <t>Resampled Datasets Are Not Enough: Mitigating Societal Bias Beyond Single Attributes</t>
  </si>
  <si>
    <t>chang-etal-2024-explaining</t>
  </si>
  <si>
    <t>Explaining and Improving Contrastive Decoding by Extrapolating the Probabilities of a Huge and Hypothetical {LM}</t>
  </si>
  <si>
    <t>wu-etal-2024-beyond</t>
  </si>
  <si>
    <t>Beyond Label Attention: Transparency in Language Models for Automated Medical Coding via Dictionary Learning</t>
  </si>
  <si>
    <t>weir-etal-2024-ontologically</t>
  </si>
  <si>
    <t>Ontologically Faithful Generation of Non-Player Character Dialogues</t>
  </si>
  <si>
    <t>wu-etal-2024-synchronous</t>
  </si>
  <si>
    <t>Synchronous Faithfulness Monitoring for Trustworthy Retrieval-Augmented Generation</t>
  </si>
  <si>
    <t>berlot-attwell-etal-2024-attribute</t>
  </si>
  <si>
    <t>Attribute Diversity Determines the Systematicity Gap in {VQA}</t>
  </si>
  <si>
    <t>subbiah-etal-2024-storysumm</t>
  </si>
  <si>
    <t>{STORYSUMM}: Evaluating Faithfulness in Story Summarization</t>
  </si>
  <si>
    <t>chen-etal-2024-dynamic</t>
  </si>
  <si>
    <t>Dynamic Multi-granularity Attribution Network for Aspect-based Sentiment Analysis</t>
  </si>
  <si>
    <t>jiang-etal-2024-mare</t>
  </si>
  <si>
    <t>{MARE}: Multi-Aspect Rationale Extractor on Unsupervised Rationale Extraction</t>
  </si>
  <si>
    <t>pavlopoulos-etal-2024-towards</t>
  </si>
  <si>
    <t>Towards a {G}reek Proverb Atlas: Computational Spatial Exploration and Attribution of {G}reek Proverbs</t>
  </si>
  <si>
    <t>brinner-zarriess-2024-rationalizing</t>
  </si>
  <si>
    <t>Rationalizing Transformer Predictions via End-To-End Differentiable Self-Training</t>
  </si>
  <si>
    <t>kim-etal-2024-panda</t>
  </si>
  <si>
    <t>{PANDA}: Persona Attributes Navigation for Detecting and Alleviating Overuse Problem in Large Language Models</t>
  </si>
  <si>
    <t>zhu-etal-2024-ra2fd</t>
  </si>
  <si>
    <t>{RA}2{FD}: Distilling Faithfulness into Efficient Dialogue Systems</t>
  </si>
  <si>
    <t>lan-etal-2024-towards</t>
  </si>
  <si>
    <t>Towards Interpretable Sequence Continuation: Analyzing Shared Circuits in Large Language Models</t>
  </si>
  <si>
    <t>hu-etal-2024-bayesian</t>
  </si>
  <si>
    <t>A {B}ayesian Approach to Harnessing the Power of {LLM}s in Authorship Attribution</t>
  </si>
  <si>
    <t>wu-etal-2024-enhancing-training</t>
  </si>
  <si>
    <t>Enhancing Training Data Attribution for Large Language Models with Fitting Error Consideration</t>
  </si>
  <si>
    <t>aoki-etal-2024-first</t>
  </si>
  <si>
    <t>First Heuristic Then Rational: Dynamic Use of Heuristics in Language Model Reasoning</t>
  </si>
  <si>
    <t>zhou-etal-2024-mystery</t>
  </si>
  <si>
    <t>The Mystery of In-Context Learning: A Comprehensive Survey on Interpretation and Analysis</t>
  </si>
  <si>
    <t>yin-etal-2024-asl</t>
  </si>
  <si>
    <t>{ASL} {STEM} {W}iki: Dataset and Benchmark for Interpreting {STEM} Articles</t>
  </si>
  <si>
    <t>li-etal-2024-interpretable</t>
  </si>
  <si>
    <t>Interpretable Composition Attribution Enhancement for Visio-linguistic Compositional Understanding</t>
  </si>
  <si>
    <t>zhao-etal-2024-findver</t>
  </si>
  <si>
    <t>{F}in{DV}er: Explainable Claim Verification over Long and Hybrid-content Financial Documents</t>
  </si>
  <si>
    <t>wang-etal-2024-bridging-local</t>
  </si>
  <si>
    <t>Bridging Local Details and Global Context in Text-Attributed Graphs</t>
  </si>
  <si>
    <t>sotudeh-goharian-2024-learning</t>
  </si>
  <si>
    <t>Learning to Rank Salient Content for Query-focused Summarization</t>
  </si>
  <si>
    <t>hu-etal-2024-themis</t>
  </si>
  <si>
    <t>Themis: A Reference-free {NLG} Evaluation Language Model with Flexibility and Interpretability</t>
  </si>
  <si>
    <t>kawabata-sugawara-2024-rationale</t>
  </si>
  <si>
    <t>Rationale-Aware Answer Verification by Pairwise Self-Evaluation</t>
  </si>
  <si>
    <t>doddapaneni-etal-2024-finding</t>
  </si>
  <si>
    <t>Finding Blind Spots in Evaluator {LLM}s with Interpretable Checklists</t>
  </si>
  <si>
    <t>saenger-etal-2024-autopersuade</t>
  </si>
  <si>
    <t>{A}uto{P}ersuade: A Framework for Evaluating and Explaining Persuasive Arguments</t>
  </si>
  <si>
    <t>neo-etal-2024-interpreting</t>
  </si>
  <si>
    <t>Interpreting Context Look-ups in Transformers: Investigating Attention-{MLP} Interactions</t>
  </si>
  <si>
    <t>ferrando-voita-2024-information</t>
  </si>
  <si>
    <t>Information Flow Routes: Automatically Interpreting Language Models at Scale</t>
  </si>
  <si>
    <t>chen-etal-2024-dual-oriented</t>
  </si>
  <si>
    <t>Dual-oriented Disentangled Network with Counterfactual Intervention for Multimodal Intent Detection</t>
  </si>
  <si>
    <t>ramu-etal-2024-enhancing</t>
  </si>
  <si>
    <t>Enhancing Post-Hoc Attributions in Long Document Comprehension via Coarse Grained Answer Decomposition</t>
  </si>
  <si>
    <t>zhai-etal-2024-towards</t>
  </si>
  <si>
    <t>Towards Faithful Knowledge Graph Explanation Through Deep Alignment in Commonsense Question Answering</t>
  </si>
  <si>
    <t>ghosal-etal-2024-intcoop</t>
  </si>
  <si>
    <t>{I}nt{C}o{O}p: Interpretability-Aware Vision-Language Prompt Tuning</t>
  </si>
  <si>
    <t>sun-etal-2024-revealing</t>
  </si>
  <si>
    <t>Revealing Personality Traits: A New Benchmark Dataset for Explainable Personality Recognition on Dialogues</t>
  </si>
  <si>
    <t>perrella-etal-2024-beyond</t>
  </si>
  <si>
    <t>Beyond Correlation: Interpretable Evaluation of Machine Translation Metrics</t>
  </si>
  <si>
    <t>mamta-etal-2024-biaswipe</t>
  </si>
  <si>
    <t>{B}ias{W}ipe: Mitigating Unintended Bias in Text Classifiers through Model Interpretability</t>
  </si>
  <si>
    <t>tater-etal-2024-unveiling</t>
  </si>
  <si>
    <t>Unveiling the mystery of visual attributes of concrete and abstract concepts: Variability, nearest neighbors, and challenging categories</t>
  </si>
  <si>
    <t>kim-lee-2024-rag</t>
  </si>
  <si>
    <t>{RE}-{RAG}: Improving Open-Domain {QA} Performance and Interpretability with Relevance Estimator in Retrieval-Augmented Generation</t>
  </si>
  <si>
    <t>sakai-etal-2024-simultaneous</t>
  </si>
  <si>
    <t>Simultaneous Interpretation Corpus Construction by Large Language Models in Distant Language Pair</t>
  </si>
  <si>
    <t>baan-etal-2024-interpreting</t>
  </si>
  <si>
    <t>Interpreting Predictive Probabilities: Model Confidence or Human Label Variation?</t>
  </si>
  <si>
    <t>EACL</t>
  </si>
  <si>
    <t>liu-niehues-2024-transferable</t>
  </si>
  <si>
    <t>How Transferable are Attribute Controllers on Pretrained Multilingual Translation Models?</t>
  </si>
  <si>
    <t>suresh-etal-2024-relative</t>
  </si>
  <si>
    <t>It{'}s All Relative: Learning Interpretable Models for Scoring Subjective Bias in Documents from Pairwise Comparisons</t>
  </si>
  <si>
    <t>fathullah-etal-2024-needs</t>
  </si>
  <si>
    <t>Who Needs Decoders? Efficient Estimation of Sequence-Level Attributes with Proxies</t>
  </si>
  <si>
    <t>zhang-etal-2024-fine</t>
  </si>
  <si>
    <t>Fine-Grained Natural Language Inference Based Faithfulness Evaluation for Diverse Summarisation Tasks</t>
  </si>
  <si>
    <t>sachdeva-etal-2024-catfood</t>
  </si>
  <si>
    <t>{CAT}f{OOD}: Counterfactual Augmented Training for Improving Out-of-Domain Performance and Calibration</t>
  </si>
  <si>
    <t>moeller-etal-2024-approximate</t>
  </si>
  <si>
    <t>Approximate Attributions for Off-the-Shelf {S}iamese Transformers</t>
  </si>
  <si>
    <t>pastor-etal-2024-explaining</t>
  </si>
  <si>
    <t>Explaining Speech Classification Models via Word-Level Audio Segments and Paralinguistic Features</t>
  </si>
  <si>
    <t>oh-etal-2024-frequency</t>
  </si>
  <si>
    <t>Frequency Explains the Inverse Correlation of Large Language Models' Size, Training Data Amount, and Surprisal{'}s Fit to Reading Times</t>
  </si>
  <si>
    <t>zellinger-etal-2024-counterfactual</t>
  </si>
  <si>
    <t>Counterfactual Reasoning with Knowledge Graph Embeddings</t>
  </si>
  <si>
    <t>yao-etal-2024-ameli</t>
  </si>
  <si>
    <t>Ameli: Enhancing Multimodal Entity Linking with Fine-Grained Attributes</t>
  </si>
  <si>
    <t>golde-etal-2024-large</t>
  </si>
  <si>
    <t>Large-Scale Label Interpretation Learning for Few-Shot Named Entity Recognition</t>
  </si>
  <si>
    <t>li-etal-2024-ccprefix</t>
  </si>
  <si>
    <t>{CCP}refix: Counterfactual Contrastive Prefix-Tuning for Many-Class Classification</t>
  </si>
  <si>
    <t>matusevych-2024-cognitive</t>
  </si>
  <si>
    <t>Cognitive Plausibility in Natural Language Processing</t>
  </si>
  <si>
    <t>Computational Linguistics (CL)</t>
  </si>
  <si>
    <t>lyu-etal-2024-towards</t>
  </si>
  <si>
    <t>Towards Faithful Model Explanation in {NLP}: A Survey</t>
  </si>
  <si>
    <t>chaturvedi-etal-2024-analyzing</t>
  </si>
  <si>
    <t>Analyzing Semantic Faithfulness of Language Models via Input Intervention on Question Answering</t>
  </si>
  <si>
    <t>wang-etal-2024-rdrec</t>
  </si>
  <si>
    <t>{RDR}ec: Rationale Distillation for {LLM}-based Recommendation</t>
  </si>
  <si>
    <t>heinzerling-inui-2024-monotonic</t>
  </si>
  <si>
    <t>Monotonic Representation of Numeric Attributes in Language Models</t>
  </si>
  <si>
    <t>zhang-etal-2024-atlas</t>
  </si>
  <si>
    <t>{ATLAS}: Improving Lay Summarisation with Attribute-based Control</t>
  </si>
  <si>
    <t>calabrese-etal-2024-explainability</t>
  </si>
  <si>
    <t>Explainability and Hate Speech: Structured Explanations Make Social Media Moderators Faster</t>
  </si>
  <si>
    <t>fang-etal-2024-born</t>
  </si>
  <si>
    <t>Born Differently Makes a Difference: Counterfactual Study of Bias in Biography Generation from a Data-to-Text Perspective</t>
  </si>
  <si>
    <t>zhao-etal-2024-agr</t>
  </si>
  <si>
    <t>{AGR}: Reinforced Causal Agent-Guided Self-explaining Rationalization</t>
  </si>
  <si>
    <t>siegel-etal-2024-probabilities</t>
  </si>
  <si>
    <t>The Probabilities Also Matter: A More Faithful Metric for Faithfulness of Free-Text Explanations in Large Language Models</t>
  </si>
  <si>
    <t>verma-etal-2024-cross</t>
  </si>
  <si>
    <t>Cross-Modal Projection in Multimodal {LLM}s Doesn{'}t Really Project Visual Attributes to Textual Space</t>
  </si>
  <si>
    <t>weinzierl-harabagiu-2024-tree</t>
  </si>
  <si>
    <t>Tree-of-Counterfactual Prompting for Zero-Shot Stance Detection</t>
  </si>
  <si>
    <t>wang-etal-2024-absinstruct</t>
  </si>
  <si>
    <t>{A}bs{I}nstruct: Eliciting Abstraction Ability from {LLM}s through Explanation Tuning with Plausibility Estimation</t>
  </si>
  <si>
    <t>jiang-etal-2024-rora</t>
  </si>
  <si>
    <t>{RORA}: Robust Free-Text Rationale Evaluation</t>
  </si>
  <si>
    <t>schimanski-etal-2024-towards</t>
  </si>
  <si>
    <t>Towards Faithful and Robust {LLM} Specialists for Evidence-Based Question-Answering</t>
  </si>
  <si>
    <t>cheng-etal-2024-interpreting</t>
  </si>
  <si>
    <t>Interpreting Conversational Dense Retrieval by Rewriting-Enhanced Inversion of Session Embedding</t>
  </si>
  <si>
    <t>slobodkin-etal-2024-attribute</t>
  </si>
  <si>
    <t>Attribute First, then Generate: Locally-attributable Grounded Text Generation</t>
  </si>
  <si>
    <t>lee-etal-2024-fleur</t>
  </si>
  <si>
    <t>{FLEUR}: An Explainable Reference-Free Evaluation Metric for Image Captioning Using a Large Multimodal Model</t>
  </si>
  <si>
    <t>weber-etal-2024-interpretability</t>
  </si>
  <si>
    <t>Interpretability of Language Models via Task Spaces</t>
  </si>
  <si>
    <t>madureira-etal-2024-time</t>
  </si>
  <si>
    <t>When Only Time Will Tell: Interpreting How Transformers Process Local Ambiguities Through the Lens of Restart-Incrementality</t>
  </si>
  <si>
    <t>zhuang-etal-2024-pcad</t>
  </si>
  <si>
    <t>{PCAD}: Towards {ASR}-Robust Spoken Language Understanding via Prototype Calibration and Asymmetric Decoupling</t>
  </si>
  <si>
    <t>gu-etal-2024-digital</t>
  </si>
  <si>
    <t>Digital Socrates: Evaluating {LLM}s through Explanation Critiques</t>
  </si>
  <si>
    <t>parcalabescu-frank-2024-measuring</t>
  </si>
  <si>
    <t>On Measuring Faithfulness or Self-consistency of Natural Language Explanations</t>
  </si>
  <si>
    <t>miao-etal-2024-discursive</t>
  </si>
  <si>
    <t>Discursive Socratic Questioning: Evaluating the Faithfulness of Language Models' Understanding of Discourse Relations</t>
  </si>
  <si>
    <t>mu-li-2024-causal</t>
  </si>
  <si>
    <t>A Causal Approach for Counterfactual Reasoning in Narratives</t>
  </si>
  <si>
    <t>dutt-etal-2024-leveraging</t>
  </si>
  <si>
    <t>Leveraging Machine-Generated Rationales to Facilitate Social Meaning Detection in Conversations</t>
  </si>
  <si>
    <t>plaza-del-arco-etal-2024-angry</t>
  </si>
  <si>
    <t>Angry Men, Sad Women: Large Language Models Reflect Gendered Stereotypes in Emotion Attribution</t>
  </si>
  <si>
    <t>yu-etal-2024-revealing</t>
  </si>
  <si>
    <t>Revealing the Parametric Knowledge of Language Models: A Unified Framework for Attribution Methods</t>
  </si>
  <si>
    <t>choi-etal-2024-hard</t>
  </si>
  <si>
    <t>Hard Prompts Made Interpretable: Sparse Entropy Regularization for Prompt Tuning with {RL}</t>
  </si>
  <si>
    <t>ortu-etal-2024-competition</t>
  </si>
  <si>
    <t>Competition of Mechanisms: Tracing How Language Models Handle Facts and Counterfactuals</t>
  </si>
  <si>
    <t>huang-etal-2024-ravel</t>
  </si>
  <si>
    <t>{RAVEL}: Evaluating Interpretability Methods on Disentangling Language Model Representations</t>
  </si>
  <si>
    <t>krichene-etal-2024-faithful</t>
  </si>
  <si>
    <t>Faithful Chart Summarization with {C}ha{TS}-Pi</t>
  </si>
  <si>
    <t>zhang-etal-2024-mc2</t>
  </si>
  <si>
    <t>{MC}$^2$: Towards Transparent and Culturally-Aware {NLP} for Minority Languages in {C}hina</t>
  </si>
  <si>
    <t>li-etal-2024-focus</t>
  </si>
  <si>
    <t>Focus on Your Question! Interpreting and Mitigating Toxic {C}o{T} Problems in Commonsense Reasoning</t>
  </si>
  <si>
    <t>liu-etal-2024-multi</t>
  </si>
  <si>
    <t>Multi-Aspect Controllable Text Generation with Disentangled Counterfactual Augmentation</t>
  </si>
  <si>
    <t>zhang-etal-2024-hyperspherical</t>
  </si>
  <si>
    <t>Hyperspherical Multi-Prototype with Optimal Transport for Event Argument Extraction</t>
  </si>
  <si>
    <t>chen-etal-2024-fine</t>
  </si>
  <si>
    <t>Fine-Grained Image-Text Alignment in Medical Imaging Enables Explainable Cyclic Image-Report Generation</t>
  </si>
  <si>
    <t>toker-etal-2024-diffusion</t>
  </si>
  <si>
    <t>Diffusion Lens: Interpreting Text Encoders in Text-to-Image Pipelines</t>
  </si>
  <si>
    <t>huang-etal-2024-clomo</t>
  </si>
  <si>
    <t>{CLOMO}: Counterfactual Logical Modification with Large Language Models</t>
  </si>
  <si>
    <t>lin-etal-2024-interpretable</t>
  </si>
  <si>
    <t>Interpretable User Satisfaction Estimation for Conversational Systems with Large Language Models</t>
  </si>
  <si>
    <t>zhou-etal-2024-enhancing-explainable</t>
  </si>
  <si>
    <t>Enhancing Explainable Rating Prediction through Annotated Macro Concepts</t>
  </si>
  <si>
    <t>qiu-etal-2024-paircfr</t>
  </si>
  <si>
    <t>{P}air{CFR}: Enhancing Model Training on Paired Counterfactually Augmented Data through Contrastive Learning</t>
  </si>
  <si>
    <t>ku-etal-2024-viescore</t>
  </si>
  <si>
    <t>{VIES}core: Towards Explainable Metrics for Conditional Image Synthesis Evaluation</t>
  </si>
  <si>
    <t>zhao-etal-2024-tapera</t>
  </si>
  <si>
    <t>{T}a{PERA}: Enhancing Faithfulness and Interpretability in Long-Form Table {QA} by Content Planning and Execution-based Reasoning</t>
  </si>
  <si>
    <t>ke-etal-2024-critiquellm</t>
  </si>
  <si>
    <t>{C}ritique{LLM}: Towards an Informative Critique Generation Model for Evaluation of Large Language Model Generation</t>
  </si>
  <si>
    <t>tian-etal-2024-bridging</t>
  </si>
  <si>
    <t>Bridging Word-Pair and Token-Level Metaphor Detection with Explainable Domain Mining</t>
  </si>
  <si>
    <t>xu-etal-2024-faithful</t>
  </si>
  <si>
    <t>Faithful Logical Reasoning via Symbolic Chain-of-Thought</t>
  </si>
  <si>
    <t>zhang-etal-2024-escot</t>
  </si>
  <si>
    <t>{ESC}o{T}: Towards Interpretable Emotional Support Dialogue Systems</t>
  </si>
  <si>
    <t>ramos-etal-2024-transparent</t>
  </si>
  <si>
    <t>Transparent and Scrutable Recommendations Using Natural Language User Profiles</t>
  </si>
  <si>
    <t>arora-etal-2024-causalgym</t>
  </si>
  <si>
    <t>{C}ausal{G}ym: Benchmarking causal interpretability methods on linguistic tasks</t>
  </si>
  <si>
    <t>deng-etal-2024-webcites</t>
  </si>
  <si>
    <t>{W}eb{C}ite{S}: Attributed Query-Focused Summarization on {C}hinese Web Search Results with Citations</t>
  </si>
  <si>
    <t>saakyan-muresan-2024-iclef</t>
  </si>
  <si>
    <t>{ICLEF}: In-Context Learning with Expert Feedback for Explainable Style Transfer</t>
  </si>
  <si>
    <t>shao-etal-2023-erasure</t>
  </si>
  <si>
    <t>Erasure of Unaligned Attributes from Neural Representations</t>
  </si>
  <si>
    <t>wu-etal-2023-transparency</t>
  </si>
  <si>
    <t>Transparency Helps Reveal When Language Models Learn Meaning</t>
  </si>
  <si>
    <t>zhang-etal-2023-macsum</t>
  </si>
  <si>
    <t>{MACS}um: Controllable Summarization with Mixed Attributes</t>
  </si>
  <si>
    <t>stengel-eskin-van-durme-2023-calibrated</t>
  </si>
  <si>
    <t>Calibrated Interpretation: Confidence Estimation in Semantic Parsing</t>
  </si>
  <si>
    <t>wu-etal-2023-recogs</t>
  </si>
  <si>
    <t>{R}e{COGS}: How Incidental Details of a Logical Form Overshadow an Evaluation of Semantic Interpretation</t>
  </si>
  <si>
    <t>fang-etal-2023-say</t>
  </si>
  <si>
    <t>It{'}s not only What You Say, It{'}s also Who It{'}s Said to: Counterfactual Analysis of Interactive Behavior in the Courtroom</t>
  </si>
  <si>
    <t>AACL/IJCNLP</t>
  </si>
  <si>
    <t>lyu-etal-2023-faithful</t>
  </si>
  <si>
    <t>Faithful Chain-of-Thought Reasoning</t>
  </si>
  <si>
    <t>tyo-etal-2023-valla</t>
  </si>
  <si>
    <t>Valla: Standardizing and Benchmarking Authorship Attribution and Verification Through Empirical Evaluation and Comparative Analysis</t>
  </si>
  <si>
    <t>tonni-dras-2023-learned</t>
  </si>
  <si>
    <t>What Learned Representations and Influence Functions Can Tell Us About Adversarial Examples</t>
  </si>
  <si>
    <t>balashankar-etal-2023-improving</t>
  </si>
  <si>
    <t>Improving Classifier Robustness through Active Generative Counterfactual Data Augmentation</t>
  </si>
  <si>
    <t>chun-etal-2023-cr</t>
  </si>
  <si>
    <t>{CR}-{COPEC}: Causal Rationale of Corporate Performance Changes to learn from Financial Reports</t>
  </si>
  <si>
    <t>ryu-2023-plausibility</t>
  </si>
  <si>
    <t>Plausibility Processing in Transformer Language Models: Focusing on the Role of Attention Heads in {GPT}</t>
  </si>
  <si>
    <t>lin-etal-2023-counterfactual</t>
  </si>
  <si>
    <t>Counterfactual Augmentation for Multimodal Learning Under Presentation Bias</t>
  </si>
  <si>
    <t>hu-etal-2023-adapter</t>
  </si>
  <si>
    <t>Adapter-{TST}: A Parameter Efficient Method for Multiple-Attribute Text Style Transfer</t>
  </si>
  <si>
    <t>du-etal-2023-make</t>
  </si>
  <si>
    <t>Make Your Decision Convincing! A Unified Two-Stage Framework: Self-Attribution and Decision-Making</t>
  </si>
  <si>
    <t>madaan-etal-2023-makes</t>
  </si>
  <si>
    <t>What Makes Chain-of-Thought Prompting Effective? A Counterfactual Study</t>
  </si>
  <si>
    <t>wang-etal-2023-interpreting</t>
  </si>
  <si>
    <t>Interpreting Indirect Answers to Yes-No Questions in Multiple Languages</t>
  </si>
  <si>
    <t>li-etal-2023-grenade</t>
  </si>
  <si>
    <t>{GRENADE}: Graph-Centric Language Model for Self-Supervised Representation Learning on Text-Attributed Graphs</t>
  </si>
  <si>
    <t>reich-etal-2023-measuring</t>
  </si>
  <si>
    <t>Measuring Faithful and Plausible Visual Grounding in {VQA}</t>
  </si>
  <si>
    <t>zhang-etal-2023-extractive-summarization</t>
  </si>
  <si>
    <t>Extractive Summarization via {C}hat{GPT} for Faithful Summary Generation</t>
  </si>
  <si>
    <t>pan-etal-2023-logic</t>
  </si>
  <si>
    <t>Logic-{LM}: Empowering Large Language Models with Symbolic Solvers for Faithful Logical Reasoning</t>
  </si>
  <si>
    <t>xie-etal-2023-proto</t>
  </si>
  <si>
    <t>Proto-lm: A Prototypical Network-Based Framework for Built-in Interpretability in Large Language Models</t>
  </si>
  <si>
    <t>jumelet-zuidema-2023-transparency</t>
  </si>
  <si>
    <t>he-garner-2023-interpreter</t>
  </si>
  <si>
    <t>The Interpreter Understands Your Meaning: End-to-end Spoken Language Understanding Aided by Speech Translation</t>
  </si>
  <si>
    <t>yue-etal-2023-automatic</t>
  </si>
  <si>
    <t>Automatic Evaluation of Attribution by Large Language Models</t>
  </si>
  <si>
    <t>sengupta-etal-2023-modeling</t>
  </si>
  <si>
    <t>Modeling Highlighting of Metaphors in Multitask Contrastive Learning Paradigms</t>
  </si>
  <si>
    <t>chen-etal-2023-zara</t>
  </si>
  <si>
    <t>{ZARA}: Improving Few-Shot Self-Rationalization for Small Language Models</t>
  </si>
  <si>
    <t>yang-etal-2023-hare</t>
  </si>
  <si>
    <t>{HARE}: Explainable Hate Speech Detection with Step-by-Step Reasoning</t>
  </si>
  <si>
    <t>dong-etal-2023-co2pt</t>
  </si>
  <si>
    <t>{C}o$^2${PT}: Mitigating Bias in Pre-trained Language Models through Counterfactual Contrastive Prompt Tuning</t>
  </si>
  <si>
    <t>lu-etal-2023-miracle</t>
  </si>
  <si>
    <t>Miracle: Towards Personalized Dialogue Generation with Latent-Space Multiple Personal Attribute Control</t>
  </si>
  <si>
    <t>li-etal-2023-distilling</t>
  </si>
  <si>
    <t>Distilling {C}hat{GPT} for Explainable Automated Student Answer Assessment</t>
  </si>
  <si>
    <t>wang-shu-2023-explainable</t>
  </si>
  <si>
    <t>Explainable Claim Verification via Knowledge-Grounded Reasoning with Large Language Models</t>
  </si>
  <si>
    <t>li-du-2023-leveraging</t>
  </si>
  <si>
    <t>Leveraging Structured Information for Explainable Multi-hop Question Answering and Reasoning</t>
  </si>
  <si>
    <t>liu-etal-2023-knowledge</t>
  </si>
  <si>
    <t>Knowledge-Selective Pretraining for Attribute Value Extraction</t>
  </si>
  <si>
    <t>kuang-etal-2023-unleashing</t>
  </si>
  <si>
    <t>Unleashing the Power of Language Models in Text-Attributed Graph</t>
  </si>
  <si>
    <t>mcinerney-etal-2023-chill</t>
  </si>
  <si>
    <t>{CH}i{LL}: Zero-shot Custom Interpretable Feature Extraction from Clinical Notes with Large Language Models</t>
  </si>
  <si>
    <t>he-etal-2023-lego</t>
  </si>
  <si>
    <t>{LEGO}: A Multi-agent Collaborative Framework with Role-playing and Iterative Feedback for Causality Explanation Generation</t>
  </si>
  <si>
    <t>li-etal-2023-mixture</t>
  </si>
  <si>
    <t>Mixture-of-Linguistic-Experts Adapters for Improving and Interpreting Pre-trained Language Models</t>
  </si>
  <si>
    <t>chakrabarty-etal-2023-learning</t>
  </si>
  <si>
    <t>Learning to Follow Object-Centric Image Editing Instructions Faithfully</t>
  </si>
  <si>
    <t>zhang-etal-2023-factspotter</t>
  </si>
  <si>
    <t>{F}act{S}potter: Evaluating the Factual Faithfulness of Graph-to-Text Generation</t>
  </si>
  <si>
    <t>zhou-etal-2023-realbehavior</t>
  </si>
  <si>
    <t>{R}eal{B}ehavior: A Framework for Faithfully Characterizing Foundation Models' Human-like Behavior Mechanisms</t>
  </si>
  <si>
    <t>zou-etal-2023-pretraining</t>
  </si>
  <si>
    <t>Pretraining Language Models with Text-Attributed Heterogeneous Graphs</t>
  </si>
  <si>
    <t>zhang-etal-2023-instructsafety</t>
  </si>
  <si>
    <t>{I}nstruct{S}afety: A Unified Framework for Building Multidimensional and Explainable Safety Detector through Instruction Tuning</t>
  </si>
  <si>
    <t>dong-etal-2023-steerlm</t>
  </si>
  <si>
    <t>{S}teer{LM}: Attribute Conditioned {SFT} as an (User-Steerable) Alternative to {RLHF}</t>
  </si>
  <si>
    <t>gu-etal-2023-iaeval</t>
  </si>
  <si>
    <t>{IAE}val: A Comprehensive Evaluation of Instance Attribution on Natural Language Understanding</t>
  </si>
  <si>
    <t>rao-etal-2023-makes</t>
  </si>
  <si>
    <t>What Makes it Ok to Set a Fire? Iterative Self-distillation of Contexts and Rationales for Disambiguating Defeasible Social and Moral Situations</t>
  </si>
  <si>
    <t>jin-etal-2023-adversarial</t>
  </si>
  <si>
    <t>Adversarial Robustness for Large Language {NER} models using Disentanglement and Word Attributions</t>
  </si>
  <si>
    <t>xu-etal-2023-structural</t>
  </si>
  <si>
    <t>Are Structural Concepts Universal in Transformer Language Models? Towards Interpretable Cross-Lingual Generalization</t>
  </si>
  <si>
    <t>katz-belinkov-2023-visit</t>
  </si>
  <si>
    <t>{VISIT}: Visualizing and Interpreting the Semantic Information Flow of Transformers</t>
  </si>
  <si>
    <t>mathur-etal-2023-interpreting</t>
  </si>
  <si>
    <t>Interpreting Answers to Yes-No Questions in User-Generated Content</t>
  </si>
  <si>
    <t>zhou-etal-2023-context</t>
  </si>
  <si>
    <t>Context-faithful Prompting for Large Language Models</t>
  </si>
  <si>
    <t>patel-etal-2023-learning</t>
  </si>
  <si>
    <t>Learning Interpretable Style Embeddings via Prompting {LLM}s</t>
  </si>
  <si>
    <t>huang-etal-2023-swing</t>
  </si>
  <si>
    <t>{SWING}: Balancing Coverage and Faithfulness for Dialogue Summarization</t>
  </si>
  <si>
    <t>yang-etal-2023-task</t>
  </si>
  <si>
    <t>Task-specific Compression for Multi-task Language Models using Attribution-based Pruning</t>
  </si>
  <si>
    <t>joshi-etal-2023-unsupervised</t>
  </si>
  <si>
    <t>Unsupervised Keyphrase Extraction via Interpretable Neural Networks</t>
  </si>
  <si>
    <t>cao-etal-2023-multi</t>
  </si>
  <si>
    <t>Multi-View Source Ablation for Faithful Summarization</t>
  </si>
  <si>
    <t>zhou-shah-2023-solvability</t>
  </si>
  <si>
    <t>The Solvability of Interpretability Evaluation Metrics</t>
  </si>
  <si>
    <t>ding-etal-2023-shot</t>
  </si>
  <si>
    <t>Few-shot Classification with Hypersphere Modeling of Prototypes</t>
  </si>
  <si>
    <t>chiesurin-etal-2023-dangers</t>
  </si>
  <si>
    <t>The Dangers of trusting Stochastic Parrots: Faithfulness and Trust in Open-domain Conversational Question Answering</t>
  </si>
  <si>
    <t>varshney-etal-2023-unified</t>
  </si>
  <si>
    <t>A Unified Evaluation Framework for Novelty Detection and Accommodation in {NLP} with an Instantiation in Authorship Attribution</t>
  </si>
  <si>
    <t>liu-etal-2023-attribute</t>
  </si>
  <si>
    <t>Attribute Controlled Dialogue Prompting</t>
  </si>
  <si>
    <t>wang-etal-2023-rfid</t>
  </si>
  <si>
    <t>{RF}i{D}: Towards Rational Fusion-in-Decoder for Open-Domain Question Answering</t>
  </si>
  <si>
    <t>zhu-etal-2023-knowledge</t>
  </si>
  <si>
    <t>What Knowledge Is Needed? Towards Explainable Memory for k{NN}-{MT} Domain Adaptation</t>
  </si>
  <si>
    <t>huang-etal-2023-pram</t>
  </si>
  <si>
    <t>{PRAM}: An End-to-end Prototype-based Representation Alignment Model for Zero-resource Cross-lingual Named Entity Recognition</t>
  </si>
  <si>
    <t>hong-etal-2023-robust</t>
  </si>
  <si>
    <t>A Robust Information-Masking Approach for Domain Counterfactual Generation</t>
  </si>
  <si>
    <t>lin-morency-2023-sentecon</t>
  </si>
  <si>
    <t>{S}ente{C}on: Leveraging Lexicons to Learn Human-Interpretable Language Representations</t>
  </si>
  <si>
    <t>goldfarb-tarrant-etal-2023-bias</t>
  </si>
  <si>
    <t>Bias Beyond {E}nglish: Counterfactual Tests for Bias in Sentiment Analysis in Four Languages</t>
  </si>
  <si>
    <t>lu-etal-2023-asymmetric</t>
  </si>
  <si>
    <t>Asymmetric feature interaction for interpreting model predictions</t>
  </si>
  <si>
    <t>chen-etal-2023-honestbait</t>
  </si>
  <si>
    <t>{H}onest{B}ait: Forward References for Attractive but Faithful Headline Generation</t>
  </si>
  <si>
    <t>veerubhotla-etal-2023-shot</t>
  </si>
  <si>
    <t>Few Shot Rationale Generation using Self-Training with Dual Teachers</t>
  </si>
  <si>
    <t>luo-etal-2023-prototype</t>
  </si>
  <si>
    <t>Prototype-Based Interpretability for Legal Citation Prediction</t>
  </si>
  <si>
    <t>wicke-2023-lms</t>
  </si>
  <si>
    <t>{LM}s stand their Ground: Investigating the Effect of Embodiment in Figurative Language Interpretation by Language Models</t>
  </si>
  <si>
    <t>jourdan-etal-2023-cockatiel</t>
  </si>
  <si>
    <t>{COCKATIEL}: {CO}ntinuous Concept ran{K}ed {AT}tribution with Interpretable {EL}ements for explaining neural net classifiers on {NLP}</t>
  </si>
  <si>
    <t>fang-etal-2023-whole</t>
  </si>
  <si>
    <t>The Whole Truth and Nothing But the Truth: Faithful and Controllable Dialogue Response Generation with Dataflow Transduction and Constrained Decoding</t>
  </si>
  <si>
    <t>iskander-etal-2023-shielded</t>
  </si>
  <si>
    <t>Shielded Representations: Protecting Sensitive Attributes Through Iterative Gradient-Based Projection</t>
  </si>
  <si>
    <t>guo-etal-2023-comave</t>
  </si>
  <si>
    <t>{C}o{M}ave: Contrastive Pre-training with Multi-scale Masking for Attribute Value Extraction</t>
  </si>
  <si>
    <t>hauzenberger-etal-2023-modular</t>
  </si>
  <si>
    <t>Modular and On-demand Bias Mitigation with Attribute-Removal Subnetworks</t>
  </si>
  <si>
    <t>li-etal-2023-factual</t>
  </si>
  <si>
    <t>{FACTUAL}: A Benchmark for Faithful and Consistent Textual Scene Graph Parsing</t>
  </si>
  <si>
    <t>chan-etal-2023-interpretable</t>
  </si>
  <si>
    <t>Interpretable Automatic Fine-grained Inconsistency Detection in Text Summarization</t>
  </si>
  <si>
    <t>shinzato-etal-2023-unified</t>
  </si>
  <si>
    <t>A Unified Generative Approach to Product Attribute-Value Identification</t>
  </si>
  <si>
    <t>jiang-etal-2023-interpreting</t>
  </si>
  <si>
    <t>Interpreting Sentiment Composition with Latent Semantic Tree</t>
  </si>
  <si>
    <t>enguehard-2023-sequential</t>
  </si>
  <si>
    <t>Sequential Integrated Gradients: a simple but effective method for explaining language models</t>
  </si>
  <si>
    <t>ju-etal-2023-continuous</t>
  </si>
  <si>
    <t>Is Continuous Prompt a Combination of Discrete Prompts? Towards a Novel View for Interpreting Continuous Prompts</t>
  </si>
  <si>
    <t>vincent-etal-2023-mtcue</t>
  </si>
  <si>
    <t>{MTC}ue: Learning Zero-Shot Control of Extra-Textual Attributes by Leveraging Unstructured Context in Neural Machine Translation</t>
  </si>
  <si>
    <t>wen-etal-2023-grace</t>
  </si>
  <si>
    <t>{GRACE}: Gradient-guided Controllable Retrieval for Augmenting Attribute-based Text Generation</t>
  </si>
  <si>
    <t>bernard-mickus-2023-many</t>
  </si>
  <si>
    <t>So many design choices: Improving and interpreting neural agent communication in signaling games</t>
  </si>
  <si>
    <t>wang-xie-2023-constructing</t>
  </si>
  <si>
    <t>Constructing Word-Context-Coupled Space Aligned with Associative Knowledge Relations for Interpretable Language Modeling</t>
  </si>
  <si>
    <t>li-etal-2023-defending</t>
  </si>
  <si>
    <t>Defending against Insertion-based Textual Backdoor Attacks via Attribution</t>
  </si>
  <si>
    <t>zanwar-etal-2023-fuse</t>
  </si>
  <si>
    <t>What to Fuse and How to Fuse: Exploring Emotion and Personality Fusion Strategies for Explainable Mental Disorder Detection</t>
  </si>
  <si>
    <t>jukic-etal-2023-easy</t>
  </si>
  <si>
    <t>Easy to Decide, Hard to Agree: Reducing Disagreements Between Saliency Methods</t>
  </si>
  <si>
    <t>rajaraman-etal-2023-investigating</t>
  </si>
  <si>
    <t>Investigating Transformer-Guided Chaining for Interpretable Natural Logic Reasoning</t>
  </si>
  <si>
    <t>lam-etal-2023-large</t>
  </si>
  <si>
    <t>Large Language Models Are Partially Primed in Pronoun Interpretation</t>
  </si>
  <si>
    <t>filandrianos-etal-2023-counterfactuals</t>
  </si>
  <si>
    <t>Counterfactuals of Counterfactuals: a back-translation-inspired approach to analyse counterfactual editors</t>
  </si>
  <si>
    <t>liu-etal-2023-interpretable</t>
  </si>
  <si>
    <t>Interpretable Multimodal Misinformation Detection with Logic Reasoning</t>
  </si>
  <si>
    <t>yang-etal-2023-mixpave</t>
  </si>
  <si>
    <t>{M}ix{PAVE}: Mix-Prompt Tuning for Few-shot Product Attribute Value Extraction</t>
  </si>
  <si>
    <t>fajcik-etal-2023-claim</t>
  </si>
  <si>
    <t>Claim-Dissector: An Interpretable Fact-Checking System with Joint Re-ranking and Veracity Prediction</t>
  </si>
  <si>
    <t>mei-etal-2023-foveate</t>
  </si>
  <si>
    <t>Foveate, Attribute, and Rationalize: Towards Physically Safe and Trustworthy {AI}</t>
  </si>
  <si>
    <t>madhavan-etal-2023-cfl</t>
  </si>
  <si>
    <t>{CFL}: Causally Fair Language Models Through Token-level Attribute Controlled Generation</t>
  </si>
  <si>
    <t>jacovi-etal-2023-neighboring</t>
  </si>
  <si>
    <t>Neighboring Words Affect Human Interpretation of Saliency Explanations</t>
  </si>
  <si>
    <t>garg-etal-2023-annotated</t>
  </si>
  <si>
    <t>An Annotated Dataset for Explainable Interpersonal Risk Factors of Mental Disturbance in Social Media Posts</t>
  </si>
  <si>
    <t>ju-etal-2023-hierarchical</t>
  </si>
  <si>
    <t>A Hierarchical Explanation Generation Method Based on Feature Interaction Detection</t>
  </si>
  <si>
    <t>wagner-foster-2023-investigating</t>
  </si>
  <si>
    <t>Investigating the Saliency of Sentiment Expressions in Aspect-Based Sentiment Analysis</t>
  </si>
  <si>
    <t>govindarajan-etal-2023-counterfactual</t>
  </si>
  <si>
    <t>Counterfactual Probing for the Influence of Affect and Specificity on Intergroup Bias</t>
  </si>
  <si>
    <t>zhang-etal-2023-pay</t>
  </si>
  <si>
    <t>Pay Attention to Implicit Attribute Values: A Multi-modal Generative Framework for {AVE} Task</t>
  </si>
  <si>
    <t>chen-etal-2023-distinguish</t>
  </si>
  <si>
    <t>Distinguish Before Answer: Generating Contrastive Explanation as Knowledge for Commonsense Question Answering</t>
  </si>
  <si>
    <t>brinner-zarriess-2023-model</t>
  </si>
  <si>
    <t>Model Interpretability and Rationale Extraction by Input Mask Optimization</t>
  </si>
  <si>
    <t>kawabata-sugawara-2023-evaluating</t>
  </si>
  <si>
    <t>Evaluating the Rationale Understanding of Critical Reasoning in Logical Reading Comprehension</t>
  </si>
  <si>
    <t>muller-etal-2023-evaluating</t>
  </si>
  <si>
    <t>Evaluating and Modeling Attribution for Cross-Lingual Question Answering</t>
  </si>
  <si>
    <t>chen-etal-2023-using</t>
  </si>
  <si>
    <t>Using Interpretation Methods for Model Enhancement</t>
  </si>
  <si>
    <t>chen-etal-2023-fidelity</t>
  </si>
  <si>
    <t>Fidelity-Enriched Contrastive Search: Reconciling the Faithfulness-Diversity Trade-Off in Text Generation</t>
  </si>
  <si>
    <t>wen-yi-mimno-2023-hyperpolyglot</t>
  </si>
  <si>
    <t>Hyperpolyglot {LLM}s: Cross-Lingual Interpretability in Token Embeddings</t>
  </si>
  <si>
    <t>liu-etal-2023-vera</t>
  </si>
  <si>
    <t>Vera: A General-Purpose Plausibility Estimation Model for Commonsense Statements</t>
  </si>
  <si>
    <t>hwang-shwartz-2023-memecap</t>
  </si>
  <si>
    <t>{M}eme{C}ap: A Dataset for Captioning and Interpreting Memes</t>
  </si>
  <si>
    <t>simhi-markovitch-2023-interpreting</t>
  </si>
  <si>
    <t>Interpreting Embedding Spaces by Conceptualization</t>
  </si>
  <si>
    <t>patel-etal-2023-magnifico</t>
  </si>
  <si>
    <t>{MAGNIFIC}o: Evaluating the In-Context Learning Ability of Large Language Models to Generalize to Novel Interpretations</t>
  </si>
  <si>
    <t>wu-etal-2023-mproto</t>
  </si>
  <si>
    <t>{MP}roto: Multi-Prototype Network with Denoised Optimal Transport for Distantly Supervised Named Entity Recognition</t>
  </si>
  <si>
    <t>bouyamourn-2023-llms</t>
  </si>
  <si>
    <t>Why {LLM}s Hallucinate, and How to Get (Evidential) Closure: Perceptual, Intensional, and Extensional Learning for Faithful Natural Language Generation</t>
  </si>
  <si>
    <t>mousi-etal-2023-llms</t>
  </si>
  <si>
    <t>Can {LLM}s Facilitate Interpretation of Pre-trained Language Models?</t>
  </si>
  <si>
    <t>ch-wang-etal-2023-sociocultural</t>
  </si>
  <si>
    <t>Sociocultural Norm Similarities and Differences via Situational Alignment and Explainable Textual Entailment</t>
  </si>
  <si>
    <t>urrutia-etal-2023-deep</t>
  </si>
  <si>
    <t>Deep Natural Language Feature Learning for Interpretable Prediction</t>
  </si>
  <si>
    <t>attanasio-etal-2023-tale</t>
  </si>
  <si>
    <t>A Tale of Pronouns: Interpretability Informs Gender Bias Mitigation for Fairer Instruction-Tuned Machine Translation</t>
  </si>
  <si>
    <t>beinborn-pinter-2023-analyzing</t>
  </si>
  <si>
    <t>Analyzing Cognitive Plausibility of Subword Tokenization</t>
  </si>
  <si>
    <t>zhao-etal-2023-prototype</t>
  </si>
  <si>
    <t>Prototype-based {H}yper{A}dapter for Sample-Efficient Multi-task Tuning</t>
  </si>
  <si>
    <t>koo-etal-2023-kebap</t>
  </si>
  <si>
    <t>{KEBAP}: {K}orean Error Explainable Benchmark Dataset for {ASR} and Post-processing</t>
  </si>
  <si>
    <t>jang-etal-2023-post</t>
  </si>
  <si>
    <t>Post-hoc Utterance Refining Method by Entity Mining for Faithful Knowledge Grounded Conversations</t>
  </si>
  <si>
    <t>hou-etal-2023-towards</t>
  </si>
  <si>
    <t>Towards a Mechanistic Interpretation of Multi-Step Reasoning Capabilities of Language Models</t>
  </si>
  <si>
    <t>meng-etal-2023-rapl</t>
  </si>
  <si>
    <t>{RAPL}: A Relation-Aware Prototype Learning Approach for Few-Shot Document-Level Relation Extraction</t>
  </si>
  <si>
    <t>miao-etal-2023-generating</t>
  </si>
  <si>
    <t>Generating Commonsense Counterfactuals for Stable Relation Extraction</t>
  </si>
  <si>
    <t>kaffee-etal-2023-article</t>
  </si>
  <si>
    <t>Why Should This Article Be Deleted? Transparent Stance Detection in Multilingual {W}ikipedia Editor Discussions</t>
  </si>
  <si>
    <t>xu-etal-2023-instructscore</t>
  </si>
  <si>
    <t>{INSTRUCTSCORE}: Towards Explainable Text Generation Evaluation with Automatic Feedback</t>
  </si>
  <si>
    <t>yang-etal-2023-towards</t>
  </si>
  <si>
    <t>Towards Interpretable Mental Health Analysis with Large Language Models</t>
  </si>
  <si>
    <t>kamp-etal-2023-dynamic</t>
  </si>
  <si>
    <t>Dynamic Top-k Estimation Consolidates Disagreement between Feature Attribution Methods</t>
  </si>
  <si>
    <t>wu-etal-2023-enhancing</t>
  </si>
  <si>
    <t>Enhancing Structured Evidence Extraction for Fact Verification</t>
  </si>
  <si>
    <t>eberle-etal-2023-rather</t>
  </si>
  <si>
    <t>Rather a Nurse than a Physician - Contrastive Explanations under Investigation</t>
  </si>
  <si>
    <t>stolfo-etal-2023-mechanistic</t>
  </si>
  <si>
    <t>A Mechanistic Interpretation of Arithmetic Reasoning in Language Models using Causal Mediation Analysis</t>
  </si>
  <si>
    <t>hu-etal-2023-faithful</t>
  </si>
  <si>
    <t>Faithful Model Evaluation for Model-Based Metrics</t>
  </si>
  <si>
    <t>tian-etal-2023-modeling</t>
  </si>
  <si>
    <t>Modeling Conceptual Attribute Likeness and Domain Inconsistency for Metaphor Detection</t>
  </si>
  <si>
    <t>fu-etal-2023-scene</t>
  </si>
  <si>
    <t>{SCENE}: Self-Labeled Counterfactuals for Extrapolating to Negative Examples</t>
  </si>
  <si>
    <t>zhong-etal-2023-air</t>
  </si>
  <si>
    <t>Air-Decoding: Attribute Distribution Reconstruction for Decoding-Time Controllable Text Generation</t>
  </si>
  <si>
    <t>yu-etal-2023-ifqa</t>
  </si>
  <si>
    <t>{I}f{QA}: A Dataset for Open-domain Question Answering under Counterfactual Presuppositions</t>
  </si>
  <si>
    <t>saxena-etal-2023-idtraffickers</t>
  </si>
  <si>
    <t>{IDT}raffickers: An Authorship Attribution Dataset to link and connect Potential Human-Trafficking Operations on Text Escort Advertisements</t>
  </si>
  <si>
    <t>majumder-etal-2023-interfair</t>
  </si>
  <si>
    <t>{I}nter{F}air: Debiasing with Natural Language Feedback for Fair Interpretable Predictions</t>
  </si>
  <si>
    <t>xu-etal-2023-dissonance</t>
  </si>
  <si>
    <t>From Dissonance to Insights: Dissecting Disagreements in Rationale Construction for Case Outcome Classification</t>
  </si>
  <si>
    <t>askari-etal-2023-expand</t>
  </si>
  <si>
    <t>Expand, Highlight, Generate: {RL}-driven Document Generation for Passage Reranking</t>
  </si>
  <si>
    <t>nandwani-etal-2023-pointwise</t>
  </si>
  <si>
    <t>Pointwise Mutual Information Based Metric and Decoding Strategy for Faithful Generation in Document Grounded Dialogs</t>
  </si>
  <si>
    <t>lahoti-etal-2023-improving</t>
  </si>
  <si>
    <t>Improving Diversity of Demographic Representation in Large Language Models via Collective-Critiques and Self-Voting</t>
  </si>
  <si>
    <t>sen-etal-2023-people</t>
  </si>
  <si>
    <t>People Make Better Edits: Measuring the Efficacy of {LLM}-Generated Counterfactually Augmented Data for Harmful Language Detection</t>
  </si>
  <si>
    <t>wang-etal-2023-goal</t>
  </si>
  <si>
    <t>Goal-Driven Explainable Clustering via Language Descriptions</t>
  </si>
  <si>
    <t>zhang-etal-2023-famesumm</t>
  </si>
  <si>
    <t>{F}a{M}e{S}umm: Investigating and Improving Faithfulness of Medical Summarization</t>
  </si>
  <si>
    <t>jia-etal-2023-zero</t>
  </si>
  <si>
    <t>Zero-shot Faithfulness Evaluation for Text Summarization with Foundation Language Model</t>
  </si>
  <si>
    <t>briakou-etal-2023-explaining</t>
  </si>
  <si>
    <t>Explaining with Contrastive Phrasal Highlighting: A Case Study in Assisting Humans to Detect Translation Differences</t>
  </si>
  <si>
    <t>yue-etal-2023-interventional</t>
  </si>
  <si>
    <t>Interventional Rationalization</t>
  </si>
  <si>
    <t>chang-etal-2023-beyond</t>
  </si>
  <si>
    <t>Beyond Detection: A Defend-and-Summarize Strategy for Robust and Interpretable Rumor Analysis on Social Media</t>
  </si>
  <si>
    <t>xu-etal-2023-vechr</t>
  </si>
  <si>
    <t>{VECHR}: A Dataset for Explainable and Robust Classification of Vulnerability Type in the {E}uropean Court of Human Rights</t>
  </si>
  <si>
    <t>wu-etal-2023-acquired</t>
  </si>
  <si>
    <t>{ACQUIRED}: A Dataset for Answering Counterfactual Questions In Real-Life Videos</t>
  </si>
  <si>
    <t>maekawa-imai-2023-identifying</t>
  </si>
  <si>
    <t>Identifying Statements Crucial for Awareness of Interpretive Nonsense to Prevent Communication Breakdowns</t>
  </si>
  <si>
    <t>choudhury-etal-2023-explaining</t>
  </si>
  <si>
    <t>Explaining Interactions Between Text Spans</t>
  </si>
  <si>
    <t>burger-etal-2023-explanations</t>
  </si>
  <si>
    <t>``Are Your Explanations Reliable?'' Investigating the Stability of {LIME} in Explaining Text Classifiers by Marrying {XAI} and Adversarial Attack</t>
  </si>
  <si>
    <t>zhang-etal-2023-semantic</t>
  </si>
  <si>
    <t>Semantic Space Grounded Weighted Decoding for Multi-Attribute Controllable Dialogue Generation</t>
  </si>
  <si>
    <t>wang-etal-2023-coffee</t>
  </si>
  <si>
    <t>{COFFEE}: Counterfactual Fairness for Personalized Text Generation in Explainable Recommendation</t>
  </si>
  <si>
    <t>zhu-etal-2023-explain</t>
  </si>
  <si>
    <t>{EXPLAIN}, {EDIT}, {GENERATE}: Rationale-Sensitive Counterfactual Data Augmentation for Multi-hop Fact Verification</t>
  </si>
  <si>
    <t>menon-etal-2023-mantle</t>
  </si>
  <si>
    <t>{M}a{N}t{LE}: Model-agnostic Natural Language Explainer</t>
  </si>
  <si>
    <t>fanconi-etal-2023-reads</t>
  </si>
  <si>
    <t>This Reads Like That: Deep Learning for Interpretable Natural Language Processing</t>
  </si>
  <si>
    <t>huang-etal-2023-bridging</t>
  </si>
  <si>
    <t>Bridging Continuous and Discrete Spaces: Interpretable Sentence Representation Learning via Compositional Operations</t>
  </si>
  <si>
    <t>chakraborty-etal-2023-factify3m</t>
  </si>
  <si>
    <t>{FACTIFY}3{M}: A benchmark for multimodal fact verification with explainability through 5{W} Question-Answering</t>
  </si>
  <si>
    <t>xiong-etal-2023-rationale</t>
  </si>
  <si>
    <t>Rationale-Enhanced Language Models are Better Continual Relation Learners</t>
  </si>
  <si>
    <t>tu-etal-2023-training</t>
  </si>
  <si>
    <t>A Training-Free Debiasing Framework with Counterfactual Reasoning for Conversational Emotion Detection</t>
  </si>
  <si>
    <t>moeller-etal-2023-attribution</t>
  </si>
  <si>
    <t>An Attribution Method for {S}iamese Encoders</t>
  </si>
  <si>
    <t>zhao-etal-2023-hop</t>
  </si>
  <si>
    <t>Hop, Union, Generate: Explainable Multi-hop Reasoning without Rationale Supervision</t>
  </si>
  <si>
    <t>liu-etal-2023-towards-interpretable</t>
  </si>
  <si>
    <t>Towards Interpretable and Efficient Automatic Reference-Based Summarization Evaluation</t>
  </si>
  <si>
    <t>li-etal-2023-interpreting</t>
  </si>
  <si>
    <t>Interpreting and Exploiting Functional Specialization in Multi-Head Attention under Multi-task Learning</t>
  </si>
  <si>
    <t>maity-etal-2023-genex</t>
  </si>
  <si>
    <t>{G}en{E}x: A Commonsense-aware Unified Generative Framework for Explainable Cyberbullying Detection</t>
  </si>
  <si>
    <t>widiaputri-etal-2023-speech</t>
  </si>
  <si>
    <t>Speech Recognition and Meaning Interpretation: Towards Disambiguation of Structurally Ambiguous Spoken Utterances in {I}ndonesian</t>
  </si>
  <si>
    <t>wang-etal-2023-extracting</t>
  </si>
  <si>
    <t>Extracting or Guessing? Improving Faithfulness of Event Temporal Relation Extraction</t>
  </si>
  <si>
    <t>zhao-etal-2023-loft</t>
  </si>
  <si>
    <t>{L}o{FT}: Enhancing Faithfulness and Diversity for Table-to-Text Generation via Logic Form Control</t>
  </si>
  <si>
    <t>deutsch-roth-2023-incorporating</t>
  </si>
  <si>
    <t>Incorporating Question Answering-Based Signals into Abstractive Summarization via Salient Span Selection</t>
  </si>
  <si>
    <t>hu-etal-2023-unifee</t>
  </si>
  <si>
    <t>{U}nif{EE}: Unified Evidence Extraction for Fact Verification</t>
  </si>
  <si>
    <t>shao-etal-2023-gold</t>
  </si>
  <si>
    <t>Gold Doesn{'}t Always Glitter: Spectral Removal of Linear and Nonlinear Guarded Attribute Information</t>
  </si>
  <si>
    <t>krishna-etal-2023-longeval</t>
  </si>
  <si>
    <t>{L}ong{E}val: Guidelines for Human Evaluation of Faithfulness in Long-form Summarization</t>
  </si>
  <si>
    <t>modarressi-etal-2023-guide</t>
  </si>
  <si>
    <t>Guide the Learner: Controlling Product of Experts Debiasing Method Based on Token Attribution Similarities</t>
  </si>
  <si>
    <t>dai-etal-2023-plausible</t>
  </si>
  <si>
    <t>Plausible May Not Be Faithful: Probing Object Hallucination in Vision-Language Pre-training</t>
  </si>
  <si>
    <t>held-yang-2023-shapley</t>
  </si>
  <si>
    <t>Shapley Head Pruning: Identifying and Removing Interference in Multilingual Transformers</t>
  </si>
  <si>
    <t>hayati-etal-2023-stylex</t>
  </si>
  <si>
    <t>{S}ty{LE}x: Explaining Style Using Human Lexical Annotations</t>
  </si>
  <si>
    <t>wan-etal-2023-faithfulness</t>
  </si>
  <si>
    <t>Faithfulness-Aware Decoding Strategies for Abstractive Summarization</t>
  </si>
  <si>
    <t>cole-etal-2023-salient</t>
  </si>
  <si>
    <t>Salient Span Masking for Temporal Understanding</t>
  </si>
  <si>
    <t>xie-etal-2023-counter</t>
  </si>
  <si>
    <t>Counter-{GAP}: Counterfactual Bias Evaluation through Gendered Ambiguous Pronouns</t>
  </si>
  <si>
    <t>rashkin-etal-2023-measuring</t>
  </si>
  <si>
    <t>Measuring Attribution in Natural Language Generation Models</t>
  </si>
  <si>
    <t>reig-alamillo-etal-2023-analysis</t>
  </si>
  <si>
    <t>The Analysis of Synonymy and Antonymy in Discourse Relations: An Interpretable Modeling Approach</t>
  </si>
  <si>
    <t>apidianaki-2023-word</t>
  </si>
  <si>
    <t>From Word Types to Tokens and Back: A Survey of Approaches to Word Meaning Representation and Interpretation</t>
  </si>
  <si>
    <t>atanasova-etal-2023-faithfulness</t>
  </si>
  <si>
    <t>Faithfulness Tests for Natural Language Explanations</t>
  </si>
  <si>
    <t>an-rudinger-2023-nichelle</t>
  </si>
  <si>
    <t>Nichelle and Nancy: The Influence of Demographic Attributes and Tokenization Length on First Name Biases</t>
  </si>
  <si>
    <t>valentini-etal-2023-interpretability</t>
  </si>
  <si>
    <t>On the Interpretability and Significance of Bias Metrics in Texts: a {PMI}-based Approach</t>
  </si>
  <si>
    <t>vishnubhotla-etal-2023-improving</t>
  </si>
  <si>
    <t>Improving Automatic Quotation Attribution in Literary Novels</t>
  </si>
  <si>
    <t>li-etal-2023-counterfactual</t>
  </si>
  <si>
    <t>Counterfactual reasoning: Testing language models' understanding of hypothetical scenarios</t>
  </si>
  <si>
    <t>steen-etal-2023-little</t>
  </si>
  <si>
    <t>With a Little Push, {NLI} Models can Robustly and Efficiently Predict Faithfulness</t>
  </si>
  <si>
    <t>mu-li-2023-enhancing</t>
  </si>
  <si>
    <t>Enhancing Event Causality Identification with Counterfactual Reasoning</t>
  </si>
  <si>
    <t>nguyen-duc-etal-2023-class</t>
  </si>
  <si>
    <t>Class based Influence Functions for Error Detection</t>
  </si>
  <si>
    <t>sarti-etal-2023-ramp</t>
  </si>
  <si>
    <t>{RAMP}: Retrieval and Attribute-Marking Enhanced Prompting for Attribute-Controlled Translation</t>
  </si>
  <si>
    <t>agnew-etal-2023-mechanical</t>
  </si>
  <si>
    <t>The Mechanical Bard: An Interpretable Machine Learning Approach to {S}hakespearean Sonnet Generation</t>
  </si>
  <si>
    <t>zhang-etal-2023-safeconv</t>
  </si>
  <si>
    <t>{S}afe{C}onv: Explaining and Correcting Conversational Unsafe Behavior</t>
  </si>
  <si>
    <t>cheng-etal-2023-explainable</t>
  </si>
  <si>
    <t>Explainable Recommendation with Personalized Review Retrieval and Aspect Learning</t>
  </si>
  <si>
    <t>chronis-etal-2023-method</t>
  </si>
  <si>
    <t>A Method for Studying Semantic Construal in Grammatical Constructions with Interpretable Contextual Embedding Spaces</t>
  </si>
  <si>
    <t>clarke-etal-2023-rule</t>
  </si>
  <si>
    <t>Rule By Example: Harnessing Logical Rules for Explainable Hate Speech Detection</t>
  </si>
  <si>
    <t>yang-etal-2023-tailor</t>
  </si>
  <si>
    <t>Tailor: A Soft-Prompt-Based Approach to Attribute-Based Controlled Text Generation</t>
  </si>
  <si>
    <t>chen-etal-2023-causal</t>
  </si>
  <si>
    <t>Causal Intervention and Counterfactual Reasoning for Multi-modal Fake News Detection</t>
  </si>
  <si>
    <t>lin-etal-2023-techs</t>
  </si>
  <si>
    <t>{TECHS}: Temporal Logical Graph Networks for Explainable Extrapolation Reasoning</t>
  </si>
  <si>
    <t>chen-etal-2023-rev</t>
  </si>
  <si>
    <t>{REV}: Information-Theoretic Evaluation of Free-Text Rationales</t>
  </si>
  <si>
    <t>li-etal-2023-attgen</t>
  </si>
  <si>
    <t>{A}t{TG}en: Attribute Tree Generation for Real-World Attribute Joint Extraction</t>
  </si>
  <si>
    <t>zhang-etal-2023-extractive</t>
  </si>
  <si>
    <t>Extractive is not Faithful: An Investigation of Broad Unfaithfulness Problems in Extractive Summarization</t>
  </si>
  <si>
    <t>modarressi-etal-2023-decompx</t>
  </si>
  <si>
    <t>{D}ecomp{X}: Explaining Transformers Decisions by Propagating Token Decomposition</t>
  </si>
  <si>
    <t>wang-etal-2023-faithful</t>
  </si>
  <si>
    <t>Faithful Low-Resource Data-to-Text Generation through Cycle Training</t>
  </si>
  <si>
    <t>giulianelli-etal-2023-interpretable</t>
  </si>
  <si>
    <t>Interpretable Word Sense Representations via Definition Generation: The Case of Semantic Change Analysis</t>
  </si>
  <si>
    <t>hong-etal-2023-faithful</t>
  </si>
  <si>
    <t>Faithful Question Answering with {M}onte-{C}arlo Planning</t>
  </si>
  <si>
    <t>zhou-etal-2023-improving</t>
  </si>
  <si>
    <t>Improving Self-training for Cross-lingual Named Entity Recognition with Contrastive and Prototype Learning</t>
  </si>
  <si>
    <t>parcalabescu-frank-2023-mm</t>
  </si>
  <si>
    <t>{MM}-{SHAP}: A Performance-agnostic Metric for Measuring Multimodal Contributions in Vision and Language Models {\&amp;} Tasks</t>
  </si>
  <si>
    <t>guo-etal-2023-counterfactual</t>
  </si>
  <si>
    <t>Counterfactual Multihop {QA}: A Cause-Effect Approach for Reducing Disconnected Reasoning</t>
  </si>
  <si>
    <t>deng-etal-2023-towards</t>
  </si>
  <si>
    <t>Towards Faithful Dialogues via Focus Learning</t>
  </si>
  <si>
    <t>liu-etal-2023-dimongen</t>
  </si>
  <si>
    <t>{D}imon{G}en: Diversified Generative Commonsense Reasoning for Explaining Concept Relationships</t>
  </si>
  <si>
    <t>zhao-aletras-2023-incorporating</t>
  </si>
  <si>
    <t>Incorporating Attribution Importance for Improving Faithfulness Metrics</t>
  </si>
  <si>
    <t>ferrando-etal-2023-explaining</t>
  </si>
  <si>
    <t>Explaining How Transformers Use Context to Build Predictions</t>
  </si>
  <si>
    <t>chen-etal-2023-disco</t>
  </si>
  <si>
    <t>{DISCO}: Distilling Counterfactuals with Large Language Models</t>
  </si>
  <si>
    <t>tang-etal-2023-daam</t>
  </si>
  <si>
    <t>What the {DAAM}: Interpreting Stable Diffusion Using Cross Attention</t>
  </si>
  <si>
    <t>huang-etal-2023-zero</t>
  </si>
  <si>
    <t>Zero-shot Faithful Factual Error Correction</t>
  </si>
  <si>
    <t>xu-etal-2023-counterfactual</t>
  </si>
  <si>
    <t>Counterfactual Debiasing for Fact Verification</t>
  </si>
  <si>
    <t>zhang-etal-2023-interpretable</t>
  </si>
  <si>
    <t>Interpretable Math Word Problem Solution Generation via Step-by-step Planning</t>
  </si>
  <si>
    <t>joshi-etal-2023-machine</t>
  </si>
  <si>
    <t>Are Machine Rationales (Not) Useful to Humans? Measuring and Improving Human Utility of Free-text Rationales</t>
  </si>
  <si>
    <t>singh-etal-2023-peeking</t>
  </si>
  <si>
    <t>Peeking inside the black box: A Commonsense-aware Generative Framework for Explainable Complaint Detection</t>
  </si>
  <si>
    <t>chen-etal-2023-consistent</t>
  </si>
  <si>
    <t>Consistent Prototype Learning for Few-Shot Continual Relation Extraction</t>
  </si>
  <si>
    <t>foley-etal-2023-matching</t>
  </si>
  <si>
    <t>Matching Pairs: Attributing Fine-Tuned Models to their Pre-Trained Large Language Models</t>
  </si>
  <si>
    <t>whitehouse-etal-2023-webie</t>
  </si>
  <si>
    <t>{W}eb{IE}: Faithful and Robust Information Extraction on the Web</t>
  </si>
  <si>
    <t>wu-etal-2023-ad</t>
  </si>
  <si>
    <t>{AD}-{KD}: Attribution-Driven Knowledge Distillation for Language Model Compression</t>
  </si>
  <si>
    <t>hosking-etal-2023-attributable</t>
  </si>
  <si>
    <t>Attributable and Scalable Opinion Summarization</t>
  </si>
  <si>
    <t>yang-etal-2023-efficient</t>
  </si>
  <si>
    <t>Efficient Shapley Values Estimation by Amortization for Text Classification</t>
  </si>
  <si>
    <t>xilong-etal-2023-interpreting</t>
  </si>
  <si>
    <t>Interpreting Positional Information in Perspective of Word Order</t>
  </si>
  <si>
    <t>zhu-etal-2023-paed</t>
  </si>
  <si>
    <t>{PAED}: Zero-Shot Persona Attribute Extraction in Dialogues</t>
  </si>
  <si>
    <t>neeman-etal-2023-disentqa</t>
  </si>
  <si>
    <t>{D}isent{QA}: Disentangling Parametric and Contextual Knowledge with Counterfactual Question Answering</t>
  </si>
  <si>
    <t>kwak-etal-2023-language</t>
  </si>
  <si>
    <t>Language Detoxification with Attribute-Discriminative Latent Space</t>
  </si>
  <si>
    <t>yang-etal-2023-local</t>
  </si>
  <si>
    <t>Local Interpretation of Transformer Based on Linear Decomposition</t>
  </si>
  <si>
    <t>jing-etal-2023-multi</t>
  </si>
  <si>
    <t>Multi-source Semantic Graph-based Multimodal Sarcasm Explanation Generation</t>
  </si>
  <si>
    <t>deng-etal-2023-counterfactual</t>
  </si>
  <si>
    <t>Counterfactual Active Learning for Out-of-Distribution Generalization</t>
  </si>
  <si>
    <t>ladhak-etal-2023-contrastive</t>
  </si>
  <si>
    <t>Contrastive Error Attribution for Finetuned Language Models</t>
  </si>
  <si>
    <t>bansal-etal-2023-rethinking</t>
  </si>
  <si>
    <t>Rethinking the Role of Scale for In-Context Learning: An Interpretability-based Case Study at 66 Billion Scale</t>
  </si>
  <si>
    <t>du-etal-2023-generalizing</t>
  </si>
  <si>
    <t>Generalizing Backpropagation for Gradient-Based Interpretability</t>
  </si>
  <si>
    <t>xu-etal-2023-towards</t>
  </si>
  <si>
    <t>Towards Open-World Product Attribute Mining: A Lightly-Supervised Approach</t>
  </si>
  <si>
    <t>storek-etal-2023-unsupervised</t>
  </si>
  <si>
    <t>Unsupervised Selective Rationalization with Noise Injection</t>
  </si>
  <si>
    <t>liu-etal-2023-mgr</t>
  </si>
  <si>
    <t>{MGR}: Multi-generator Based Rationalization</t>
  </si>
  <si>
    <t>ma-etal-2023-bump</t>
  </si>
  <si>
    <t>{BUMP}: A Benchmark of Unfaithful Minimal Pairs for Meta-Evaluation of Faithfulness Metrics</t>
  </si>
  <si>
    <t>kim-etal-2023-explainmeetsum</t>
  </si>
  <si>
    <t>{E}xplain{M}eet{S}um: A Dataset for Explainable Meeting Summarization Aligned with Human Intent</t>
  </si>
  <si>
    <t>yamasaki-etal-2023-holistic</t>
  </si>
  <si>
    <t>Holistic Prediction on a Time-Evolving Attributed Graph</t>
  </si>
  <si>
    <t>liscio-etal-2023-text</t>
  </si>
  <si>
    <t>What does a Text Classifier Learn about Morality? An Explainable Method for Cross-Domain Comparison of Moral Rhetoric</t>
  </si>
  <si>
    <t>zeng-etal-2023-seen</t>
  </si>
  <si>
    <t>Seen to Unseen: Exploring Compositional Generalization of Multi-Attribute Controllable Dialogue Generation</t>
  </si>
  <si>
    <t>zhang-etal-2023-reasoning</t>
  </si>
  <si>
    <t>Reasoning over Hierarchical Question Decomposition Tree for Explainable Question Answering</t>
  </si>
  <si>
    <t>nourbakhsh-etal-2023-using</t>
  </si>
  <si>
    <t>Using counterfactual contrast to improve compositional generalization for multi-step quantitative reasoning</t>
  </si>
  <si>
    <t>treviso-etal-2023-crest</t>
  </si>
  <si>
    <t>{CREST}: A Joint Framework for Rationalization and Counterfactual Text Generation</t>
  </si>
  <si>
    <t>wu-etal-2023-estimating</t>
  </si>
  <si>
    <t>Estimating the Uncertainty in Emotion Attributes using Deep Evidential Regression</t>
  </si>
  <si>
    <t>ramshetty-etal-2023-cross</t>
  </si>
  <si>
    <t>Cross-Modal Attribute Insertions for Assessing the Robustness of Vision-and-Language Learning</t>
  </si>
  <si>
    <t>yang-etal-2023-prototype</t>
  </si>
  <si>
    <t>Prototype-Guided Pseudo Labeling for Semi-Supervised Text Classification</t>
  </si>
  <si>
    <t>chakrabarty-etal-2022-rocket</t>
  </si>
  <si>
    <t>It{'}s not Rocket Science: Interpreting Figurative Language in Narratives</t>
  </si>
  <si>
    <t>dziri-etal-2022-evaluating</t>
  </si>
  <si>
    <t>Evaluating Attribution in Dialogue Systems: The {BEGIN} Benchmark</t>
  </si>
  <si>
    <t>thayaparan-etal-2022-diff</t>
  </si>
  <si>
    <t>Diff-Explainer: Differentiable Convex Optimization for Explainable Multi-hop Inference</t>
  </si>
  <si>
    <t>feder-etal-2022-causal</t>
  </si>
  <si>
    <t>Causal Inference in Natural Language Processing: Estimation, Prediction, Interpretation and Beyond</t>
  </si>
  <si>
    <t>sajjad-etal-2022-neuron</t>
  </si>
  <si>
    <t>Neuron-level Interpretation of Deep {NLP} Models: A Survey</t>
  </si>
  <si>
    <t>calabrese-etal-2022-explainable</t>
  </si>
  <si>
    <t>Explainable Abuse Detection as Intent Classification and Slot Filling</t>
  </si>
  <si>
    <t>dziri-etal-2022-faithdial</t>
  </si>
  <si>
    <t>{F}aith{D}ial: A Faithful Benchmark for Information-Seeking Dialogue</t>
  </si>
  <si>
    <t>modarressi-etal-2022-globenc</t>
  </si>
  <si>
    <t>{G}lob{E}nc: Quantifying Global Token Attribution by Incorporating the Whole Encoder Layer in Transformers</t>
  </si>
  <si>
    <t>sullivan-etal-2022-explaining</t>
  </si>
  <si>
    <t>Explaining Why: How Instructions and User Interfaces Impact Annotator Rationales When Labeling Text Data</t>
  </si>
  <si>
    <t>sridhar-yang-2022-explaining</t>
  </si>
  <si>
    <t>Explaining Toxic Text via Knowledge Enhanced Text Generation</t>
  </si>
  <si>
    <t>kim-etal-2022-cosim</t>
  </si>
  <si>
    <t>{C}o{SI}m: Commonsense Reasoning for Counterfactual Scene Imagination</t>
  </si>
  <si>
    <t>adewoyin-etal-2022-rstgen</t>
  </si>
  <si>
    <t>{RSTG}en: Imbuing Fine-Grained Interpretable Control into Long-{F}orm{T}ext Generators</t>
  </si>
  <si>
    <t>zhang-etal-2022-locally</t>
  </si>
  <si>
    <t>Locally Aggregated Feature Attribution on Natural Language Model Understanding</t>
  </si>
  <si>
    <t>balkir-etal-2022-necessity</t>
  </si>
  <si>
    <t>Necessity and Sufficiency for Explaining Text Classifiers: A Case Study in Hate Speech Detection</t>
  </si>
  <si>
    <t>qu-etal-2022-interpretable</t>
  </si>
  <si>
    <t>Interpretable Proof Generation via Iterative Backward Reasoning</t>
  </si>
  <si>
    <t>wang-etal-2022-rely</t>
  </si>
  <si>
    <t>Should We Rely on Entity Mentions for Relation Extraction? Debiasing Relation Extraction with Counterfactual Analysis</t>
  </si>
  <si>
    <t>kasai-etal-2022-transparent</t>
  </si>
  <si>
    <t>Transparent Human Evaluation for Image Captioning</t>
  </si>
  <si>
    <t>khashabi-etal-2022-prompt</t>
  </si>
  <si>
    <t>Prompt Waywardness: The Curious Case of Discretized Interpretation of Continuous Prompts</t>
  </si>
  <si>
    <t>iv-etal-2022-fruit</t>
  </si>
  <si>
    <t>{FRUIT}: Faithfully Reflecting Updated Information in Text</t>
  </si>
  <si>
    <t>chen-etal-2022-rationalization</t>
  </si>
  <si>
    <t>Can Rationalization Improve Robustness?</t>
  </si>
  <si>
    <t>sen-etal-2022-counterfactually</t>
  </si>
  <si>
    <t>Counterfactually Augmented Data and Unintended Bias: The Case of Sexism and Hate Speech Detection</t>
  </si>
  <si>
    <t>sun-etal-2022-semantically</t>
  </si>
  <si>
    <t>Semantically Informed Slang Interpretation</t>
  </si>
  <si>
    <t>wang-etal-2022-automatic</t>
  </si>
  <si>
    <t>Automatic Multi-Label Prompting: Simple and Interpretable Few-Shot Classification</t>
  </si>
  <si>
    <t>tang-etal-2022-confit</t>
  </si>
  <si>
    <t>{CONFIT}: Toward Faithful Dialogue Summarization with Linguistically-Informed Contrastive Fine-tuning</t>
  </si>
  <si>
    <t>khalid-lee-2022-explaining</t>
  </si>
  <si>
    <t>Explaining Dialogue Evaluation Metrics using Adversarial Behavioral Analysis</t>
  </si>
  <si>
    <t>yamada-etal-2022-annotation</t>
  </si>
  <si>
    <t>Annotation Study of {J}apanese Judgments on Tort for Legal Judgment Prediction with Rationales</t>
  </si>
  <si>
    <t>LREC</t>
  </si>
  <si>
    <t>przybyl-etal-2022-epic</t>
  </si>
  <si>
    <t>{EPIC} {U}d{S} - Creation and Applications of a Simultaneous Interpreting Corpus</t>
  </si>
  <si>
    <t>hladka-etal-2022-annotating</t>
  </si>
  <si>
    <t>Annotating Attribution in {C}zech News Server Articles</t>
  </si>
  <si>
    <t>frohberg-binder-2022-crass</t>
  </si>
  <si>
    <t>{CRASS}: A Novel Data Set and Benchmark to Test Counterfactual Reasoning of Large Language Models</t>
  </si>
  <si>
    <t>mertz-etal-2022-low</t>
  </si>
  <si>
    <t>A Low-Cost Motion Capture Corpus in {F}rench {S}ign {L}anguage for Interpreting Iconicity and Spatial Referencing Mechanisms</t>
  </si>
  <si>
    <t>mendez-guzman-etal-2022-rafola</t>
  </si>
  <si>
    <t>{R}a{F}o{L}a: A Rationale-Annotated Corpus for Detecting Indicators of Forced Labour</t>
  </si>
  <si>
    <t>bhattarai-etal-2022-convtexttm</t>
  </si>
  <si>
    <t>{C}onv{T}ext{TM}: An Explainable Convolutional Tsetlin Machine Framework for Text Classification</t>
  </si>
  <si>
    <t>cambria-etal-2022-senticnet</t>
  </si>
  <si>
    <t>{S}entic{N}et 7: A Commonsense-based Neurosymbolic {AI} Framework for Explainable Sentiment Analysis</t>
  </si>
  <si>
    <t>coeckelbergs-2022-pattern</t>
  </si>
  <si>
    <t>From Pattern to Interpretation. Using Colibri Core to Detect Translation Patterns in the Peshitta.</t>
  </si>
  <si>
    <t>prouteau-etal-2022-embedding</t>
  </si>
  <si>
    <t>Are Embedding Spaces Interpretable? Results of an Intrusion Detection Evaluation on a Large {F}rench Corpus</t>
  </si>
  <si>
    <t>luo-surdeanu-2022-step</t>
  </si>
  <si>
    <t>A {STEP} towards Interpretable Multi-Hop Reasoning:Bridge Phrase Identification and Query Expansion</t>
  </si>
  <si>
    <t>bhattarai-etal-2022-explainable</t>
  </si>
  <si>
    <t>Explainable Tsetlin Machine Framework for Fake News Detection with Credibility Score Assessment</t>
  </si>
  <si>
    <t>vishnubhotla-etal-2022-project</t>
  </si>
  <si>
    <t>The Project Dialogism Novel Corpus: A Dataset for Quotation Attribution in Literary Texts</t>
  </si>
  <si>
    <t>wang-riddell-2022-cctaa</t>
  </si>
  <si>
    <t>{CCTAA}: A Reproducible Corpus for {C}hinese Authorship Attribution Research</t>
  </si>
  <si>
    <t>lertvittayakumjorn-etal-2022-grasp</t>
  </si>
  <si>
    <t>{G}r{ASP}: A Library for Extracting and Exploring Human-Interpretable Textual Patterns</t>
  </si>
  <si>
    <t>wood-etal-2022-bayesian</t>
  </si>
  <si>
    <t>A {B}ayesian Topic Model for Human-Evaluated Interpretability</t>
  </si>
  <si>
    <t>le-etal-2022-vimqa</t>
  </si>
  <si>
    <t>{VIMQA}: A {V}ietnamese Dataset for Advanced Reasoning and Explainable Multi-hop Question Answering</t>
  </si>
  <si>
    <t>zhang-liu-2022-directquote</t>
  </si>
  <si>
    <t>{D}irect{Q}uote: A Dataset for Direct Quotation Extraction and Attribution in News Articles</t>
  </si>
  <si>
    <t>marasovic-etal-2022-shot</t>
  </si>
  <si>
    <t>Few-Shot Self-Rationalization with Natural Language Prompts</t>
  </si>
  <si>
    <t>hossain-etal-2022-question</t>
  </si>
  <si>
    <t>A Question-Answer Driven Approach to Reveal Affirmative Interpretations from Verbal Negations</t>
  </si>
  <si>
    <t>zhang-etal-2022-improving-faithfulness</t>
  </si>
  <si>
    <t>Improving the Faithfulness of Abstractive Summarization via Entity Coverage Control</t>
  </si>
  <si>
    <t>liu-etal-2022-learn</t>
  </si>
  <si>
    <t>Learn from Relation Information: Towards Prototype Representation Rectification for Few-Shot Relation Extraction</t>
  </si>
  <si>
    <t>xu-zhao-2022-jointly</t>
  </si>
  <si>
    <t>Jointly Learning Guidance Induction and Faithful Summary Generation via Conditional Variational Autoencoders</t>
  </si>
  <si>
    <t>yang-etal-2022-logicsolver</t>
  </si>
  <si>
    <t>{L}ogic{S}olver: Towards Interpretable Math Word Problem Solving with Logical Prompt-enhanced Learning</t>
  </si>
  <si>
    <t>chen-etal-2022-salient</t>
  </si>
  <si>
    <t>Salient Phrase Aware Dense Retrieval: Can a Dense Retriever Imitate a Sparse One?</t>
  </si>
  <si>
    <t>wang-etal-2022-smartave</t>
  </si>
  <si>
    <t>{SMARTAVE}: Structured Multimodal Transformer for Product Attribute Value Extraction</t>
  </si>
  <si>
    <t>liu-etal-2022-improve</t>
  </si>
  <si>
    <t>Improve Interpretability of Neural Networks via Sparse Contrastive Coding</t>
  </si>
  <si>
    <t>li-etal-2022-systematicity</t>
  </si>
  <si>
    <t>Systematicity in {GPT}-3{'}s Interpretation of Novel {E}nglish Noun Compounds</t>
  </si>
  <si>
    <t>jain-etal-2022-influence</t>
  </si>
  <si>
    <t>Influence Functions for Sequence Tagging Models</t>
  </si>
  <si>
    <t>dong-etal-2022-faithful</t>
  </si>
  <si>
    <t>Faithful to the Document or to the World? Mitigating Hallucinations via Entity-Linked Knowledge in Abstractive Summarization</t>
  </si>
  <si>
    <t>el-zini-awad-2022-beyond</t>
  </si>
  <si>
    <t>Beyond Model Interpretability: On the Faithfulness and Adversarial Robustness of Contrastive Textual Explanations</t>
  </si>
  <si>
    <t>madsen-etal-2022-evaluating</t>
  </si>
  <si>
    <t>Evaluating the Faithfulness of Importance Measures in {NLP} by Recursively Masking Allegedly Important Tokens and Retraining</t>
  </si>
  <si>
    <t>lee-goldwasser-2022-towards</t>
  </si>
  <si>
    <t>Towards Explaining Subjective Ground of Individuals on Social Media</t>
  </si>
  <si>
    <t>wen-etal-2022-autocad</t>
  </si>
  <si>
    <t>{A}uto{CAD}: Automatically Generate Counterfactuals for Mitigating Shortcut Learning</t>
  </si>
  <si>
    <t>palaskar-etal-2022-advances</t>
  </si>
  <si>
    <t>On Advances in Text Generation from Images Beyond Captioning: A Case Study in Self-Rationalization</t>
  </si>
  <si>
    <t>dixit-etal-2022-core</t>
  </si>
  <si>
    <t>{CORE}: A Retrieve-then-Edit Framework for Counterfactual Data Generation</t>
  </si>
  <si>
    <t>gunaratna-etal-2022-explainable</t>
  </si>
  <si>
    <t>Explainable Slot Type Attentions to Improve Joint Intent Detection and Slot Filling</t>
  </si>
  <si>
    <t>wu-etal-2022-frsum</t>
  </si>
  <si>
    <t>{FRSUM}: Towards Faithful Abstractive Summarization via Enhancing Factual Robustness</t>
  </si>
  <si>
    <t>adams-etal-2022-learning</t>
  </si>
  <si>
    <t>Learning to Revise References for Faithful Summarization</t>
  </si>
  <si>
    <t>geng-etal-2022-inducing</t>
  </si>
  <si>
    <t>Inducing Generalizable and Interpretable Lexica</t>
  </si>
  <si>
    <t>lamarre-etal-2022-attention</t>
  </si>
  <si>
    <t>Attention weights accurately predict language representations in the brain</t>
  </si>
  <si>
    <t>zhang-etal-2022-moba</t>
  </si>
  <si>
    <t>{MOBA}-{E}2{C}: Generating {MOBA} Game Commentaries via Capturing Highlight Events from the Meta-Data</t>
  </si>
  <si>
    <t>engler-etal-2022-sensepolar</t>
  </si>
  <si>
    <t>{S}ense{POLAR}: Word sense aware interpretability for pre-trained contextual word embeddings</t>
  </si>
  <si>
    <t>howard-etal-2022-neurocounterfactuals</t>
  </si>
  <si>
    <t>{N}euro{C}ounterfactuals: Beyond Minimal-Edit Counterfactuals for Richer Data Augmentation</t>
  </si>
  <si>
    <t>he-etal-2022-controlling</t>
  </si>
  <si>
    <t>Controlling Bias Exposure for Fair Interpretable Predictions</t>
  </si>
  <si>
    <t>sun-etal-2022-investigating</t>
  </si>
  <si>
    <t>Investigating the Benefits of Free-Form Rationales</t>
  </si>
  <si>
    <t>fang-zhang-2022-data</t>
  </si>
  <si>
    <t>Data-Efficient Concept Extraction from Pre-trained Language Models for Commonsense Explanation Generation</t>
  </si>
  <si>
    <t>qasemi-etal-2022-paco</t>
  </si>
  <si>
    <t>{P}a{C}o: Preconditions Attributed to Commonsense Knowledge</t>
  </si>
  <si>
    <t>zeng-etal-2022-contrastive</t>
  </si>
  <si>
    <t>Contrastive Learning with Prompt-derived Virtual Semantic Prototypes for Unsupervised Sentence Embedding</t>
  </si>
  <si>
    <t>cai-etal-2022-multi</t>
  </si>
  <si>
    <t>Multi-Scale Distribution Deep Variational Autoencoder for Explanation Generation</t>
  </si>
  <si>
    <t>xie-etal-2022-eider</t>
  </si>
  <si>
    <t>Eider: Empowering Document-level Relation Extraction with Efficient Evidence Extraction and Inference-stage Fusion</t>
  </si>
  <si>
    <t>mo-etal-2022-towards</t>
  </si>
  <si>
    <t>Towards Transparent Interactive Semantic Parsing via Step-by-Step Correction</t>
  </si>
  <si>
    <t>tuan-etal-2022-towards</t>
  </si>
  <si>
    <t>Towards Large-Scale Interpretable Knowledge Graph Reasoning for Dialogue Systems</t>
  </si>
  <si>
    <t>gupta-etal-2022-mitigating</t>
  </si>
  <si>
    <t>Mitigating Gender Bias in Distilled Language Models via Counterfactual Role Reversal</t>
  </si>
  <si>
    <t>su-etal-2022-read</t>
  </si>
  <si>
    <t>Read before Generate! Faithful Long Form Question Answering with Machine Reading</t>
  </si>
  <si>
    <t>li-etal-2022-using</t>
  </si>
  <si>
    <t>Using Interactive Feedback to Improve the Accuracy and Explainability of Question Answering Systems Post-Deployment</t>
  </si>
  <si>
    <t>ronnqvist-etal-2022-explaining</t>
  </si>
  <si>
    <t>Explaining Classes through Stable Word Attributions</t>
  </si>
  <si>
    <t>carton-etal-2022-learn</t>
  </si>
  <si>
    <t>What to Learn, and How: {T}oward Effective Learning from Rationales</t>
  </si>
  <si>
    <t>wang-etal-2022-novel</t>
  </si>
  <si>
    <t>A Novel Framework Based on Medical Concept Driven Attention for Explainable Medical Code Prediction via External Knowledge</t>
  </si>
  <si>
    <t>pezeshkpour-etal-2022-combining</t>
  </si>
  <si>
    <t>Combining Feature and Instance Attribution to Detect Artifacts</t>
  </si>
  <si>
    <t>wang-etal-2022-ranking</t>
  </si>
  <si>
    <t>Ranking-Constrained Learning with Rationales for Text Classification</t>
  </si>
  <si>
    <t>zhan-etal-2022-mitigating</t>
  </si>
  <si>
    <t>Mitigating the Inconsistency Between Word Saliency and Model Confidence with Pathological Contrastive Training</t>
  </si>
  <si>
    <t>liu-etal-2022-novel</t>
  </si>
  <si>
    <t>A Novel Perspective to Look At Attention: Bi-level Attention-based Explainable Topic Modeling for News Classification</t>
  </si>
  <si>
    <t>luo-etal-2022-interpretable</t>
  </si>
  <si>
    <t>Interpretable Research Replication Prediction via Variational Contextual Consistency Sentence Masking</t>
  </si>
  <si>
    <t>chen-etal-2022-e</t>
  </si>
  <si>
    <t>{E}-{KAR}: A Benchmark for Rationalizing Natural Language Analogical Reasoning</t>
  </si>
  <si>
    <t>zhang-etal-2022-interpreting</t>
  </si>
  <si>
    <t>Interpreting the Robustness of Neural {NLP} Models to Textual Perturbations</t>
  </si>
  <si>
    <t>zhang-etal-2022-focus</t>
  </si>
  <si>
    <t>Focus on the Action: Learning to Highlight and Summarize Jointly for Email To-Do Items Summarization</t>
  </si>
  <si>
    <t>fomicheva-etal-2022-translation</t>
  </si>
  <si>
    <t>Translation Error Detection as Rationale Extraction</t>
  </si>
  <si>
    <t>landsman-etal-2022-beamr</t>
  </si>
  <si>
    <t>{B}eam{R}: Beam Reweighing with Attribute Discriminators for Controllable Text Generation</t>
  </si>
  <si>
    <t>yin-neubig-2022-interpreting</t>
  </si>
  <si>
    <t>Interpreting Language Models with Contrastive Explanations</t>
  </si>
  <si>
    <t>mao-etal-2022-lightea</t>
  </si>
  <si>
    <t>{L}ight{EA}: A Scalable, Robust, and Interpretable Entity Alignment Framework via Three-view Label Propagation</t>
  </si>
  <si>
    <t>bastings-etal-2022-will</t>
  </si>
  <si>
    <t>``Will You Find These Shortcuts?'' A Protocol for Evaluating the Faithfulness of Input Salience Methods for Text Classification</t>
  </si>
  <si>
    <t>zaman-belinkov-2022-multilingual</t>
  </si>
  <si>
    <t>A Multilingual Perspective Towards the Evaluation of Attribution Methods in Natural Language Inference</t>
  </si>
  <si>
    <t>ou-etal-2022-counterfactual</t>
  </si>
  <si>
    <t>Counterfactual Data Augmentation via Perspective Transition for Open-Domain Dialogues</t>
  </si>
  <si>
    <t>tafjord-etal-2022-entailer</t>
  </si>
  <si>
    <t>Entailer: Answering Questions with Faithful and Truthful Chains of Reasoning</t>
  </si>
  <si>
    <t>he-etal-2022-cpl</t>
  </si>
  <si>
    <t>{CPL}: Counterfactual Prompt Learning for Vision and Language Models</t>
  </si>
  <si>
    <t>blevins-zettlemoyer-2022-language</t>
  </si>
  <si>
    <t>Language Contamination Helps Explains the Cross-lingual Capabilities of {E}nglish Pretrained Models</t>
  </si>
  <si>
    <t>mcinerney-etal-2022-thats</t>
  </si>
  <si>
    <t>That{'}s the Wrong Lung! Evaluating and Improving the Interpretability of Unsupervised Multimodal Encoders for Medical Data</t>
  </si>
  <si>
    <t>stacey-etal-2022-logical</t>
  </si>
  <si>
    <t>Logical Reasoning with Span-Level Predictions for Interpretable and Robust {NLI} Models</t>
  </si>
  <si>
    <t>currey-etal-2022-mt</t>
  </si>
  <si>
    <t>{MT}-{G}en{E}val: A Counterfactual and Contextual Dataset for Evaluating Gender Accuracy in Machine Translation</t>
  </si>
  <si>
    <t>wu-etal-2022-towards</t>
  </si>
  <si>
    <t>Towards Interactivity and Interpretability: A Rationale-based Legal Judgment Prediction Framework</t>
  </si>
  <si>
    <t>wang-etal-2022-analyzing</t>
  </si>
  <si>
    <t>Analyzing and Evaluating Faithfulness in Dialogue Summarization</t>
  </si>
  <si>
    <t>mao-etal-2022-explainable</t>
  </si>
  <si>
    <t>Explainable Question Answering based on Semantic Graph by Global Differentiable Learning and Dynamic Adaptive Reasoning</t>
  </si>
  <si>
    <t>lin-etal-2022-seen</t>
  </si>
  <si>
    <t>{SEEN}: Structured Event Enhancement Network for Explainable Need Detection of Information Recall Assistance</t>
  </si>
  <si>
    <t>cho-etal-2022-rethinking</t>
  </si>
  <si>
    <t>Rethinking Style Transformer with Energy-based Interpretation: Adversarial Unsupervised Style Transfer using a Pretrained Model</t>
  </si>
  <si>
    <t>liu-etal-2022-investigating</t>
  </si>
  <si>
    <t>Investigating the Robustness of Natural Language Generation from Logical Forms via Counterfactual Samples</t>
  </si>
  <si>
    <t>hossain-blanco-2022-leveraging</t>
  </si>
  <si>
    <t>Leveraging Affirmative Interpretations from Negation Improves Natural Language Understanding</t>
  </si>
  <si>
    <t>gangi-reddy-etal-2022-newsclaims</t>
  </si>
  <si>
    <t>{N}ews{C}laims: A New Benchmark for Claim Detection from News with Attribute Knowledge</t>
  </si>
  <si>
    <t>huang-etal-2022-deer</t>
  </si>
  <si>
    <t>{DEER}: Descriptive Knowledge Graph for Explaining Entity Relationships</t>
  </si>
  <si>
    <t>wu-etal-2022-precisely</t>
  </si>
  <si>
    <t>Precisely the Point: Adversarial Augmentations for Faithful and Informative Text Generation</t>
  </si>
  <si>
    <t>liu-etal-2022-rlet</t>
  </si>
  <si>
    <t>{RLET}: A Reinforcement Learning Based Approach for Explainable {QA} with Entailment Trees</t>
  </si>
  <si>
    <t>chemmengath-etal-2022-cat</t>
  </si>
  <si>
    <t>Let the {CAT} out of the bag: Contrastive Attributed explanations for Text</t>
  </si>
  <si>
    <t>liu-etal-2022-counterfactual</t>
  </si>
  <si>
    <t>Counterfactual Recipe Generation: Exploring Compositional Generalization in a Realistic Scenario</t>
  </si>
  <si>
    <t>ross-etal-2022-self</t>
  </si>
  <si>
    <t>Does Self-Rationalization Improve Robustness to Spurious Correlations?</t>
  </si>
  <si>
    <t>haghighatkhah-etal-2022-better</t>
  </si>
  <si>
    <t>Better Hit the Nail on the Head than Beat around the Bush: Removing Protected Attributes with a Single Projection</t>
  </si>
  <si>
    <t>ferrando-etal-2022-towards</t>
  </si>
  <si>
    <t>Towards Opening the Black Box of Neural Machine Translation: Source and Target Interpretations of the Transformer</t>
  </si>
  <si>
    <t>jain-etal-2022-extending</t>
  </si>
  <si>
    <t>Extending Logic Explained Networks to Text Classification</t>
  </si>
  <si>
    <t>patel-etal-2022-cripp</t>
  </si>
  <si>
    <t>{CRIPP}-{VQA}: Counterfactual Reasoning about Implicit Physical Properties via Video Question Answering</t>
  </si>
  <si>
    <t>zhang-etal-2022-symptom</t>
  </si>
  <si>
    <t>Symptom Identification for Interpretable Detection of Multiple Mental Disorders on Social Media</t>
  </si>
  <si>
    <t>zhao-etal-2022-towards</t>
  </si>
  <si>
    <t>Towards Efficient Dialogue Pre-training with Transferable and Interpretable Latent Structure</t>
  </si>
  <si>
    <t>li-etal-2022-human</t>
  </si>
  <si>
    <t>Human Guided Exploitation of Interpretable Attention Patterns in Summarization and Topic Segmentation</t>
  </si>
  <si>
    <t>kolluru-etal-2022-covid</t>
  </si>
  <si>
    <t>``Covid vaccine is against Covid but {O}xford vaccine is made at {O}xford!'' Semantic Interpretation of Proper Noun Compounds</t>
  </si>
  <si>
    <t>aglionby-teufel-2022-faithful</t>
  </si>
  <si>
    <t>Faithful Knowledge Graph Explanations in Commonsense Question Answering</t>
  </si>
  <si>
    <t>jiang-etal-2022-im2</t>
  </si>
  <si>
    <t>{IM}2: an Interpretable and Multi-category Integrated Metric Framework for Automatic Dialogue Evaluation</t>
  </si>
  <si>
    <t>udomcharoenchaikit-etal-2022-mitigating</t>
  </si>
  <si>
    <t>Mitigating Spurious Correlation in Natural Language Understanding with Counterfactual Inference</t>
  </si>
  <si>
    <t>de-raedt-etal-2022-robustifying</t>
  </si>
  <si>
    <t>Robustifying Sentiment Classification by Maximally Exploiting Few Counterfactuals</t>
  </si>
  <si>
    <t>wang-etal-2022-improving</t>
  </si>
  <si>
    <t>Improving Faithfulness by Augmenting Negative Summaries from Fake Documents</t>
  </si>
  <si>
    <t>han-etal-2022-hierarchical</t>
  </si>
  <si>
    <t>Hierarchical Attention Network for Explainable Depression Detection on {T}witter Aided by Metaphor Concept Mappings</t>
  </si>
  <si>
    <t>wachsmuth-alshomary-2022-mama</t>
  </si>
  <si>
    <t>``Mama Always Had a Way of Explaining Things So {I} Could Understand'': A Dialogue Corpus for Learning to Construct Explanations</t>
  </si>
  <si>
    <t>bashier-etal-2022-locally</t>
  </si>
  <si>
    <t>Locally Distributed Activation Vectors for Guided Feature Attribution</t>
  </si>
  <si>
    <t>ge-etal-2022-e</t>
  </si>
  <si>
    <t>{E}-{V}ar{M}: Enhanced Variational Word Masks to Improve the Interpretability of Text Classification Models</t>
  </si>
  <si>
    <t>amplayo-etal-2022-attribute</t>
  </si>
  <si>
    <t>Attribute Injection for Pretrained Language Models: A New Benchmark and an Efficient Method</t>
  </si>
  <si>
    <t>park-lee-2022-lime</t>
  </si>
  <si>
    <t>{LIME}: Weakly-Supervised Text Classification without Seeds</t>
  </si>
  <si>
    <t>alghanmi-etal-2022-self</t>
  </si>
  <si>
    <t>Self-Supervised Intermediate Fine-Tuning of Biomedical Language Models for Interpreting Patient Case Descriptions</t>
  </si>
  <si>
    <t>wang-etal-2022-locate</t>
  </si>
  <si>
    <t>Locate Then Ask: Interpretable Stepwise Reasoning for Multi-hop Question Answering</t>
  </si>
  <si>
    <t>ji-etal-2022-shot</t>
  </si>
  <si>
    <t>Few-shot Named Entity Recognition with Entity-level Prototypical Network Enhanced by Dispersedly Distributed Prototypes</t>
  </si>
  <si>
    <t>yu-etal-2022-dependency</t>
  </si>
  <si>
    <t>Dependency-aware Prototype Learning for Few-shot Relation Classification</t>
  </si>
  <si>
    <t>yang-etal-2022-coarse</t>
  </si>
  <si>
    <t>A Coarse-to-fine Cascaded Evidence-Distillation Neural Network for Explainable Fake News Detection</t>
  </si>
  <si>
    <t>igamberdiev-etal-2022-dp</t>
  </si>
  <si>
    <t>{DP}-Rewrite: Towards Reproducibility and Transparency in Differentially Private Text Rewriting</t>
  </si>
  <si>
    <t>lymperaiou-etal-2022-towards</t>
  </si>
  <si>
    <t>Towards Explainable Evaluation of Language Models on the Semantic Similarity of Visual Concepts</t>
  </si>
  <si>
    <t>poelman-etal-2022-transparent</t>
  </si>
  <si>
    <t>Transparent Semantic Parsing with {U}niversal {D}ependencies Using Graph Transformations</t>
  </si>
  <si>
    <t>mosca-etal-2022-shap</t>
  </si>
  <si>
    <t>{SHAP}-Based Explanation Methods: A Review for {NLP} Interpretability</t>
  </si>
  <si>
    <t>wachowiak-gromann-2022-systematic</t>
  </si>
  <si>
    <t>Systematic Analysis of Image Schemas in Natural Language through Explainable Multilingual Neural Language Processing</t>
  </si>
  <si>
    <t>li-etal-2022-tip</t>
  </si>
  <si>
    <t>A-{TIP}: Attribute-aware Text Infilling via Pre-trained Language Model</t>
  </si>
  <si>
    <t>liu-etal-2022-multi-attribute</t>
  </si>
  <si>
    <t>Multi-Attribute Controlled Text Generation with Contrastive-Generator and External-Discriminator</t>
  </si>
  <si>
    <t>aich-etal-2022-demystifying</t>
  </si>
  <si>
    <t>Demystifying Neural Fake News via Linguistic Feature-Based Interpretation</t>
  </si>
  <si>
    <t>kim-etal-2022-hate</t>
  </si>
  <si>
    <t>Why Is It Hate Speech? Masked Rationale Prediction for Explainable Hate Speech Detection</t>
  </si>
  <si>
    <t>zhang-etal-2022-sentiment</t>
  </si>
  <si>
    <t>Sentiment Interpretable Logic Tensor Network for Aspect-Term Sentiment Analysis</t>
  </si>
  <si>
    <t>yan-etal-2022-hierarchical</t>
  </si>
  <si>
    <t>Hierarchical Interpretation of Neural Text Classification</t>
  </si>
  <si>
    <t>chrysostomou-2022-explainable</t>
  </si>
  <si>
    <t>Explainable Natural Language Processing</t>
  </si>
  <si>
    <t>zhang-ma-2022-dual</t>
  </si>
  <si>
    <t>Dual Attention Model for Citation Recommendation with Analyses on Explainability of Attention Mechanisms and Qualitative Experiments</t>
  </si>
  <si>
    <t>paperno-2022-learning</t>
  </si>
  <si>
    <t>On Learning Interpreted Languages with Recurrent Models</t>
  </si>
  <si>
    <t>shen-etal-2022-shortest</t>
  </si>
  <si>
    <t>Are Shortest Rationales the Best Explanations for Human Understanding?</t>
  </si>
  <si>
    <t>tolkachev-etal-2022-counterfactual</t>
  </si>
  <si>
    <t>Counterfactual Explanations for Natural Language Interfaces</t>
  </si>
  <si>
    <t>shinzato-etal-2022-simple</t>
  </si>
  <si>
    <t>Simple and Effective Knowledge-Driven Query Expansion for {QA}-Based Product Attribute Extraction</t>
  </si>
  <si>
    <t>li-etal-2022-learning</t>
  </si>
  <si>
    <t>Learning to Imagine: Integrating Counterfactual Thinking in Neural Discrete Reasoning</t>
  </si>
  <si>
    <t>geng-etal-2022-improving</t>
  </si>
  <si>
    <t>Improving Personalized Explanation Generation through Visualization</t>
  </si>
  <si>
    <t>du-etal-2022-e</t>
  </si>
  <si>
    <t>e-{CARE}: a New Dataset for Exploring Explainable Causal Reasoning</t>
  </si>
  <si>
    <t>sanyal-etal-2022-fairr</t>
  </si>
  <si>
    <t>{F}ai{RR}: Faithful and Robust Deductive Reasoning over Natural Language</t>
  </si>
  <si>
    <t>ladhak-etal-2022-faithful</t>
  </si>
  <si>
    <t>Faithful or Extractive? On Mitigating the Faithfulness-Abstractiveness Trade-off in Abstractive Summarization</t>
  </si>
  <si>
    <t>paranjape-etal-2022-retrieval</t>
  </si>
  <si>
    <t>Retrieval-guided Counterfactual Generation for {QA}</t>
  </si>
  <si>
    <t>yin-etal-2022-sensitivity</t>
  </si>
  <si>
    <t>On the Sensitivity and Stability of Model Interpretations in {NLP}</t>
  </si>
  <si>
    <t>das-etal-2022-prototex</t>
  </si>
  <si>
    <t>{P}roto{TE}x: Explaining Model Decisions with Prototype Tensors</t>
  </si>
  <si>
    <t>majumder-etal-2022-achieving</t>
  </si>
  <si>
    <t>Achieving Conversational Goals with Unsupervised Post-hoc Knowledge Injection</t>
  </si>
  <si>
    <t>gupta-etal-2022-right</t>
  </si>
  <si>
    <t>Right for the Right Reason: Evidence Extraction for Trustworthy Tabular Reasoning</t>
  </si>
  <si>
    <t>joshi-he-2022-investigation</t>
  </si>
  <si>
    <t>An Investigation of the (In)effectiveness of Counterfactually Augmented Data</t>
  </si>
  <si>
    <t>liu-etal-2022-saliency</t>
  </si>
  <si>
    <t>Saliency as Evidence: Event Detection with Trigger Saliency Attribution</t>
  </si>
  <si>
    <t>yang-etal-2022-interpretable</t>
  </si>
  <si>
    <t>An Interpretable Neuro-Symbolic Reasoning Framework for Task-Oriented Dialogue Generation</t>
  </si>
  <si>
    <t>chan-etal-2022-comparative</t>
  </si>
  <si>
    <t>A Comparative Study of Faithfulness Metrics for Model Interpretability Methods</t>
  </si>
  <si>
    <t>park-caragea-2022-calibration</t>
  </si>
  <si>
    <t>On the Calibration of Pre-trained Language Models using Mixup Guided by Area Under the Margin and Saliency</t>
  </si>
  <si>
    <t>cuesta-lazaro-etal-2022-sea</t>
  </si>
  <si>
    <t>What does the sea say to the shore? A {BERT} based {DST} style approach for speaker to dialogue attribution in novels</t>
  </si>
  <si>
    <t>ju-etal-2022-logic</t>
  </si>
  <si>
    <t>Logic Traps in Evaluating Attribution Scores</t>
  </si>
  <si>
    <t>lee-etal-2022-toward</t>
  </si>
  <si>
    <t>Toward Interpretable Semantic Textual Similarity via Optimal Transport-based Contrastive Sentence Learning</t>
  </si>
  <si>
    <t>boldsen-etal-2022-interpreting</t>
  </si>
  <si>
    <t>Interpreting Character Embeddings With Perceptual Representations: The Case of Shape, Sound, and Color</t>
  </si>
  <si>
    <t>lu-etal-2022-rationale</t>
  </si>
  <si>
    <t>A Rationale-Centric Framework for Human-in-the-loop Machine Learning</t>
  </si>
  <si>
    <t>liu-etal-2022-mpii</t>
  </si>
  <si>
    <t>{MPII}: Multi-Level Mutual Promotion for Inference and Interpretation</t>
  </si>
  <si>
    <t>kaneko-etal-2022-interpretability</t>
  </si>
  <si>
    <t>Interpretability for Language Learners Using Example-Based Grammatical Error Correction</t>
  </si>
  <si>
    <t>zhai-etal-2022-adversarial</t>
  </si>
  <si>
    <t>Adversarial Authorship Attribution for Deobfuscation</t>
  </si>
  <si>
    <t>calderon-etal-2022-docogen</t>
  </si>
  <si>
    <t>{D}o{C}o{G}en: {D}omain Counterfactual Generation for Low Resource Domain Adaptation</t>
  </si>
  <si>
    <t>mosca-etal-2022-suspicious</t>
  </si>
  <si>
    <t>``That Is a Suspicious Reaction!'': Interpreting Logits Variation to Detect {NLP} Adversarial Attacks</t>
  </si>
  <si>
    <t>pham-etal-2022-double</t>
  </si>
  <si>
    <t>Double Trouble: How to not Explain a Text Classifier{'}s Decisions Using Counterfactuals Synthesized by Masked Language Models?</t>
  </si>
  <si>
    <t>van-aken-etal-2022-patient</t>
  </si>
  <si>
    <t>This Patient Looks Like That Patient: Prototypical Networks for Interpretable Diagnosis Prediction from Clinical Text</t>
  </si>
  <si>
    <t>hudecek-dusek-2022-learning</t>
  </si>
  <si>
    <t>Learning Interpretable Latent Dialogue Actions With Less Supervision</t>
  </si>
  <si>
    <t>opitz-frank-2022-sbert</t>
  </si>
  <si>
    <t>{SBERT} studies Meaning Representations: Decomposing Sentence Embeddings into Explainable Semantic Features</t>
  </si>
  <si>
    <t>ai-etal-2022-whodunit</t>
  </si>
  <si>
    <t>Whodunit? Learning to Contrast for Authorship Attribution</t>
  </si>
  <si>
    <t>elazar-etal-2021-amnesic</t>
  </si>
  <si>
    <t>Amnesic Probing: Behavioral Explanation with Amnesic Counterfactuals</t>
  </si>
  <si>
    <t>jacovi-goldberg-2021-aligning</t>
  </si>
  <si>
    <t>Aligning Faithful Interpretations with their Social Attribution</t>
  </si>
  <si>
    <t>lyu-etal-2021-neural</t>
  </si>
  <si>
    <t>Neural {OCR} Post-Hoc Correction of Historical Corpora</t>
  </si>
  <si>
    <t>lamm-etal-2021-qed</t>
  </si>
  <si>
    <t>{QED}: A Framework and Dataset for Explanations in Question Answering</t>
  </si>
  <si>
    <t>liu-etal-2021-counterfactual</t>
  </si>
  <si>
    <t>Counterfactual Data Augmentation for Neural Machine Translation</t>
  </si>
  <si>
    <t>chalkidis-etal-2021-paragraph</t>
  </si>
  <si>
    <t>Paragraph-level Rationale Extraction through Regularization: A case study on {E}uropean Court of Human Rights Cases</t>
  </si>
  <si>
    <t>du-etal-2021-towards</t>
  </si>
  <si>
    <t>Towards Interpreting and Mitigating Shortcut Learning Behavior of {NLU} models</t>
  </si>
  <si>
    <t>pezeshkpour-etal-2021-empirical</t>
  </si>
  <si>
    <t>An Empirical Comparison of Instance Attribution Methods for {NLP}</t>
  </si>
  <si>
    <t>liang-etal-2021-explainable</t>
  </si>
  <si>
    <t>Explainable Multi-hop Verbal Reasoning Through Internal Monologue</t>
  </si>
  <si>
    <t>porada-etal-2021-modeling</t>
  </si>
  <si>
    <t>Modeling Event Plausibility with Consistent Conceptual Abstraction</t>
  </si>
  <si>
    <t>wu-etal-2021-counterfactual</t>
  </si>
  <si>
    <t>Counterfactual Supporting Facts Extraction for Explainable Medical Record Based Diagnosis with Graph Network</t>
  </si>
  <si>
    <t>khanehzar-etal-2021-framing</t>
  </si>
  <si>
    <t>Framing Unpacked: A Semi-Supervised Interpretable Multi-View Model of Media Frames</t>
  </si>
  <si>
    <t>patel-etal-2021-game</t>
  </si>
  <si>
    <t>Game-theoretic Vocabulary Selection via the Shapley Value and Banzhaf Index</t>
  </si>
  <si>
    <t>turcan-etal-2021-emotion</t>
  </si>
  <si>
    <t>Emotion-Infused Models for Explainable Psychological Stress Detection</t>
  </si>
  <si>
    <t>zhu-etal-2021-faithfully</t>
  </si>
  <si>
    <t>Faithfully Explainable Recommendation via Neural Logic Reasoning</t>
  </si>
  <si>
    <t>chen-li-2021-zs</t>
  </si>
  <si>
    <t>{ZS}-{BERT}: Towards Zero-Shot Relation Extraction with Attribute Representation Learning</t>
  </si>
  <si>
    <t>saha-etal-2021-multiprover</t>
  </si>
  <si>
    <t>multi{PR}over: Generating Multiple Proofs for Improved Interpretability in Rule Reasoning</t>
  </si>
  <si>
    <t>verga-etal-2021-adaptable</t>
  </si>
  <si>
    <t>Adaptable and Interpretable Neural {M}emory{O}ver Symbolic Knowledge</t>
  </si>
  <si>
    <t>doogan-buntine-2021-topic</t>
  </si>
  <si>
    <t>Topic Model or Topic Twaddle? Re-evaluating Semantic Interpretability Measures</t>
  </si>
  <si>
    <t>zhang-etal-2021-double</t>
  </si>
  <si>
    <t>Double Perturbation: On the Robustness of Robustness and Counterfactual Bias Evaluation</t>
  </si>
  <si>
    <t>chen-etal-2021-explaining</t>
  </si>
  <si>
    <t>Explaining Neural Network Predictions on Sentence Pairs via Learning Word-Group Masks</t>
  </si>
  <si>
    <t>montariol-etal-2021-scalable</t>
  </si>
  <si>
    <t>Scalable and Interpretable Semantic Change Detection</t>
  </si>
  <si>
    <t>ding-koehn-2021-evaluating</t>
  </si>
  <si>
    <t>Evaluating Saliency Methods for Neural Language Models</t>
  </si>
  <si>
    <t>chen-etal-2021-improving</t>
  </si>
  <si>
    <t>Improving Faithfulness in Abstractive Summarization with Contrast Candidate Generation and Selection</t>
  </si>
  <si>
    <t>mehta-etal-2021-latex</t>
  </si>
  <si>
    <t>{LATEX}-Numeric: Language Agnostic Text Attribute Extraction for Numeric Attributes</t>
  </si>
  <si>
    <t>samarinas-etal-2021-improving</t>
  </si>
  <si>
    <t>Improving Evidence Retrieval for Automated Explainable Fact-Checking</t>
  </si>
  <si>
    <t>kokalj-etal-2021-bert</t>
  </si>
  <si>
    <t>{BERT} meets Shapley: Extending {SHAP} Explanations to Transformer-based Classifiers</t>
  </si>
  <si>
    <t>xie-etal-2021-factual-consistency</t>
  </si>
  <si>
    <t>Factual Consistency Evaluation for Text Summarization via Counterfactual Estimation</t>
  </si>
  <si>
    <t>fu-etal-2021-decomposing-complex</t>
  </si>
  <si>
    <t>Decomposing Complex Questions Makes Multi-Hop {QA} Easier and More Interpretable</t>
  </si>
  <si>
    <t>ferrando-costa-jussa-2021-attention-weights</t>
  </si>
  <si>
    <t>Attention Weights in Transformer {NMT} Fail Aligning Words Between Sequences but Largely Explain Model Predictions</t>
  </si>
  <si>
    <t>lai-etal-2021-saliency-based</t>
  </si>
  <si>
    <t>Saliency-based Multi-View Mixed Language Training for Zero-shot Cross-lingual Classification</t>
  </si>
  <si>
    <t>su-etal-2021-shot-table</t>
  </si>
  <si>
    <t>Few-Shot Table-to-Text Generation with Prototype Memory</t>
  </si>
  <si>
    <t>tian-etal-2021-hypogen-hyperbole</t>
  </si>
  <si>
    <t>{H}ypo{G}en: Hyperbole Generation with Commonsense and Counterfactual Knowledge</t>
  </si>
  <si>
    <t>yu-etal-2021-attribute-alignment</t>
  </si>
  <si>
    <t>Attribute Alignment: Controlling Text Generation from Pre-trained Language Models</t>
  </si>
  <si>
    <t>beloucif-biemann-2021-probing-pre</t>
  </si>
  <si>
    <t>Probing Pre-trained Language Models for Semantic Attributes and their Values</t>
  </si>
  <si>
    <t>mishra-etal-2021-modeling-users</t>
  </si>
  <si>
    <t>Modeling Users and Online Communities for Abuse Detection: A Position on Ethics and Explainability</t>
  </si>
  <si>
    <t>jin-etal-2021-msd-saliency</t>
  </si>
  <si>
    <t>{MSD}: Saliency-aware Knowledge Distillation for Multimodal Understanding</t>
  </si>
  <si>
    <t>robeer-etal-2021-generating-realistic</t>
  </si>
  <si>
    <t>Generating Realistic Natural Language Counterfactuals</t>
  </si>
  <si>
    <t>zhao-etal-2021-attend-memorize</t>
  </si>
  <si>
    <t>Attend, Memorize and Generate: Towards Faithful Table-to-Text Generation in Few Shots</t>
  </si>
  <si>
    <t>zhang-etal-2021-noahqa-numerical</t>
  </si>
  <si>
    <t>{NOAHQA}: Numerical Reasoning with Interpretable Graph Question Answering Dataset</t>
  </si>
  <si>
    <t>altakrori-etal-2021-topic-confusion</t>
  </si>
  <si>
    <t>The Topic Confusion Task: A Novel Evaluation Scenario for Authorship Attribution</t>
  </si>
  <si>
    <t>lee-etal-2021-micromodels-efficient</t>
  </si>
  <si>
    <t>Micromodels for Efficient, Explainable, and Reusable Systems: A Case Study on Mental Health</t>
  </si>
  <si>
    <t>han-tsvetkov-2021-influence-tuning</t>
  </si>
  <si>
    <t>Influence Tuning: Demoting Spurious Correlations via Instance Attribution and Instance-Driven Updates</t>
  </si>
  <si>
    <t>wang-etal-2021-counterfactual-adversarial</t>
  </si>
  <si>
    <t>Counterfactual Adversarial Learning with Representation Interpolation</t>
  </si>
  <si>
    <t>thayaparan-etal-2021-explainable</t>
  </si>
  <si>
    <t>Explainable Inference Over Grounding-Abstract Chains for Science Questions</t>
  </si>
  <si>
    <t>zhang-etal-2021-improving</t>
  </si>
  <si>
    <t>From What to Why: Improving Relation Extraction with Rationale Graph</t>
  </si>
  <si>
    <t>ren-etal-2021-prediction</t>
  </si>
  <si>
    <t>Prediction or Comparison: Toward Interpretable Qualitative Reasoning</t>
  </si>
  <si>
    <t>li-etal-2021-meet</t>
  </si>
  <si>
    <t>Meet The Truth: Leverage Objective Facts and Subjective Views for Interpretable Rumor Detection</t>
  </si>
  <si>
    <t>antognini-faltings-2021-rationalization</t>
  </si>
  <si>
    <t>Rationalization through Concepts</t>
  </si>
  <si>
    <t>tucker-etal-2021-modified</t>
  </si>
  <si>
    <t>What if This Modified That? Syntactic Interventions with Counterfactual Embeddings</t>
  </si>
  <si>
    <t>xu-etal-2021-dynamic</t>
  </si>
  <si>
    <t>Dynamic Semantic Graph Construction and Reasoning for Explainable Multi-hop Science Question Answering</t>
  </si>
  <si>
    <t>tan-etal-2021-gcrc</t>
  </si>
  <si>
    <t>{GCRC}: A New Challenging {MRC} Dataset from {G}aokao {C}hinese for Explainable Evaluation</t>
  </si>
  <si>
    <t>wan-etal-2021-enhancing</t>
  </si>
  <si>
    <t>Enhancing Metaphor Detection by Gloss-based Interpretations</t>
  </si>
  <si>
    <t>feng-etal-2021-empowering</t>
  </si>
  <si>
    <t>Empowering Language Understanding with Counterfactual Reasoning</t>
  </si>
  <si>
    <t>zhang-etal-2021-ma</t>
  </si>
  <si>
    <t>{MA}-{BERT}: Learning Representation by Incorporating Multi-Attribute Knowledge in Transformers</t>
  </si>
  <si>
    <t>ponkiya-etal-2021-framenet</t>
  </si>
  <si>
    <t>{F}rame{N}et-assisted Noun Compound Interpretation</t>
  </si>
  <si>
    <t>yoon-etal-2021-ssmix</t>
  </si>
  <si>
    <t>{SSM}ix: Saliency-Based Span Mixup for Text Classification</t>
  </si>
  <si>
    <t>garcia-olano-etal-2021-biomedical</t>
  </si>
  <si>
    <t>Biomedical Interpretable Entity Representations</t>
  </si>
  <si>
    <t>zafar-etal-2021-lack</t>
  </si>
  <si>
    <t>On the Lack of Robust Interpretability of Neural Text Classifiers</t>
  </si>
  <si>
    <t>ross-etal-2021-explaining</t>
  </si>
  <si>
    <t>Explaining {NLP} Models via Minimal Contrastive Editing ({M}i{CE})</t>
  </si>
  <si>
    <t>sun-marasovic-2021-effective</t>
  </si>
  <si>
    <t>Effective Attention Sheds Light On Interpretability</t>
  </si>
  <si>
    <t>paranjape-etal-2021-prompting</t>
  </si>
  <si>
    <t>Prompting Contrastive Explanations for Commonsense Reasoning Tasks</t>
  </si>
  <si>
    <t>dawkins-2021-marked</t>
  </si>
  <si>
    <t>Marked Attribute Bias in Natural Language Inference</t>
  </si>
  <si>
    <t>wang-etal-2021-sketch</t>
  </si>
  <si>
    <t>Sketch and Refine: Towards Faithful and Informative Table-to-Text Generation</t>
  </si>
  <si>
    <t>liu-etal-2021-highlight</t>
  </si>
  <si>
    <t>Highlight-Transformer: Leveraging Key Phrase Aware Attention to Improve Abstractive Multi-Document Summarization</t>
  </si>
  <si>
    <t>srikanth-li-2021-elaborative</t>
  </si>
  <si>
    <t>Elaborative Simplification: Content Addition and Explanation Generation in Text Simplification</t>
  </si>
  <si>
    <t>chen-etal-2021-reinforced</t>
  </si>
  <si>
    <t>Reinforced Counterfactual Data Augmentation for Dual Sentiment Classification</t>
  </si>
  <si>
    <t>sen-etal-2021-counterfactually</t>
  </si>
  <si>
    <t>How Does Counterfactually Augmented Data Impact Models for Social Computing Constructs?</t>
  </si>
  <si>
    <t>rajagopal-etal-2021-selfexplain</t>
  </si>
  <si>
    <t>{SELFEXPLAIN}: A Self-Explaining Architecture for Neural Text Classifiers</t>
  </si>
  <si>
    <t>falke-lehnen-2021-feedback</t>
  </si>
  <si>
    <t>Feedback Attribution for Counterfactual Bandit Learning in Multi-Domain Spoken Language Understanding</t>
  </si>
  <si>
    <t>jacovi-etal-2021-contrastive</t>
  </si>
  <si>
    <t>Contrastive Explanations for Model Interpretability</t>
  </si>
  <si>
    <t>bursztyn-etal-2021-doesnt</t>
  </si>
  <si>
    <t>``It doesn{'}t look good for a date'': Transforming Critiques into Preferences for Conversational Recommendation Systems</t>
  </si>
  <si>
    <t>saxon-etal-2021-modeling</t>
  </si>
  <si>
    <t>Modeling Disclosive Transparency in {NLP} Application Descriptions</t>
  </si>
  <si>
    <t>situ-etal-2021-lifelong</t>
  </si>
  <si>
    <t>Lifelong Explainer for Lifelong Learners</t>
  </si>
  <si>
    <t>zhang-etal-2021-abstract</t>
  </si>
  <si>
    <t>Abstract, Rationale, Stance: A Joint Model for Scientific Claim Verification</t>
  </si>
  <si>
    <t>ju-etal-2021-enhancing</t>
  </si>
  <si>
    <t>Enhancing Multiple-choice Machine Reading Comprehension by Punishing Illogical Interpretations</t>
  </si>
  <si>
    <t>shi-etal-2021-neural</t>
  </si>
  <si>
    <t>Neural Natural Logic Inference for Interpretable Question Answering</t>
  </si>
  <si>
    <t>lakhotia-etal-2021-fid</t>
  </si>
  <si>
    <t>{F}i{D}-Ex: Improving Sequence-to-Sequence Models for Extractive Rationale Generation</t>
  </si>
  <si>
    <t>shi-etal-2021-transfernet</t>
  </si>
  <si>
    <t>{T}ransfer{N}et: An Effective and Transparent Framework for Multi-hop Question Answering over Relation Graph</t>
  </si>
  <si>
    <t>balashankar-etal-2021-improve</t>
  </si>
  <si>
    <t>Can We Improve Model Robustness through Secondary Attribute Counterfactuals?</t>
  </si>
  <si>
    <t>lai-etal-2021-learning</t>
  </si>
  <si>
    <t>Learning Prototype Representations Across Few-Shot Tasks for Event Detection</t>
  </si>
  <si>
    <t>ye-etal-2021-connecting</t>
  </si>
  <si>
    <t>Connecting Attributions and {QA} Model Behavior on Realistic Counterfactuals</t>
  </si>
  <si>
    <t>jayaram-allaway-2021-human</t>
  </si>
  <si>
    <t>Human Rationales as Attribution Priors for Explainable Stance Detection</t>
  </si>
  <si>
    <t>fern-pope-2021-text</t>
  </si>
  <si>
    <t>Text Counterfactuals via Latent Optimization and {S}hapley-Guided Search</t>
  </si>
  <si>
    <t>guerreiro-martins-2021-spectra</t>
  </si>
  <si>
    <t>{SPECTRA}: Sparse Structured Text Rationalization</t>
  </si>
  <si>
    <t>cao-wang-2021-cliff</t>
  </si>
  <si>
    <t>{CLIFF}: Contrastive Learning for Improving Faithfulness and Factuality in Abstractive Summarization</t>
  </si>
  <si>
    <t>schioppa-etal-2021-controlling</t>
  </si>
  <si>
    <t>Controlling Machine Translation for Multiple Attributes with Additive Interventions</t>
  </si>
  <si>
    <t>zhao-etal-2021-good</t>
  </si>
  <si>
    <t>It Is Not As Good As You Think! Evaluating Simultaneous Machine Translation on Interpretation Data</t>
  </si>
  <si>
    <t>oneill-etal-2021-wish</t>
  </si>
  <si>
    <t>{I} Wish {I} Would Have Loved This One, But {I} Didn{'}t {--} A Multilingual Dataset for Counterfactual Detection in Product Review</t>
  </si>
  <si>
    <t>dalvi-etal-2021-explaining</t>
  </si>
  <si>
    <t>Explaining Answers with Entailment Trees</t>
  </si>
  <si>
    <t>chrysostomou-aletras-2021-enjoy</t>
  </si>
  <si>
    <t>Enjoy the Salience: Towards Better Transformer-based Faithful Explanations with Word Salience</t>
  </si>
  <si>
    <t>bhardwaj-etal-2021-adversarial</t>
  </si>
  <si>
    <t>Adversarial Attacks on Knowledge Graph Embeddings via Instance Attribution Methods</t>
  </si>
  <si>
    <t>lv-etal-2021-multi</t>
  </si>
  <si>
    <t>Is Multi-Hop Reasoning Really Explainable? Towards Benchmarking Reasoning Interpretability</t>
  </si>
  <si>
    <t>kaster-etal-2021-global</t>
  </si>
  <si>
    <t>Global Explainability of {BERT}-Based Evaluation Metrics by Disentangling along Linguistic Factors</t>
  </si>
  <si>
    <t>wiegreffe-etal-2021-measuring</t>
  </si>
  <si>
    <t>{M}easuring Association Between Labels and Free-Text Rationales</t>
  </si>
  <si>
    <t>sanyal-ren-2021-discretized</t>
  </si>
  <si>
    <t>Discretized Integrated Gradients for Explaining Language Models</t>
  </si>
  <si>
    <t>vafa-etal-2021-rationales</t>
  </si>
  <si>
    <t>Rationales for Sequential Predictions</t>
  </si>
  <si>
    <t>guo-etal-2021-fastif</t>
  </si>
  <si>
    <t>{F}ast{IF}: Scalable Influence Functions for Efficient Model Interpretation and Debugging</t>
  </si>
  <si>
    <t>bhat-etal-2021-self</t>
  </si>
  <si>
    <t>Self-training with Few-shot Rationalization</t>
  </si>
  <si>
    <t>wang-etal-2021-mode</t>
  </si>
  <si>
    <t>Mode Effects' Challenge to Authorship Attribution</t>
  </si>
  <si>
    <t>opitz-frank-2021-towards</t>
  </si>
  <si>
    <t>Towards a Decomposable Metric for Explainable Evaluation of Text Generation from {AMR}</t>
  </si>
  <si>
    <t>munir-etal-2021-looking</t>
  </si>
  <si>
    <t>Through the Looking Glass: Learning to Attribute Synthetic Text Generated by Language Models</t>
  </si>
  <si>
    <t>fu-grishman-2021-learning</t>
  </si>
  <si>
    <t>Learning Relatedness between Types with Prototypes for Relation Extraction</t>
  </si>
  <si>
    <t>li-etal-2021-scientific</t>
  </si>
  <si>
    <t>Scientific Discourse Tagging for Evidence Extraction</t>
  </si>
  <si>
    <t>moradi-etal-2021-measuring</t>
  </si>
  <si>
    <t>Measuring and Improving Faithfulness of Attention in Neural Machine Translation</t>
  </si>
  <si>
    <t>bashier-etal-2021-disk</t>
  </si>
  <si>
    <t>{DISK}-{CSV}: Distilling Interpretable Semantic Knowledge with a Class Semantic Vector</t>
  </si>
  <si>
    <t>ruzsics-etal-2021-interpretability</t>
  </si>
  <si>
    <t>Interpretability for Morphological Inflection: from Character-level Predictions to Subword-level Rules</t>
  </si>
  <si>
    <t>feder-etal-2021-causalm</t>
  </si>
  <si>
    <t>{C}ausa{LM}: Causal Model Explanation Through Counterfactual Language Models</t>
  </si>
  <si>
    <t>agarwal-etal-2021-interpretability</t>
  </si>
  <si>
    <t>Interpretability Analysis for Named Entity Recognition to Understand System Predictions and How They Can Improve</t>
  </si>
  <si>
    <t>nangi-etal-2021-counterfactuals</t>
  </si>
  <si>
    <t>Counterfactuals to Control Latent Disentangled Text Representations for Style Transfer</t>
  </si>
  <si>
    <t>ethayarajh-jurafsky-2021-attention</t>
  </si>
  <si>
    <t>Attention Flows are Shapley Value Explanations</t>
  </si>
  <si>
    <t>meister-etal-2021-sparse</t>
  </si>
  <si>
    <t>Is Sparse Attention more Interpretable?</t>
  </si>
  <si>
    <t>wang-etal-2021-quotation</t>
  </si>
  <si>
    <t>Quotation Recommendation and Interpretation Based on Transformation from Queries to Quotations</t>
  </si>
  <si>
    <t>wu-etal-2021-unified</t>
  </si>
  <si>
    <t>Unified Dual-view Cognitive Model for Interpretable Claim Verification</t>
  </si>
  <si>
    <t>cui-etal-2021-refining</t>
  </si>
  <si>
    <t>Refining Sample Embeddings with Relation Prototypes to Enhance Continual Relation Extraction</t>
  </si>
  <si>
    <t>yang-etal-2021-exploring</t>
  </si>
  <si>
    <t>Exploring the Efficacy of Automatically Generated Counterfactuals for Sentiment Analysis</t>
  </si>
  <si>
    <t>sevastjanova-etal-2021-explaining</t>
  </si>
  <si>
    <t>Explaining Contextualization in Language Models using Visual Analytics</t>
  </si>
  <si>
    <t>chrysostomou-aletras-2021-improving</t>
  </si>
  <si>
    <t>Improving the Faithfulness of Attention-based Explanations with Task-specific Information for Text Classification</t>
  </si>
  <si>
    <t>jiang-wilson-2021-structurizing</t>
  </si>
  <si>
    <t>Structurizing Misinformation Stories via Rationalizing Fact-Checks</t>
  </si>
  <si>
    <t>rashkin-etal-2021-increasing</t>
  </si>
  <si>
    <t>Increasing Faithfulness in Knowledge-Grounded Dialogue with Controllable Features</t>
  </si>
  <si>
    <t>balashankar-subramanian-2021-learning</t>
  </si>
  <si>
    <t>Learning Faithful Representations of Causal Graphs</t>
  </si>
  <si>
    <t>sikdar-etal-2021-integrated</t>
  </si>
  <si>
    <t>Integrated Directional Gradients: Feature Interaction Attribution for Neural {NLP} Models</t>
  </si>
  <si>
    <t>wang-etal-2021-voxpopuli</t>
  </si>
  <si>
    <t>{V}ox{P}opuli: A Large-Scale Multilingual Speech Corpus for Representation Learning, Semi-Supervised Learning and Interpretation</t>
  </si>
  <si>
    <t>garbacea-etal-2021-explainable</t>
  </si>
  <si>
    <t>Explainable Prediction of Text Complexity: The Missing Preliminaries for Text Simplification</t>
  </si>
  <si>
    <t>luu-etal-2021-explaining</t>
  </si>
  <si>
    <t>Explaining Relationships Between Scientific Documents</t>
  </si>
  <si>
    <t>cao-etal-2021-irene</t>
  </si>
  <si>
    <t>{I}r{E}ne: Interpretable Energy Prediction for Transformers</t>
  </si>
  <si>
    <t>du-etal-2021-excar</t>
  </si>
  <si>
    <t>{E}x{CAR}: Event Graph Knowledge Enhanced Explainable Causal Reasoning</t>
  </si>
  <si>
    <t>samanta-etal-2021-hierarchical</t>
  </si>
  <si>
    <t>A Hierarchical {VAE} for Calibrating Attributes while Generating Text using Normalizing Flow</t>
  </si>
  <si>
    <t>chen-etal-2021-kace</t>
  </si>
  <si>
    <t>{KACE}: Generating Knowledge Aware Contrastive Explanations for Natural Language Inference</t>
  </si>
  <si>
    <t>yao-etal-2021-interpretable</t>
  </si>
  <si>
    <t>Interpretable and Low-Resource Entity Matching via Decoupling Feature Learning from Decision Making</t>
  </si>
  <si>
    <t>kanwatchara-etal-2021-rational</t>
  </si>
  <si>
    <t>Rational {LAMOL}: A Rationale-based Lifelong Learning Framework</t>
  </si>
  <si>
    <t>pugoy-kao-2021-unsupervised</t>
  </si>
  <si>
    <t>Unsupervised Extractive Summarization-Based Representations for Accurate and Explainable Collaborative Filtering</t>
  </si>
  <si>
    <t>hofmann-etal-2021-superbizarre</t>
  </si>
  <si>
    <t>Superbizarre Is Not Superb: Derivational Morphology Improves {BERT}{'}s Interpretation of Complex Words</t>
  </si>
  <si>
    <t>chen-etal-2021-cross-language</t>
  </si>
  <si>
    <t>Cross-language Sentence Selection via Data Augmentation and Rationale Training</t>
  </si>
  <si>
    <t>chang-etal-2021-convolutions</t>
  </si>
  <si>
    <t>Convolutions and Self-Attention: {R}e-interpreting Relative Positions in Pre-trained Language Models</t>
  </si>
  <si>
    <t>yan-etal-2021-adatag</t>
  </si>
  <si>
    <t>{A}da{T}ag: Multi-Attribute Value Extraction from Product Profiles with Adaptive Decoding</t>
  </si>
  <si>
    <t>hu-etal-2021-r2d2</t>
  </si>
  <si>
    <t>{R}2{D}2: Recursive Transformer based on Differentiable Tree for Interpretable Hierarchical Language Modeling</t>
  </si>
  <si>
    <t>li-etal-2021-personalized</t>
  </si>
  <si>
    <t>Personalized Transformer for Explainable Recommendation</t>
  </si>
  <si>
    <t>jiang-etal-2021-alignment</t>
  </si>
  <si>
    <t>Alignment Rationale for Natural Language Inference</t>
  </si>
  <si>
    <t>zhang-etal-2021-sample</t>
  </si>
  <si>
    <t>On Sample Based Explanation Methods for {NLP}: Faithfulness, Efficiency and Semantic Evaluation</t>
  </si>
  <si>
    <t>qian-etal-2021-counterfactual</t>
  </si>
  <si>
    <t>Counterfactual Inference for Text Classification Debiasing</t>
  </si>
  <si>
    <t>kamigaito-hayashi-2021-unified</t>
  </si>
  <si>
    <t>Unified Interpretation of Softmax Cross-Entropy and Negative Sampling: With Case Study for Knowledge Graph Embedding</t>
  </si>
  <si>
    <t>huang-etal-2021-exploring</t>
  </si>
  <si>
    <t>Exploring Distantly-Labeled Rationales in Neural Network Models</t>
  </si>
  <si>
    <t>aralikatte-etal-2021-focus</t>
  </si>
  <si>
    <t>Focus Attention: Promoting Faithfulness and Diversity in Summarization</t>
  </si>
  <si>
    <t>wu-etal-2021-polyjuice</t>
  </si>
  <si>
    <t>Polyjuice: Generating Counterfactuals for Explaining, Evaluating, and Improving Models</t>
  </si>
  <si>
    <t>lu-etal-2021-inter</t>
  </si>
  <si>
    <t>{I}nter-{GPS}: Interpretable Geometry Problem Solving with Formal Language and Symbolic Reasoning</t>
  </si>
  <si>
    <t>xu-durrett-2021-dissecting</t>
  </si>
  <si>
    <t>Dissecting Generation Modes for Abstractive Summarization Models via Ablation and Attribution</t>
  </si>
  <si>
    <t>wong-etal-2021-cross</t>
  </si>
  <si>
    <t>Cross-replication Reliability - An Empirical Approach to Interpreting Inter-rater Reliability</t>
  </si>
  <si>
    <t>emami-etal-2021-adept</t>
  </si>
  <si>
    <t>{ADEPT}: An Adjective-Dependent Plausibility Task</t>
  </si>
  <si>
    <t>aghajanyan-etal-2021-intrinsic</t>
  </si>
  <si>
    <t>Intrinsic Dimensionality Explains the Effectiveness of Language Model Fine-Tuning</t>
  </si>
  <si>
    <t>lin-etal-2020-adjusting</t>
  </si>
  <si>
    <t>Adjusting Image Attributes of Localized Regions with Low-level Dialogue</t>
  </si>
  <si>
    <t>wu-etal-2020-getting</t>
  </si>
  <si>
    <t>Getting To Know You: User Attribute Extraction from Dialogues</t>
  </si>
  <si>
    <t>chaturvedi-etal-2020-development</t>
  </si>
  <si>
    <t>Development of a Corpus Annotated with Medications and their Attributes in Psychiatric Health Records</t>
  </si>
  <si>
    <t>lee-etal-2020-squad2</t>
  </si>
  <si>
    <t>{SQ}u{AD}2-{CR}: Semi-supervised Annotation for Cause and Rationales for Unanswerability in {SQ}u{AD} 2.0</t>
  </si>
  <si>
    <t>zayed-etal-2020-figure</t>
  </si>
  <si>
    <t>Figure Me Out: A Gold Standard Dataset for Metaphor Interpretation</t>
  </si>
  <si>
    <t>hasegawa-etal-2020-word</t>
  </si>
  <si>
    <t>Word Attribute Prediction Enhanced by Lexical Entailment Tasks</t>
  </si>
  <si>
    <t>huang-etal-2020-reducing</t>
  </si>
  <si>
    <t>Reducing Sentiment Bias in Language Models via Counterfactual Evaluation</t>
  </si>
  <si>
    <t>russo-etal-2020-control</t>
  </si>
  <si>
    <t>Control, Generate, Augment: A Scalable Framework for Multi-Attribute Text Generation</t>
  </si>
  <si>
    <t>onoe-durrett-2020-interpretable</t>
  </si>
  <si>
    <t>Interpretable Entity Representations through Large-Scale Typing</t>
  </si>
  <si>
    <t>mrini-etal-2020-rethinking</t>
  </si>
  <si>
    <t>Rethinking Self-Attention: Towards Interpretability in Neural Parsing</t>
  </si>
  <si>
    <t>filippova-2020-controlled</t>
  </si>
  <si>
    <t>Controlled Hallucinations: Learning to Generate Faithfully from Noisy Data</t>
  </si>
  <si>
    <t>glockner-etal-2020-think</t>
  </si>
  <si>
    <t>Why do you think that? Exploring Faithful Sentence-Level Rationales Without Supervision</t>
  </si>
  <si>
    <t>wu-etal-2020-improving-knowledge</t>
  </si>
  <si>
    <t>Improving Knowledge-Aware Dialogue Response Generation by Using Human-Written Prototype Dialogues</t>
  </si>
  <si>
    <t>chen-etal-2020-knowledge</t>
  </si>
  <si>
    <t>A Knowledge-Driven Approach to Classifying Object and Attribute Coreferences in Opinion Mining</t>
  </si>
  <si>
    <t>yang-etal-2020-robust</t>
  </si>
  <si>
    <t>Robust and Interpretable Grounding of Spatial References with Relation Networks</t>
  </si>
  <si>
    <t>kung-etal-2020-zero</t>
  </si>
  <si>
    <t>Zero-Shot Rationalization by Multi-Task Transfer Learning from Question Answering</t>
  </si>
  <si>
    <t>shnarch-etal-2020-unsupervised</t>
  </si>
  <si>
    <t>Unsupervised Expressive Rules Provide Explainability and Assist Human Experts Grasping New Domains</t>
  </si>
  <si>
    <t>marasovic-etal-2020-natural</t>
  </si>
  <si>
    <t>Natural Language Rationales with Full-Stack Visual Reasoning: From Pixels to Semantic Frames to Commonsense Graphs</t>
  </si>
  <si>
    <t>shin-etal-2020-neutralizing</t>
  </si>
  <si>
    <t>Neutralizing Gender Bias in Word Embeddings with Latent Disentanglement and Counterfactual Generation</t>
  </si>
  <si>
    <t>rajagopal-etal-2020-ask</t>
  </si>
  <si>
    <t>What-if {I} ask you to explain: Explaining the effects of perturbations in procedural text</t>
  </si>
  <si>
    <t>kim-etal-2020-arramon</t>
  </si>
  <si>
    <t>{A}rra{M}on: A Joint Navigation-Assembly Instruction Interpretation Task in Dynamic Environments</t>
  </si>
  <si>
    <t>pruthi-etal-2020-weakly</t>
  </si>
  <si>
    <t>Weakly- and Semi-supervised Evidence Extraction</t>
  </si>
  <si>
    <t>huang-etal-2020-generalizable</t>
  </si>
  <si>
    <t>Generalizable and Explainable Dialogue Generation via Explicit Action Learning</t>
  </si>
  <si>
    <t>hu-yang-2020-privnet</t>
  </si>
  <si>
    <t>{P}riv{N}et: Safeguarding Private Attributes in Transfer Learning for Recommendation</t>
  </si>
  <si>
    <t>saha-etal-2020-prover</t>
  </si>
  <si>
    <t>{PR}over: Proof Generation for Interpretable Reasoning over Rules</t>
  </si>
  <si>
    <t>zanzotto-etal-2020-kermit</t>
  </si>
  <si>
    <t>{KERMIT}: Complementing Transformer Architectures with Encoders of Explicit Syntactic Interpretations</t>
  </si>
  <si>
    <t>qin-etal-2020-back</t>
  </si>
  <si>
    <t>Back to the Future: Unsupervised Backprop-based Decoding for Counterfactual and Abductive Commonsense Reasoning</t>
  </si>
  <si>
    <t>sarkar-etal-2020-social</t>
  </si>
  <si>
    <t>Social Media Attributions in the Context of Water Crisis</t>
  </si>
  <si>
    <t>feng-etal-2020-explainable</t>
  </si>
  <si>
    <t>Explainable Clinical Decision Support from Text</t>
  </si>
  <si>
    <t>tsai-etal-2020-multimodal</t>
  </si>
  <si>
    <t>Multimodal Routing: Improving Local and Global Interpretability of Multimodal Language Analysis</t>
  </si>
  <si>
    <t>paranjape-etal-2020-information</t>
  </si>
  <si>
    <t>An Information Bottleneck Approach for Controlling Conciseness in Rationale Extraction</t>
  </si>
  <si>
    <t>chen-qian-2020-enhancing</t>
  </si>
  <si>
    <t>Enhancing Aspect Term Extraction with Soft Prototypes</t>
  </si>
  <si>
    <t>zhu-etal-2020-multimodal</t>
  </si>
  <si>
    <t>Multimodal Joint Attribute Prediction and Value Extraction for {E}-commerce Product</t>
  </si>
  <si>
    <t>chen-li-2020-henin</t>
  </si>
  <si>
    <t>{HENIN}: Learning Heterogeneous Neural Interaction Networks for Explainable Cyberbullying Detection on Social Media</t>
  </si>
  <si>
    <t>weng-etal-2020-towards</t>
  </si>
  <si>
    <t>Towards Enhancing Faithfulness for Neural Machine Translation</t>
  </si>
  <si>
    <t>kim-etal-2020-interpretation</t>
  </si>
  <si>
    <t>Interpretation of {NLP} models through input marginalization</t>
  </si>
  <si>
    <t>jiang-etal-2020-cold</t>
  </si>
  <si>
    <t>Cold-Start and Interpretability: Turning Regular Expressions into Trainable Recurrent Neural Networks</t>
  </si>
  <si>
    <t>ramnath-etal-2020-towards</t>
  </si>
  <si>
    <t>Towards Interpreting {BERT} for Reading Comprehension Based {QA}</t>
  </si>
  <si>
    <t>de-cao-etal-2020-decisions</t>
  </si>
  <si>
    <t>How do Decisions Emerge across Layers in Neural Models? Interpretation with Differentiable Masking</t>
  </si>
  <si>
    <t>atanasova-etal-2020-diagnostic</t>
  </si>
  <si>
    <t>A Diagnostic Study of Explainability Techniques for Text Classification</t>
  </si>
  <si>
    <t>liang-etal-2020-learning</t>
  </si>
  <si>
    <t>Learning to Contrast the Counterfactual Samples for Robust Visual Question Answering</t>
  </si>
  <si>
    <t>zhu-etal-2020-counterfactual</t>
  </si>
  <si>
    <t>Counterfactual Off-Policy Training for Neural Dialogue Generation</t>
  </si>
  <si>
    <t>sen-etal-2020-learning</t>
  </si>
  <si>
    <t>Learning Explainable Linguistic Expressions with Neural Inductive Logic Programming for Sentence Classification</t>
  </si>
  <si>
    <t>chen-ji-2020-learning</t>
  </si>
  <si>
    <t>Learning Variational Word Masks to Improve the Interpretability of Neural Text Classifiers</t>
  </si>
  <si>
    <t>fu-etal-2020-sscr</t>
  </si>
  <si>
    <t>{SSCR}: Iterative Language-Based Image Editing via Self-Supervised Counterfactual Reasoning</t>
  </si>
  <si>
    <t>ethayarajh-jurafsky-2020-utility</t>
  </si>
  <si>
    <t>Utility is in the Eye of the User: A Critique of {NLP} Leaderboards</t>
  </si>
  <si>
    <t>tigunova-etal-2020-charm</t>
  </si>
  <si>
    <t>{CHARM}: Inferring Personal Attributes from Conversations</t>
  </si>
  <si>
    <t>fu-etal-2020-interpretable</t>
  </si>
  <si>
    <t>Interpretable Multi-dataset Evaluation for Named Entity Recognition</t>
  </si>
  <si>
    <t>pasca-2020-interpreting</t>
  </si>
  <si>
    <t>Interpreting Open-Domain Modifiers: Decomposition of {W}ikipedia Categories into Disambiguated Property-Value Pairs</t>
  </si>
  <si>
    <t>desai-etal-2020-compressive</t>
  </si>
  <si>
    <t>Compressive Summarization with Plausibility and Salience Modeling</t>
  </si>
  <si>
    <t>cho-etal-2020-better</t>
  </si>
  <si>
    <t>Better Highlighting: Creating Sub-Sentence Summary Highlights</t>
  </si>
  <si>
    <t>liu-etal-2020-exploring</t>
  </si>
  <si>
    <t>Exploring and Evaluating Attributes, Values, and Structures for Entity Alignment</t>
  </si>
  <si>
    <t>choi-etal-2020-less</t>
  </si>
  <si>
    <t>Less is More: Attention Supervision with Counterfactuals for Text Classification</t>
  </si>
  <si>
    <t>ren-etal-2020-towards</t>
  </si>
  <si>
    <t>Towards Interpretable Reasoning over Paragraph Effects in Situation</t>
  </si>
  <si>
    <t>zeng-etal-2020-counterfactual</t>
  </si>
  <si>
    <t>Counterfactual Generator: A Weakly-Supervised Method for Named Entity Recognition</t>
  </si>
  <si>
    <t>kotonya-toni-2020-explainable-automated</t>
  </si>
  <si>
    <t>Explainable Automated Fact-Checking for Public Health Claims</t>
  </si>
  <si>
    <t>pratapa-etal-2020-constrained</t>
  </si>
  <si>
    <t>{C}onstrained {F}act {V}erification for {FEVER}</t>
  </si>
  <si>
    <t>uchendu-etal-2020-authorship</t>
  </si>
  <si>
    <t>Authorship Attribution for Neural Text Generation</t>
  </si>
  <si>
    <t>liu-etal-2020-knowledge</t>
  </si>
  <si>
    <t>Knowledge-guided Open Attribute Value Extraction with Reinforcement Learning</t>
  </si>
  <si>
    <t>kim-linzen-2020-cogs</t>
  </si>
  <si>
    <t>{COGS}: A Compositional Generalization Challenge Based on Semantic Interpretation</t>
  </si>
  <si>
    <t>carton-etal-2020-evaluating</t>
  </si>
  <si>
    <t>Evaluating and Characterizing Human Rationales</t>
  </si>
  <si>
    <t>jindal-etal-2020-killed</t>
  </si>
  <si>
    <t>Is Killed More Significant than Fled? A Contextual Model for Salient Event Detection</t>
  </si>
  <si>
    <t>boenninghoff-etal-2020-variational</t>
  </si>
  <si>
    <t>Variational Autoencoder with Embedded Student-t Mixture Model for Authorship Attribution</t>
  </si>
  <si>
    <t>sen-etal-2020-schema</t>
  </si>
  <si>
    <t>Schema Aware Semantic Reasoning for Interpreting Natural Language Queries in Enterprise Settings</t>
  </si>
  <si>
    <t>le-zuidema-2020-dolfin</t>
  </si>
  <si>
    <t>{D}o{LFI}n: Distributions over Latent Features for Interpretability</t>
  </si>
  <si>
    <t>bashier-etal-2020-rancc</t>
  </si>
  <si>
    <t>{RANCC}: Rationalizing Neural Networks via Concept Clustering</t>
  </si>
  <si>
    <t>aloui-etal-2020-slice</t>
  </si>
  <si>
    <t>{SLICE}: Supersense-based Lightweight Interpretable Contextual Embeddings</t>
  </si>
  <si>
    <t>branco-etal-2020-comparative</t>
  </si>
  <si>
    <t>Comparative Probing of Lexical Semantics Theories for Cognitive Plausibility and Technological Usefulness</t>
  </si>
  <si>
    <t>donatelli-etal-2020-two</t>
  </si>
  <si>
    <t>A Two-Level Interpretation of Modality in Human-Robot Dialogue</t>
  </si>
  <si>
    <t>sarathy-etal-2020-reasoning</t>
  </si>
  <si>
    <t>Reasoning Requirements for Indirect Speech Act Interpretation</t>
  </si>
  <si>
    <t>tran-etal-2020-explain</t>
  </si>
  <si>
    <t>Explain by Evidence: An Explainable Memory-based Neural Network for Question Answering</t>
  </si>
  <si>
    <t>kotonya-toni-2020-explainable</t>
  </si>
  <si>
    <t>Explainable Automated Fact-Checking: A Survey</t>
  </si>
  <si>
    <t>yuan-etal-2020-faithfulness</t>
  </si>
  <si>
    <t>On the Faithfulness for {E}-commerce Product Summarization</t>
  </si>
  <si>
    <t>yang-etal-2020-generating</t>
  </si>
  <si>
    <t>Generating Plausible Counterfactual Explanations for Deep Transformers in Financial Text Classification</t>
  </si>
  <si>
    <t>liao-etal-2020-explainable</t>
  </si>
  <si>
    <t>Explainable and Sparse Representations of Academic Articles for Knowledge Exploration</t>
  </si>
  <si>
    <t>yu-etal-2020-bridging</t>
  </si>
  <si>
    <t>Bridging Text and Knowledge with Multi-Prototype Embedding for Few-Shot Relational Triple Extraction</t>
  </si>
  <si>
    <t>xu-etal-2020-embedding</t>
  </si>
  <si>
    <t>Embedding Dynamic Attributed Networks by Modeling the Evolution Processes</t>
  </si>
  <si>
    <t>pedinotti-lenci-2020-dont</t>
  </si>
  <si>
    <t>Don{'}t Invite {BERT} to Drink a Bottle: Modeling the Interpretation of Metonymies Using {BERT} and Distributional Representations</t>
  </si>
  <si>
    <t>sarkhel-etal-2020-interpretable</t>
  </si>
  <si>
    <t>Interpretable Multi-headed Attention for Abstractive Summarization at Controllable Lengths</t>
  </si>
  <si>
    <t>lu-li-2020-gcan</t>
  </si>
  <si>
    <t>{GCAN}: Graph-aware Co-Attention Networks for Explainable Fake News Detection on Social Media</t>
  </si>
  <si>
    <t>gonen-etal-2020-simple</t>
  </si>
  <si>
    <t>Simple, Interpretable and Stable Method for Detecting Words with Usage Change across Corpora</t>
  </si>
  <si>
    <t>zhou-etal-2020-interpretable</t>
  </si>
  <si>
    <t>Interpretable Operational Risk Classification with Semi-Supervised Variational Autoencoder</t>
  </si>
  <si>
    <t>zhong-etal-2020-interpreting</t>
  </si>
  <si>
    <t>Interpreting {T}witter User Geolocation</t>
  </si>
  <si>
    <t>wu-etal-2020-dtca</t>
  </si>
  <si>
    <t>{DTCA}: Decision Tree-based Co-Attention Networks for Explainable Claim Verification</t>
  </si>
  <si>
    <t>wang-etal-2020-towards</t>
  </si>
  <si>
    <t>Towards Faithful Neural Table-to-Text Generation with Content-Matching Constraints</t>
  </si>
  <si>
    <t>maynez-etal-2020-faithfulness</t>
  </si>
  <si>
    <t>On Faithfulness and Factuality in Abstractive Summarization</t>
  </si>
  <si>
    <t>chen-etal-2020-towards</t>
  </si>
  <si>
    <t>Towards Interpretable Clinical Diagnosis with {B}ayesian Network Ensembles Stacked on Entity-Aware {CNN}s</t>
  </si>
  <si>
    <t>niu-etal-2020-self</t>
  </si>
  <si>
    <t>A Self-Training Method for Machine Reading Comprehension with Soft Evidence Extraction</t>
  </si>
  <si>
    <t>wu-etal-2020-perturbed</t>
  </si>
  <si>
    <t>Perturbed Masking: Parameter-free Probing for Analyzing and Interpreting {BERT}</t>
  </si>
  <si>
    <t>jacovi-goldberg-2020-towards</t>
  </si>
  <si>
    <t>Towards Faithfully Interpretable {NLP} Systems: How Should We Define and Evaluate Faithfulness?</t>
  </si>
  <si>
    <t>mohankumar-etal-2020-towards</t>
  </si>
  <si>
    <t>Towards Transparent and Explainable Attention Models</t>
  </si>
  <si>
    <t>deyoung-etal-2020-eraser</t>
  </si>
  <si>
    <t>{ERASER}: {A} Benchmark to Evaluate Rationalized {NLP} Models</t>
  </si>
  <si>
    <t>jain-etal-2020-learning</t>
  </si>
  <si>
    <t>{L}earning to Faithfully Rationalize by Construction</t>
  </si>
  <si>
    <t>durmus-etal-2020-feqa</t>
  </si>
  <si>
    <t>{FEQA}: A Question Answering Evaluation Framework for Faithfulness Assessment in Abstractive Summarization</t>
  </si>
  <si>
    <t>kennedy-etal-2020-contextualizing</t>
  </si>
  <si>
    <t>Contextualizing Hate Speech Classifiers with Post-hoc Explanation</t>
  </si>
  <si>
    <t>hase-bansal-2020-evaluating</t>
  </si>
  <si>
    <t>Evaluating Explainable {AI}: Which Algorithmic Explanations Help Users Predict Model Behavior?</t>
  </si>
  <si>
    <t>han-etal-2020-explaining</t>
  </si>
  <si>
    <t>Explaining Black Box Predictions and Unveiling Data Artifacts through Influence Functions</t>
  </si>
  <si>
    <t>subramanian-etal-2020-obtaining</t>
  </si>
  <si>
    <t>Obtaining Faithful Interpretations from Compositional Neural Networks</t>
  </si>
  <si>
    <t>swanson-etal-2020-rationalizing</t>
  </si>
  <si>
    <t>Rationalizing Text Matching: {L}earning Sparse Alignments via Optimal Transport</t>
  </si>
  <si>
    <t>ravfogel-etal-2020-null</t>
  </si>
  <si>
    <t>Null It Out: Guarding Protected Attributes by Iterative Nullspace Projection</t>
  </si>
  <si>
    <t>rajani-etal-2020-esprit</t>
  </si>
  <si>
    <t>{ESPRIT}: Explaining Solutions to Physical Reasoning Tasks</t>
  </si>
  <si>
    <t>zhang-etal-2020-learning-interpretable</t>
  </si>
  <si>
    <t>Learning Interpretable Relationships between Entities, Relations and Concepts via {B}ayesian Structure Learning on Open Domain Facts</t>
  </si>
  <si>
    <t>wang-etal-2020-rationalizing</t>
  </si>
  <si>
    <t>Rationalizing Medical Relation Prediction from Corpus-level Statistics</t>
  </si>
  <si>
    <t>kumar-talukdar-2020-nile</t>
  </si>
  <si>
    <t>{NILE} : Natural Language Inference with Faithful Natural Language Explanations</t>
  </si>
  <si>
    <t>rambelli-etal-2020-comparing</t>
  </si>
  <si>
    <t>Comparing Probabilistic, Distributional and Transformer-Based Models on Logical Metonymy Interpretation</t>
  </si>
  <si>
    <t>danilevsky-etal-2020-survey</t>
  </si>
  <si>
    <t>A Survey of the State of Explainable {AI} for Natural Language Processing</t>
  </si>
  <si>
    <t>liao-etal-2020-explaining</t>
  </si>
  <si>
    <t>Explaining Word Embeddings via Disentangled Representation</t>
  </si>
  <si>
    <t>kanouchi-etal-2020-may</t>
  </si>
  <si>
    <t>You May Like This Hotel Because ...: Identifying Evidence for Explainable Recommendations</t>
  </si>
  <si>
    <t>explanation interpretability using the F1 score between the Predictor’s predictions and the TRUE feature activations</t>
  </si>
  <si>
    <t>Transparency at the Source: Evaluating and Interpreting Language Models With Access to the TRUE Distribution</t>
  </si>
  <si>
    <t>gemini pdf output {
"is_xai_interpretable": TRUE,
"has_explanation_evaluation": TRUE,
"has_significance_testing": FALSE,
"tests": [],
"p_values": [],
"evidence": ["incorporate critiques in natural language format", "integrating the interpretability and structured critique of LLM-as-the-judge", "validate the effectiveness of generated critiques in rectifying flawed reasoning steps"],
"confidence": 1.0
}</t>
  </si>
  <si>
    <t>Identifying and Answering Questions with FALSE Assumptions: An Interpretable Approach</t>
  </si>
  <si>
    <t>gradient-based data attribution and show they
agree in identifying influential training data
for in-domain target tasks.</t>
  </si>
  <si>
    <t>We evaluated the similarity of the
generated rationales using ROUGE-L (Lin, 2004)
on a sample of 100 essays to analyze the diver-
sity in how LLMs generate them. Additionally,
we measured the faithfulness of LLM-generated rationales to the predicted multi-trait scores, using
a proxy method from prior studies (Wiegreffe et al.,
2020; Jain et al., 2020; Li et al., 2023)</t>
  </si>
  <si>
    <t xml:space="preserve"> we employ BLEU
and ROUGE to assess the quality of our method’s
outputs. The BLEU scores, akin to the “Precision",
evaluates the overlap of k-grams between generated
and reference sentences, while the ROUGE scores,</t>
  </si>
  <si>
    <t>Significance only on performance not explanation : evaluation * denote that MPRF significantly outperforms baselines with the p-value &lt; 0.05.</t>
  </si>
  <si>
    <t>VLAS offers several advantages compared with traditional IoU-based metrics: (i) it captures the binary nature of human judgments by measuring whether an explanation is acceptable rather than rewarding incremental overlap;</t>
  </si>
  <si>
    <t>patching effect (PE), Information
Flow Routes.  Mechanistic Interpretability</t>
  </si>
  <si>
    <t xml:space="preserve">We look at two aspects: the average citation quality (Figure 5) and the citation F1 score (Figure6), </t>
  </si>
  <si>
    <t>we observe that while the attribution rate of the object entity, AR(o)</t>
  </si>
  <si>
    <t>Standard performance benchmark and ablation</t>
  </si>
  <si>
    <t xml:space="preserve">Human Attribution Evaluation, Our model demonstrates a strong Pearson cor-
relation with the clinician MOS (r = 0.866,
p &lt; 0.001), indicating close alignment with av-
erage expert judgment. </t>
  </si>
  <si>
    <t xml:space="preserve"> Human Annotation and Evaluation. We begin our failure case analysis with a human an-
notation study that evaluates the correctness of the generated SCEs. Our goal was to test if the SCE validity correlates with its correctness. We report the correlation results as (coefficient, p-value), where r denotes Pearson correlation, ρ denotes Spearman correlation, and p is the associated two-tailed significance level.</t>
  </si>
  <si>
    <t>Word Selection Quality Analysis</t>
  </si>
  <si>
    <t>We deploy the faithfulness evaluation protocol de-
scribed in §3, where we prompt M∗ and M to
answer directly, without reasoning, and then com-
pute how often their answers differ. Scatter plot of correlation between efficacy
and faithfulness. Scores reported are averages over 30 instances used for LR selection,</t>
  </si>
  <si>
    <t>Plausibility NLE, evaluate plausibility and faithfulness Pearson’s correlation but no p-value</t>
  </si>
  <si>
    <t>counterfactual is assessed using an LLM-
as-a-judge framework</t>
  </si>
  <si>
    <t>(1) Unlearning Accuracy (UA), (2) Extended Unlearning Accuracy (UA‡): The accuracy for the Paraphrased QA set to evaluate the generalized unlearning performance. (4) Same-answer Test Accuracy (SA): The accuracy for the Same-answer QA set to analyze shortcut unlearning.</t>
  </si>
  <si>
    <t>In automated evaluation of the C-IMHI dataset,
we focused on two key aspects: correctness and
consistency: 1) Correctness: the generated predic-
tion should be correct compare with the ground
truth (Yang et al., 2024b); 2) Consistency: the
generated explanations should provide a reason-
ing process that explains the decision basis and is
consistent with the prediction , We randomly selected one hundred generated ex-
planations for subsequent expert evaluation</t>
  </si>
  <si>
    <t>Only evaluate downstream performance, no ablation on faithfulness or plausibility. Proposed feature akin to plausible explanation</t>
  </si>
  <si>
    <t>Evaluate free-text explanation such as Informativeness</t>
  </si>
  <si>
    <t>Assessment for generated rationales using gpt 3.5</t>
  </si>
  <si>
    <t>Entailment-based Evaluation, Rubrics-based LLM Evaluation</t>
  </si>
  <si>
    <t>We use BERTScore (Zhang* et al., 2020), which
uses contextual embeddings to capture the semantic similarity between the generated reasoning and the ground truth reasoning</t>
  </si>
  <si>
    <t>5.3 Human Evaluation</t>
  </si>
  <si>
    <t>Bias Analysis, Protected attribute</t>
  </si>
  <si>
    <t>COUNT EVAL_XAI</t>
  </si>
  <si>
    <t>COUNT HAS_SIG_EVAL_XAI</t>
  </si>
  <si>
    <t>COUNT XAI</t>
  </si>
  <si>
    <t>COUNT VERIFIED</t>
  </si>
  <si>
    <t>COUNT EVAL_XAI AND XAI</t>
  </si>
  <si>
    <t>Human Evaluation of Concept Representations. As part of our method, concepts are annotated by
an LLM. We recruited six human annotators to
validate this step and asked each to annotate 400
concepts. Prediction Strength Our explanations rely on a white-box model trained to imitate preference decisions. Hacking Judges with Explanations To test whether our explanations identify concepts that
truly matter to LLM judges, we use them to guide
response generation &lt;faithfulness&gt;. Improving Judges with Explanations We apply
our explanations to resolve tie cases where LLM-
as-a-Judge models give inconsistent predictions de-
pending on response order. &lt;utility&gt;. sig-test: is statistically significant after Bonferroni correction (α &lt; .006).</t>
  </si>
  <si>
    <t>Using this idea, we adopt a simulatability-
based explanation faithfulness evaluation method. † indicates results that are significantly higher than those of the SFT model, with
p &lt; 0.05 as determined by a two-related-sample t-test. §A.5 shows confidence intervals across training passes.
Takeaway: optimizing PEX consistency improves explanation faithfulness.</t>
  </si>
  <si>
    <t>We systematically evaluate the im-
pact of editing each identified key attention head on the sampled GQA data. Table 18: Performance difference ∆(pp) between the attention head rescaling method and baselines. Statistical
significance is indicated with asterisks. *** indicates p &lt; 0.001 (extremely significant).</t>
  </si>
  <si>
    <t>White-box Evaluation: Controlled synthetic evaluation</t>
  </si>
  <si>
    <t>1 - Normalized Spearman’s Footrule
Distance (1-SFD). One minus the average abso-
lute difference between predicted and true ranks
across all agents, measuring how close the pre-
dicted ranking is to the ground truth</t>
  </si>
  <si>
    <t>An annotator manually annotated ground-truth attributions for the selected samples. We used the train set to train FlowMask2Former for this domain.</t>
  </si>
  <si>
    <t>Integration-Augmentation. The aspect counter-
factual candidate serves primarily as an augmentation. Table 4: The performance of DPCI with different numbers of augmented samples.</t>
  </si>
  <si>
    <t>Measuring Faithfulness</t>
  </si>
  <si>
    <t xml:space="preserve">Validity and Minimality </t>
  </si>
  <si>
    <t>each AD in CAVE
is paired with a single explanation. We evaluate a
model’s ability to generate the correct explanation
when provided with the ground-truth AD using
an LLM judge. Anomaly Justification (AJ). Since there can be more than one correct anomaly justification, we evaluate a justification quality along three criteria: (1) Plausibility—whether the justification makes sense for the anomaly; (2) Relevance—how well it aligns with the image context; and (3) Creativity—the depth and novelty of the reasoning, beyond generic or trivial explanations. We also performed a bootstrap test on 5k different random samples of CAVE to assess significance for prompting strategies over the vanilla baseline. statsig for performance not explanation</t>
  </si>
  <si>
    <t>Feature Representation Confidence (FRC), Feature Intervention Confidence (FIC)</t>
  </si>
  <si>
    <t>Faithfulness, Simulatability. These improvements are statistically significant (paired t-test, p &lt; 0.01)</t>
  </si>
  <si>
    <t>Recovered Accuracy</t>
  </si>
  <si>
    <t>Automatic Metrics for Similarity between
NLEs and Golden explanations. Table 3: Faithfulness evaluation for different types of highlight explanations on the T5 model, e-SNLI dataset could analyze the significance between highlight and random</t>
  </si>
  <si>
    <t>Simulatability, Corrupting CoT , CC-SHAP. Sigtest:  Underlined numbers show the diagnosticity
scores that are significantly higher than 0.5 (one-sample t-test, p &lt; 0.05). Comparison of diagnosticity scores between continuous and binary variants of CoT corruption-based
metrics using qwen-2.5-7b. Differences are statistically significant (Wilcoxon signed-rank test, p &lt; 0.05)</t>
  </si>
  <si>
    <t xml:space="preserve">dataset-level faithfulness as the conditional mean faithfulness generation (cMFG) score. Overall,
Gemini-2.0-Flash with our decisiveness prompt
achieved the highest correlations of 0.665 (p =
0.000) and 0.643 (p = 0.000), respectively, con-
firming the quality of our LLM-based decisiveness
scores. In contrast, use of the original decisive-
ness scoring setup in Yona et al. (2024) achieved
correlations of only 0.210 (p = 0.000) and 0.063
(p = 0.03), respectively. Our final scoring paradigm yielded the highest Pearson and Spearman correlations of 0.680 (p = 0.000) and 0.663 (p = 0.000), respectively, and the lowest MSE of 0.635, </t>
  </si>
  <si>
    <t>Faithfulness score, Average confidence trajectories</t>
  </si>
  <si>
    <t xml:space="preserve">To test the sensitivity of X-CoT to imperfect anno-
tations, we perturb 20% of tags in the structured
annotations </t>
  </si>
  <si>
    <t>Faithfulness: interp.? indicates whether interpretability is preserved despite the changes,
with ✗ indicating no interpretability, and ✓(↑ / ↓) indicating interpretability at a higher or lower level of detail. Plausibility: We manually assigned binary labels (acceptable/unacceptable) to 30 explanations per model. The top performing combination of model and prompt, which we ended up using, produced a score of 28/30 acceptable explanations.</t>
  </si>
  <si>
    <t>Key Attribution Pattern changes (∆) across
experimental conditions. No sigtest but could be: Comparison of standard (δstd) and masked
(δmask) text-based classifiers’ normalized difference scores, and their differences (∆text) across different aggregation methods and span levels</t>
  </si>
  <si>
    <t>FINDINGS</t>
  </si>
  <si>
    <t>MAIN_VENUE</t>
  </si>
  <si>
    <t>Pearson r represents the agreement between the AA model’s predictions in the latent and interpretable spaces. Usefulness for Explainability. No mention of p-value</t>
  </si>
  <si>
    <t>Human Evaluation- Subjective Ratings: Perceived Faithfulness (Binary), Coherence (5-point Likert), Insightfulness (5-point Likert)</t>
  </si>
  <si>
    <t>Predictive Performance Evaluation</t>
  </si>
  <si>
    <t>Evaluating Faithfulness using Sensitivity
Analysis. Expert Evaluation</t>
  </si>
  <si>
    <t>Human Evaluations: validity and coverage</t>
  </si>
  <si>
    <t xml:space="preserve">Alignment: Sparsity, Sufficiency. Relevance. </t>
  </si>
  <si>
    <t xml:space="preserve">Faithfulness, We perform a paired permutation test to test the
hypothesis H0: NMN w/ Graph-count + decont. +
pretraining has the same inherent faithfulness as
NMN w/ Layer-count. </t>
  </si>
  <si>
    <t>Removal type Avg. ∆ in prediction confidence</t>
  </si>
  <si>
    <t>Improving Forward Test Design. Simulatability, CI</t>
  </si>
  <si>
    <t>Question generation. Answer verification. Pearson (P) and Spearman (S) correlation between human-annotated faithfulness scores and ROUGE scores of content selection (computed between the reference and the output sentence). Pearson (P) and Spearman (S) correlation between human-annotated faithfulness scores and the metric scores</t>
  </si>
  <si>
    <t>We also ran a t-test to determine if global
heuristics provided results significantly different
from instance-level methods, finding that they did
not.</t>
  </si>
  <si>
    <t>faihtfulness: comprehensiveness and sufficiency, agreement rationale</t>
  </si>
  <si>
    <t>attention Comparison with Rationales, attention Comparison with attribution methods, Human Evaluations</t>
  </si>
  <si>
    <t>Survey paper</t>
  </si>
  <si>
    <t>position paper</t>
  </si>
  <si>
    <t>Syntactic Probe</t>
  </si>
  <si>
    <t>Table 4: Human Evaluation of various aspects of generated text.</t>
  </si>
  <si>
    <t>Human Evaluation for the Explanation: Qualitative, We randomly sample 100 examples from the testing set for 5 participants to answer (20 examples per person). By combining the REP-SCD, RM-SCD, INS-SCD together, our method achieves significantly higher ranking score compared to HotFlip, more specifically, 2.35 score improvements (4.35/2.00) were made regarding plausibility while 0.85 score improvements (4.00/3.15) were made on reasonableness, showing a p-value less than 0.001 and 0.05, respectively.
Hence, there is compelling evidence that our method can generate counterfactual explanations which are more plausible and reasonable.</t>
  </si>
  <si>
    <t>survey paper</t>
  </si>
  <si>
    <t>ERASER evaluation methods</t>
  </si>
  <si>
    <t>ROGUE scores for explanations generated via our
two explanation models. Evaluation of Explanation Quality: Global Coherence , Local Coherence</t>
  </si>
  <si>
    <t>We design an index to evaluate the Relative Im-
portance (RI) between entity E and context C,</t>
  </si>
  <si>
    <t>Local interpretability: AOPC, proxy agreement Table 11 shows the Pearson correlation coefficients between word frequency and global word importance of VMASK-based models.</t>
  </si>
  <si>
    <t xml:space="preserve">Diagnostic property performance, Agreement with human rationales. Table 9: Dataset Consistency results with Spearman ρ. The estimated p-value for the correlation is provided in the brackets. Dataset Consistency (DC). ataset Consistency compares explana-
tions for pairs of instances on the same model. </t>
  </si>
  <si>
    <t>Ground-truth for hidden-state attribution</t>
  </si>
  <si>
    <t>Probing layers: QA functionality, We quantify and visualize a layer’s function as its distribution of importance over the passage words Il.</t>
  </si>
  <si>
    <t>Input Removal</t>
  </si>
  <si>
    <t>Number of mistranslations and categorised in human evaluation</t>
  </si>
  <si>
    <t xml:space="preserve">Task, Rationale IOU F1 </t>
  </si>
  <si>
    <t>Feature correlation, an attention threshold score, explanation utility in the rating
task:</t>
  </si>
  <si>
    <t xml:space="preserve">(1) Node Accuracy (NA): (2) Edge Accuracy (EA) and (3) Proof Accuracy (PA):
Fraction of examples where the generated proof
matches exactly with the gold proof. For examples
with multiple gold proofs, we give credit if the prediction matches exactly with any one of the proofs. We also evaluate Full Accuracy (FA), </t>
  </si>
  <si>
    <t xml:space="preserve">Input Addition and Removal </t>
  </si>
  <si>
    <t>Preference Estimation, correlation ranking but no p-value reported</t>
  </si>
  <si>
    <t>Plausibility and Faithfulness</t>
  </si>
  <si>
    <t xml:space="preserve">We complement the quantitative evaluation based on the standard FLUTE and text generation metrics (see Section 5.4) by conducting an A/B test supervised by the GPT-4o model </t>
  </si>
  <si>
    <t>Explanation Generation Results</t>
  </si>
  <si>
    <t>paired bootstrap test, with different significant test value.</t>
  </si>
  <si>
    <t>4.1 Human Response Replication, t-tests, z-test Comparing human participants' binary choices (e.g., assigning round vs. spiky shapes, or female vs. male gender) against a baseline or between conditions.</t>
  </si>
  <si>
    <t>Only perform ablation of counterfactual explanation which focused on performance.</t>
  </si>
  <si>
    <t>define maximum duplication (MD) as the
largest possible subset of words between</t>
  </si>
  <si>
    <t xml:space="preserve">contrast set, consistency, error rates per condition </t>
  </si>
  <si>
    <t xml:space="preserve">Faithfulness metrics meta-analysis </t>
  </si>
  <si>
    <t>Relative Success, Z test</t>
  </si>
  <si>
    <t xml:space="preserve">Human evaluation results of vague concept
interpretations. </t>
  </si>
  <si>
    <t xml:space="preserve"> 95% confidence interval, Due to the small sample
size of features, we used bootstrap (9999 resamples of the data with replacements, 95% confidence</t>
  </si>
  <si>
    <t>Rationales perturbation</t>
  </si>
  <si>
    <t>Label agreement, Re-training Accuracy Loss</t>
  </si>
  <si>
    <t>Faithfulness, Human eval readability</t>
  </si>
  <si>
    <t>Human Assessment of Explanations</t>
  </si>
  <si>
    <t>Table 2: Human evaluation of contrastive and baseline explanations on 100 SNLI test samples. Average score of two annotators (%).</t>
  </si>
  <si>
    <t>Table 2: Prediction accuracy (%) after adversary attack. 4.6 Stability Analysis. 4.7. Human Evaluation for Explainability</t>
  </si>
  <si>
    <t>Theoritical paper without empirical evaluation on explanation evaluation</t>
  </si>
  <si>
    <t>Human Quality Ratings, indicates that this result is significantly different from the best result in
that column (bolded) with p-value &lt; 0.05, &lt; 0.01, &lt; 0.001 respectively.</t>
  </si>
  <si>
    <t>5.2 Faithfulness Metrics</t>
  </si>
  <si>
    <t>Table 6: Ablation study on the influence of the edit-distance controlled by the threshold of MoverScore.</t>
  </si>
  <si>
    <t>Correlation between the attention distribution and gradient-based FI measures. Table 2: Correlation between sparsegen parameter2 
and entropy of gradient-based input FI ˜H(g ˆy (x)).</t>
  </si>
  <si>
    <t>For comparison, we also conduct
another study to assess the success of humans in using just the word to infer entity type.</t>
  </si>
  <si>
    <t>We compare
TReATE(O, CF) to the ground truth ATEgt (O) and the baseline CONEXP(O). Confidence
intervals ([CI]), computed using the standard deviations of ITEgt (O), TReITE(O, CF), and
CONEXP, are provided in square brackets.</t>
  </si>
  <si>
    <t>Table 1: Faithfulness metric for the generated content and function words through different objectives. Columns are different stress-tests included in the Eq.(1). Table 3: BLEU score of the baseline and the model
trained with Fall. Pairwise bootstrap resampling
(Koehn, 2004) resulted in a p-value &lt; 0.01 which indicates the statistical significance of the observed difference.</t>
  </si>
  <si>
    <t>The results are shown in Table 2 (columns la-
belled GPLA, TTSA and GSII). All variants tend
to agree in the majority of their rankings11 (e.g.,
RESMATCH GP LA vs. RESMATCH GSII F1: Spear-
man’s ρ = 0.95, Pearson’s ρ = 0.96, p&lt;0.001).
When considering MFβ=0.5, the agreement fur-
ther increases (e.g., MFGP LA 0.5 vs. MFGSII 0.5 : Spearman’s ρ = 0.95, Pearson’s ρ = 0.99, p&lt;0.001).</t>
  </si>
  <si>
    <t>Performance evaluation</t>
  </si>
  <si>
    <t>Here we will mainly focus on the concept of simulatability. We can observe from
Fig. 4 that, when the prediction is correct, finetun-
ing on helpful data-points improves the simulator’s
ability to predict the task model’s behavior. Simi-
larly, when the prediction is incorrect, finetuning
on data-points that are harmful (to the task model’s
loss on ground-truth labels) improves the simula-
tor’s predictions of the task model.</t>
  </si>
  <si>
    <t>Language modeling plausibility on rationale-
annotated Lambada. ranslation faithfulness with distractors. “Mean crossovers” refers to the average number of crossovers per rationale, and “Crossover rate” refers to the fraction of rationales that contain at least one crossover.</t>
  </si>
  <si>
    <t>Comp, Suff, word-approximation error. We find
that DIG has a significantly lower mean rank com-
pared to IG (p &lt; .001 on both SST2 and Rotten
Tomatoes 5).</t>
  </si>
  <si>
    <t>Table 3: Regression results for reference-based metrics. Coefficient values for linguistic regressors and R2 values.* denotes p ≥ 0.05 (non-significance). Intercept coefficients are small values and we omit them for clarity.</t>
  </si>
  <si>
    <t>Table 3. evaluate the model improvement over saliency regularization, however the significant test is more on evaluating performance not explanation evaluation. Table 2: Average fraction of tokens required to cause a decision flip across datasets and feature attribution metrics (lower is better). Bold denotes the best method in each dataset. † denotes a significant difference compared to BASELINE using the same attribution metric (Wilcoxon Rank Sum, p &lt; .05)</t>
  </si>
  <si>
    <t xml:space="preserve">Predictive Performance. </t>
  </si>
  <si>
    <t>Failure rate (%F), Fraction of tokens changed (%C), Human and Qualitative Evaluation. Human evaluators ranked CLOSS competitively with BERT-Attack and Hot-Flip, assigning average ranks of 1.54 to CLOSS, 1.68 to Bert-Attack and 2.50 to HotFlip. The difference between CLOSS and HotFlip is statistically significant (one-sided sign test, p-value&lt; 0.0001).</t>
  </si>
  <si>
    <t xml:space="preserve"> Human quality judgements of model rationales and comparison with oracle attributions. Table 8: √λLp for MAW and GI on the VAST test set, with λ = 16384 for all settings. * indicates statistical
significance (p &lt; .05). </t>
  </si>
  <si>
    <t>Table 2. Explanation evaluation using simulation accuracy. We perform significance tests on accuracy
via bootstrap resampling for the comparisons between LATATTR and other approaches. A dagger indicates a method for which our approach outperforms it by a statistically significant margin (p &lt; 0.05).</t>
  </si>
  <si>
    <t>Rationale extraction evaluation using token overlap</t>
  </si>
  <si>
    <t>Figure 7: Relationship between illogical score and
model performance. SROCC, KROCC are correlation
coefficients in which the closer the absolute value is to 1, the stronger the correlation. We scaled the illogical score of BERT proportionally to draw on the same graph with ALBERT.</t>
  </si>
  <si>
    <t>Faithfulness, stability, Log-odds evaluation. Footnote 5. 5We use paired t-test with Holm-Bonferroni correction (Holm, 1979) in all our significance tests, with α &lt; 0.05.</t>
  </si>
  <si>
    <t>human judges8 annotated 50 samples from the</t>
  </si>
  <si>
    <t>et al., 2013).</t>
  </si>
  <si>
    <t>Evaluate plausibility by 14 human judges on 50 annotated samples from SST2 validation set: Adequate Justification, Understandability, and trustability. They computed the
SELFEXPLAIN-XLNet classifier’s accuracy on the
same input and the accuracy dropped and test the performance dropped Statistically significant by Wilson interval test (type of faithfulness significant test).</t>
  </si>
  <si>
    <t>Workshop</t>
  </si>
  <si>
    <t>* indicates significant results (p &lt; 0.01) in McNemar’s Test. CF models outperform nCF models in out-of-domain data, while the opposite is true for in-domain data. This significant is on model generalizability not on the explanation evaluation.</t>
  </si>
  <si>
    <t xml:space="preserve">We evaluated the novel visualization method using
an online survey. </t>
  </si>
  <si>
    <t>Construct various plausibility and faithfulness benchmark on number agreement and gender agreement test</t>
  </si>
  <si>
    <t>Faithfulness AOPC</t>
  </si>
  <si>
    <t>Not an XAI Paper</t>
  </si>
  <si>
    <t xml:space="preserve">Topic Model Interpretability. We measure the strength of the association between
variables using Pearson’s r correlation coefficient
in evaluation 1 (see section 4.1) and Spearman’s ρ
correlation coefficient in evaluations 2–5. </t>
  </si>
  <si>
    <t>Test model performance improvement statistical significant. Proof F1 measures the overlap between the generated proof nodes/edges and the ground truth explanation. Iterative-MultiPRover’s improvement in Full Accuracy over Multilabel-MultiPRover is statistically significant with p &lt; 0.001"</t>
  </si>
  <si>
    <t>we de-fine the faithfulness to be the Jensen–Shannon (JS) divergence of rule-related distributions from train-
ing and test sets</t>
  </si>
  <si>
    <t>Human Evaluation: each
evaluate model to extract the top 3 supporting facts respectively for all 100 EMR samples in the testset, and randomly shuffled the order of the results. Then we invited 3 evaluators with medical backgrounds and having read the guide to determine whether the results conform to medical knowledge. We focus on the comprehensiveness and trustworthiness of
each model.</t>
  </si>
  <si>
    <t>Risk</t>
  </si>
  <si>
    <t>Instance Attribution study</t>
  </si>
  <si>
    <t>Instance Attribution study. They report the Spearman correlation between trained and random models, but do not report the p-value</t>
  </si>
  <si>
    <t>Gold Rationales</t>
  </si>
  <si>
    <t>Rater Study.5.3 Effectiveness of explanations. log-odds of rater accuracy by 0.25,
with a posterior predictive p-value of 0.015</t>
  </si>
  <si>
    <t>Position paper</t>
  </si>
  <si>
    <t>Finally, the probe accuracy does not correlate with task importance as measured by our method (Spearman correlation of 8.5, with a p-value of 0.871).</t>
  </si>
  <si>
    <t>High Risk Domain</t>
  </si>
  <si>
    <t>Figure 5: Evaluating faithfulness of highlighted tokens.</t>
  </si>
  <si>
    <t>Table2. ROAR. 2-sample t-test; p = 0.037</t>
  </si>
  <si>
    <t>Table 1: Human evaluation score. The † and ‡ indicate statistically significant differences of EB-GEC according to McNemar’s test (p &lt; 0.05) against Token-based retrieval and BERT-based retrieval, respectively.</t>
  </si>
  <si>
    <t>Fidelity evaluation and Human evaluation. Table 6. Human evaluation results on Fidelity-C(fidelity
between correct prediction and corresponding interpretation)</t>
  </si>
  <si>
    <t>logits-based metric called Word-level Differential Reaction (WDR). Table 3: 95% CI  we average the performance across 30 different data-splits of the training configuration. Additionally, we report the corresponding 95% confidence intervals.</t>
  </si>
  <si>
    <t>RQ2 human judgements</t>
  </si>
  <si>
    <t xml:space="preserve"> the BART-large
encoder representation outperformed BERT-large
significantly (p &lt; 0.05, bootstrap test. Our sample size of 540 exceeds the necessary
70 to holds a statistical power for between-subject
studies (Bojko, 2013) .</t>
  </si>
  <si>
    <t>Appendix I. But they do not report the p &lt; ??</t>
  </si>
  <si>
    <t>The paper does not generate or evaluate "explanations" as defined in the field of XAI. It treats the summarization system as a black box and proposes a "selector" to pick the best output from several options. Picking the "most faithful" output is a selection/ranking task, not an explanation task.</t>
  </si>
  <si>
    <t>Table 4: Manual evaluation performance between METER and baselines.</t>
  </si>
  <si>
    <t>Correctness of Explanations and Usefulness of Explanations. Confidence intervals (indicated by ± values in Table 1.</t>
  </si>
  <si>
    <t>4.2 Results: There is a significant difference in human predicted labels (i.e., “positive”=1,“negative”=2) be-
tween LimitedInk (M=1.24,SD=0.71) and Random (M=1.32,SD=0.54); t(1169)=2.27, p=0.02.</t>
  </si>
  <si>
    <t>HINT (Hierarchical Interpretable Neural Text classifier), produces hierarchical explanations.. There is a statistical significant but on model performance.</t>
  </si>
  <si>
    <t xml:space="preserve">MRP, it performs hate speech detection robustly in
terms of bias and explainability. </t>
  </si>
  <si>
    <t>explainable ranking evaluation metrics that decompose and quantify the conceptual differences between ground truth and retrieved instances in local and global level.</t>
  </si>
  <si>
    <t>table 2 veracity prediction t-test is about model performance not explanation evaluation</t>
  </si>
  <si>
    <t>The AOPC accuracy(%) comparison of different methods</t>
  </si>
  <si>
    <t>ERASER metrics</t>
  </si>
  <si>
    <t xml:space="preserve">ATIE and accuracy of each syntactic heuristic in the HANS dataset. </t>
  </si>
  <si>
    <t>Almost Stochastic Dominance test on model performance on hans</t>
  </si>
  <si>
    <t>Explanation Eval and Significant testing</t>
  </si>
  <si>
    <t>Explanation Eval</t>
  </si>
  <si>
    <t xml:space="preserve"> Interpretation here refers to making the final scores of a metric easier to understand (e.g., knowing that a score of 0.86 means a translation has no major errors).</t>
  </si>
  <si>
    <t>Use GraphMask. When both ablations are applied,
three of the four models have a significant differ-
ence in accuracy between the regular and shuffled
scenarios (p &lt; 0.001), and the shuffled performance is at or below random chance.</t>
  </si>
  <si>
    <t>Plausibility, Human Survey, calculate 95% CI in Figure 3</t>
  </si>
  <si>
    <t>Table 1. Features found to have statistically significant correlations with labels in training datasets</t>
  </si>
  <si>
    <t>Table 4. We evaluate CAT on three metrics: i) Dist(distance), ii) Fluency, iii) Cont (content preservation). We report p-values from a pairwise t-test of the difference of means between GYC with CAT and MICE with CAT for all metrics.</t>
  </si>
  <si>
    <t>entailment trees as QA explanation. Intermediates (BLEURT, AllCorrect) evaluate the generation quality of the intermediate conclusions</t>
  </si>
  <si>
    <t>Plausibility: We recruit two human annotators from a professional data annotation team to evaluate our generated text in both informativeness and faithfulness. The significant test is on performance metrics not explanation evaluation</t>
  </si>
  <si>
    <t>Significant test on performance evaluation. Not on  Span-level performance of SLR-NLI-eSNLI compared to SLR-NLI Table 5.</t>
  </si>
  <si>
    <t>Quote: "However, a -.30 correlation with IOU@10% and a -.47 correlation with whether an image contains an abnormality are significant." But there is no explicit mention of significant test or p-value</t>
  </si>
  <si>
    <t>For our second question of evaluating the quality of Entailer’s proofs, we compare against explanations generated by Macaw,10 a public, state-of-the-art QA system with explanation capability</t>
  </si>
  <si>
    <t xml:space="preserve">Average correlations measured, they report for one </t>
  </si>
  <si>
    <t>Statistically significant Pearson’s r values (p &lt; 0.05) are in bold. imulation accuracy (%) in predicting GPT-2 outputs and subjective usefulness of explanations for various explanation methods.</t>
  </si>
  <si>
    <t>Does not use known quantitative explanation evaluation, it only provide analysis</t>
  </si>
  <si>
    <t>Experiment 4 (explanations): We evaluate the ca-
pacity of our method to provide post-hoc expla-
nations for the situations when an answer exists
or is provided by another method. In this experi-
ment, we manually evaluate the quality of the ex-
planations provided by our method for a sample of
questions using the gold answers from the dataset</t>
  </si>
  <si>
    <t>interpretability of embedding spaces. two approaches: SPINE, a k-sparse auto-encoder, and SINr, a graph-based method.", "This evaluation is based on a Word Intrusion Task with human annotators."</t>
  </si>
  <si>
    <t>Self Explanation, 4.2 Robustness Evaluation</t>
  </si>
  <si>
    <t xml:space="preserve">conduct counterfactual analysis on our causal graph to distill and mitigate the entity bias. Table 5: Experimental results (unfairness; %) of Relation Extraction </t>
  </si>
  <si>
    <t>Table 2: The mean and standard deviation of necessity and sufficiency scores for target tokens in explicitly hateful case</t>
  </si>
  <si>
    <t>text explanation generation. Measures the explanation with text generation metric ROUGE or BERTSCore. Statistical significant test on this text generation metrics using Wilcoxon’s signed rank test (Table 3 and Table 4)</t>
  </si>
  <si>
    <t>In Phase 3, we varied both the task and inter-
face, which significantly impacted the fraction of
words selected as rationales (Welch’s t = −7.367,
p &lt; .001).</t>
  </si>
  <si>
    <t>Furthermore, to evaluate feature attribution methods in NLP, we consider two situations. For datasets with golden labels of feature score, we use the Area Under Curve (AUC) or Pearson correlation as the performance metric. However no p-value reported in pearson correlation</t>
  </si>
  <si>
    <t>Spearman’s rank correlation of attribution based importance (aggregated by rollout). Figure 3. The
99% confidence intervals are shown as (narrow) shaded areas around each line.</t>
  </si>
  <si>
    <t>Table 7: Human evaluation on 1600 generated FAITH DIAL responses (200 × 8) from different models on the test data. ∗ and ∗∗ indicates that the results are significantly different from the best result in
that column (bolded) with p-value &lt; 0.05, &lt; 0.01 respectively. ‘Coop.’, ‘Abst.’, and ‘Enga.’ means
cooperativeness, abstractiveness, and engagingness, respectively.</t>
  </si>
  <si>
    <t>Explanation as retrieval "Table 4: F1 score for explanation selection in
WorldTree dev-set. "</t>
  </si>
  <si>
    <t>This paper evaluate the attribution metrics and provide boxplot but this is not enough. What could be done: Group Comparison Tests, Post-hoc Pairwise Comparisons, Confidence Intervals</t>
  </si>
  <si>
    <t>4.3 Human Study</t>
  </si>
  <si>
    <t>Summarization rationale. Evidence extraction</t>
  </si>
  <si>
    <t>Again, our noise injection training strategy
achieves statistically significant improvements in
rationale alignment with human annotations (p &lt;
0.01 on the MultiRC and USR Movies, p &lt; 0.05
on the FEVER, and p &lt; 0.1 on ERASER Movies)</t>
  </si>
  <si>
    <t xml:space="preserve"> evaluate the method via a crowd study, a series of cross-domain moral classification comparisons. They perform statistics test, shapiro-wilk test for normality diagnostic only. But do not report rank correlation p-value. Probably because it is average rank correlation</t>
  </si>
  <si>
    <t>evaluation subject–verb number
agreement probing task. Figure 7: spearman rank correlation and its p-value</t>
  </si>
  <si>
    <t>"For Yelp-Polarity, R = −0.41 and p &lt; 0.05, so the correlation is not significant)." Why Is it not significant? Is it a typo</t>
  </si>
  <si>
    <t>Report significant metric but on GLUE metric. No quantitative explanation evaluation metrics. Consistency/Fidelity (MSE):</t>
  </si>
  <si>
    <t>Table 2: Results of the ablation studies performed on the proposed framework, C2D’s key components in terms of macro-F1 score (F1) and Accuracy (A) values. The maximum scores attained are represented by bold-faced values. The † denotes statistically significant findings.</t>
  </si>
  <si>
    <t xml:space="preserve">Human Utility of Machine Rationales. </t>
  </si>
  <si>
    <t>"Table 2: Ablation results for different components of our approach. Most components contribute significantly." But there are no statistical significant</t>
  </si>
  <si>
    <t>Table 1. contain statistical significant test. Table 4: Correlation between automatic metrics and human judgments on the FEVER and SCIFACT datasets computed using Kendall’s Tau.</t>
  </si>
  <si>
    <t>Table 2: Head–dependent DAAM map overlap statistics across the ten most common relations in COCO. Bolded are the dominant maps, where the absolute difference ∆ between mIoD and mIoH exceeds 10 points. All bolded numbers are statistically significant (p &lt; 0.01), with the
Holm–Bonferroni correction applied.</t>
  </si>
  <si>
    <t>Table 2. denotes a significant difference compared to its counterpart on the same FA, p &lt; .01.and Table 3. denotes a significant difference compared to
its counterpart on the same task, p &lt; .01.</t>
  </si>
  <si>
    <t>Correlation between accuracy and
MM-SHAP</t>
  </si>
  <si>
    <t>Table 1: Human-metric correlations. The negative sign (-) before metrics means that their scores are negated to
retain the feature that the higher the scores are the more unfaithful the summaries are.</t>
  </si>
  <si>
    <t>Table 5: Results of the fluency evaluation.</t>
  </si>
  <si>
    <t>Free-text rationales</t>
  </si>
  <si>
    <t>5 Explainable Safety Checking. three aspects of the rewritten utterances</t>
  </si>
  <si>
    <t>Table 2: AUC differences for individual modifications of Base. Small numbers: 95% CIs (bootstrap resampling).</t>
  </si>
  <si>
    <t>Results for the input reconstruction test.
“% Reconst” shows the percentage of instances for
which we managed to form a reconstructed input.
“% Total Unfaith” shows the total percentage of unfaith-
ful NLEs found among all instances in the test set of
each dataset. The highest detected percentage of un-
faithful NLEs for each dataset is in bold.</t>
  </si>
  <si>
    <t>Table 3-5</t>
  </si>
  <si>
    <t>Table 3: The results for sufficiency test on the ORIGINAL and OOD data show the F1 scores on top-k words. IG stands for integrated gradient. Figure 4: Human evaluation results. X-axis is the per-
centage of explanations preferred by human judges.</t>
  </si>
  <si>
    <t>Model Pruning and performance change metric: "Table 2: Accuracy for UDPOS and XNLI after pruning according to importance metrics. For all metrics, we remove the Bottom-K heads (K = |{Hi | φi &lt; 0}|) according to that metric. + and − indicate significant (P &lt; 0.05)
improvement and harm by a pairwise bootstrap test. Model parameters remain fixed for all methods."</t>
  </si>
  <si>
    <t>A guideline and survey paper. Faithfulness refer to information factuality not model consistency</t>
  </si>
  <si>
    <t>Table 4: Rationale selection performance broken down by different types of reasoning no statistical significant</t>
  </si>
  <si>
    <t>Bias analysis for explanation evaluation on counterfactual reasoning</t>
  </si>
  <si>
    <t>Table 3: Comprehensiveness (Comp.), Sufficiency (Suff.), and Accuracy results on the movie review dataset, including bootstrapped 95% confidence intervals of the test set in gray.</t>
  </si>
  <si>
    <t xml:space="preserve">Table 3: Faithfulness and simulatability when executing different explanations for three datasets. Results are from 100 runs but there are confidence intervals or significant test performed. Human eval Results in Fig. 5 indicate that workers struggled
to comprehend attribution scores from LIME com-
pared to MaNtLE. A paired-sample t-test for over-
all preference revealed significance (2.16 vs. 3.44;
p-value &lt; 0.001). </t>
  </si>
  <si>
    <t>Expert Human Evaluation: Preference
Judgments</t>
  </si>
  <si>
    <t>Table 3: User study measuring the quality of the generated NL profiles. We report the average number of satisfactory samples out of 50 samples per domain.</t>
  </si>
  <si>
    <t>able 7: Comparison of chain generation performance on ESD-CoT test set with different fine-tuned backbone models.</t>
  </si>
  <si>
    <t>Table 6: Number of losses, ties, and wins for answers generated based on the user-modified plan compared to the original answers. We use the 77 QTSUMM examples marked as errors attributable to the content planner
for evaluation. The display order of the two answers is randomly shuffled to evaluators during the evaluation.</t>
  </si>
  <si>
    <t>Explainable Metrics not Explainable AI</t>
  </si>
  <si>
    <t>Faithful here refers to data instead of model explanation</t>
  </si>
  <si>
    <t>Causal Tracing, Information Flow Divergence</t>
  </si>
  <si>
    <t>Interchange Interventions, Table 2: The disentanglement score on RAVEL for each interpretability method.</t>
  </si>
  <si>
    <t>Discourse explanation, evaluation: 3.3 DISQ Score</t>
  </si>
  <si>
    <t>status of faithfulness tests in view of
model explainability, characterising them as
self-consistency tests instead</t>
  </si>
  <si>
    <t>FLEUR, an explainable reference-free metric to introduce explainability into image captioning evaluation metrics.</t>
  </si>
  <si>
    <t>Table A.2: Average Kendall-Tau and Spearman’s rank correlations (τ ) and their 95% confidence intervals (CI) for tested evaluation metrics against human judgment. CI Found in Appendix</t>
  </si>
  <si>
    <t>Table 2: Statistical significance of performance dif-
ference with different trainsets. We conduct Mann-Whitney U test on different settings and use Fisher’s method to merge corresponding p-values (see details in Appendix I). Table 4: Pearson Correlation between our Attributability
Score, Human Annotation, and GPT-4 Annotation. By ∗∗, we denote a p-value smaller than 0.001.</t>
  </si>
  <si>
    <t>Human Evaluation We conduct a human evalua-
tion for free-text rationales on Amazon Mechanical
Turk. Figure 2 provide linear regression and 95% CI</t>
  </si>
  <si>
    <t>Proposed Correlational Counterfactual Test
(CCT). There is no significant test performed. Table 6: Values for CCT plus two variants: CCT (Jensen-Shannon) using Jennsen-Shannon divergence in place of TVD, and CCT (Spearman) using Spearman’s rank correlation in place of Pearson.</t>
  </si>
  <si>
    <t xml:space="preserve">We tested whether the explanations have a significant effect by testing whether the difference between the likelihood of these two models is significant using ANOVA. We used a z-test to compare individual performances across the settings (Figure 3). </t>
  </si>
  <si>
    <t>Table 2: Number of partial least squares regression components C [T ] required for a given goodness of fit T , found using the experimental setup described in §2. For example, the C [≥ 0.95R2] column shows the number of components required to reach 95 percent of the maximum goodness of fit for the respective property and model.</t>
  </si>
  <si>
    <t>Intervention-based Training, Negation Intervention</t>
  </si>
  <si>
    <t xml:space="preserve">Paralinguistic Attribution, 4.2 Quantitative Faithfulness Evaluation, 5. Plausibility User Study, Appendix: Table 8 user study visualization, Table 9 and 10 support table 8 statistical testing </t>
  </si>
  <si>
    <t>Agreement between Exact and Approximate Attributions. We apply this test on the distribution of squared errors between predictions and targets on the STS test set (MSE is used as a loss function
at training time). We set the tests ϵ-parameter to
the suggested value of ϵ = 0.3 and choose a sig-
nificance level of p &lt; 0.05, which is not an overly
strict criterion for superiority. This significant test is for performance evaluation not explanation evaluation</t>
  </si>
  <si>
    <t>Quantitative evaluation of fluency and correct-
ness of the CF instances generate. Quantitative evaluation of the diversity of generated counterfactuals with respect to the original questions</t>
  </si>
  <si>
    <t>This is more on data faithfulness rather than model faithfulness of explanation evaluation</t>
  </si>
  <si>
    <t>Figure 1: Bias score of Heritability of IQ over time.
Wikipedia ORES article quality scores are plotted for comparison. Spearman correlation: -0.27, p-value 0.008. Figure 2: Average bias score and ORES score of articles over time. The dark lines are the scores and the shaded area indicates the 95% confidence interval.</t>
  </si>
  <si>
    <t>Table 3: Fairness and quality based on human evaluations of explanations. Smaller Ind-CF means better fairness. * indicates p-value &lt;0.05 for paired t-test.</t>
  </si>
  <si>
    <t>Model and Human Explanations Agreement</t>
  </si>
  <si>
    <t>Table 3: LJP results on CAIL. Among them, the underline scores are the state-of-the-art performances in LJP but lacking explainability, and the results in bold perform second only to NeurJudge but with an explainable rationale.
Results of LJP baselines are quoted from (Yue et al., 2021). Table 4: Human evaluation on charge prediction.</t>
  </si>
  <si>
    <t>Proxy Evaluation we compute: 1. Agreement with Human Rationales: Precision, Recall, and F-1 scores
computed against human rationales; 2. Minimal-
ity: the length of the contrastive phrasal highlights,
measured as the number of highlighted tokens. Case Study 5 For the application-
grounded evaluation I, which contains a total of 150 annotations per language, the significance level is p = 0.1. Case Study 6: For this study, which
contains a total of 250 annotations, the significance level is p = 0.05.</t>
  </si>
  <si>
    <t>Table 13: Spearman correlation(%) of Vicuna-7B with
different prompts for faithfulness rating. The highest
correlation on each dataset is in bold.</t>
  </si>
  <si>
    <t>Dataset benchmark for Legal XAI NLP, No Model Explanation evaluation</t>
  </si>
  <si>
    <t>Evaluate model performance and uncertainty</t>
  </si>
  <si>
    <t>"Faithfulness" refers to Factuality, not Explanation Fidelity. The paper focused on decoding not explanation</t>
  </si>
  <si>
    <t>Faithfulness here refers to data factuality not model explanation evaluation</t>
  </si>
  <si>
    <t>Table 8: Correlation analysis between human evaluation and three faithfulness metrics.</t>
  </si>
  <si>
    <t>5.3 Quantitative Evaluation, Explanation accuracy, Relevance, Coverage and Overlap. Table 5: How often is PAS ’s explanations are more relevant compared to the baselines with P-value</t>
  </si>
  <si>
    <t>A major concern in using deep learning based generative models for document-grounded dialogs is the potential generation of responses that are not faithful to the underlying document.</t>
  </si>
  <si>
    <t>Table 2. Statistical testing on human data explanation agreement but not focused on model explanation evaluation. We report averaged κ between the models’ focus and the experts’ annotations across the case-allegation-article pairs Table 3 does not have significant testing, maybe because not the focus of the paper</t>
  </si>
  <si>
    <t>Table 2: Evaluation for task accuracy (Acc. (%) ↑), bias (F1 ↓), and faithfulness for task rationales: Comprehensiveness (Compre. ↑) and Sufficiency (Suff. ↓)</t>
  </si>
  <si>
    <t xml:space="preserve">Mechanistic interpretability, Relative importance (RI) measurements, Indirect effect </t>
  </si>
  <si>
    <t>Figure 5: Agreement between human rationales and model-based explanation</t>
  </si>
  <si>
    <t>Method-method agreement and Method-Human agreement</t>
  </si>
  <si>
    <t>Table 2: Fleiss’ Kappa and other statistics of human evaluations on ChatGPT and InstructGPT-3 results. Table 3: Pearson’s correlation coefficients between human evaluation and existing automatic evaluation results on ChatGPT explanations.</t>
  </si>
  <si>
    <t>Table 1: Probing scores for GPT-2 models on syn-
thetic reasoning tasks with different k. Table 3: Pearson correlation coefficient between our
probing scores and test accuracy for 4-shot LLaMA.</t>
  </si>
  <si>
    <t>This paper focus Knowledge Grounded Conversation (KGC), rather than model faithfulness</t>
  </si>
  <si>
    <t>Table 5. The p-values in this paper are primarily related to performance and utility evaluation. Table 7: Flan-T5 and Flan-T5Few-Shot ∆G performance across professions in En-Es and their difference (∆) but no statistical significant</t>
  </si>
  <si>
    <t>we measure the correlation strength between the probability of a situation belonging to a given topic against how likely norms will contradict for that given situation.</t>
  </si>
  <si>
    <t>Theoritical paper</t>
  </si>
  <si>
    <t>we use a method that is used for rater agreement, reporting two numbers: the raw agreement and Cohen’s kappa coefficient</t>
  </si>
  <si>
    <t>Table 4: Performances when the model gives higher
attribution scores to rationale words or not.</t>
  </si>
  <si>
    <t>automatic attribution detection techniques. We build upon previous work on grounding and factual consistency</t>
  </si>
  <si>
    <t>Rationale Alignment Task</t>
  </si>
  <si>
    <t>5.5 Evidence Extraction Results, Table 7 performance evaluation have significant testing but table 8 and 10 are not.</t>
  </si>
  <si>
    <t>Plausibility evaluation from bounding box annotation</t>
  </si>
  <si>
    <t>Evaluation Metrics For evaluation, we compute
the true positive rate (TPR) and false positive rate
(FPR) using the threshold-based detector’s classifi-
cation at different thresholds. Table 1: Human survey results comparing the Top-100
subsets selected using our influence function approach with Random-100 subsets. Significant portions of Top-100 samples are mislabeled compared to Random-100</t>
  </si>
  <si>
    <t>SHC (Self-harm Classification), CMSE
(Casual Mention Span Extraction), SISE (Serious Intent Span Extraction), RG (Rationale Generation). We conducted statistical evaluations compar-
ing SHC with CESM-100 to its ablated counter-
part (without CESM-100) across Llama, Mental-
Alpaca, and Mental-Llama configurations. Paired
t-tests (Dietterich, 1998) were chosen over Hoeffd-
ing inequality (Hoeffding, 1994) because the ag-
gregated F1 scores are derived from non-i.i.d. data,
making paired t-tests more suitable for capturing
dependent relationships across runs. Results from
10 runs confirmed statistically significant F1 im-
provements, with p-values below 0.05 (e.g., Llama:
p = 0.0198, Mental-Alpaca: p = 0.017, Mental-
Llama: p = 0.009). For other setups, our proposed
multitask model demonstrated substantial improve-
ments: +12% F1 over zero-shot, +7% F1 over few-
shot, and +4% F1 over fine-tuned setups (averaged
across models)</t>
  </si>
  <si>
    <t>1) Aspect Identification Accuracy (AIA) and (2) Aspect Explanation Validity (AEV).</t>
  </si>
  <si>
    <t>(a) Triplet-F1 ↑, (b) % ill triplet ↓</t>
  </si>
  <si>
    <t>Detection Rate, Average Area Detected</t>
  </si>
  <si>
    <t>Attributing Model component in MoE, Semantic-Driven Attention Head and
Expert Selection Mechanism. 
semantic-driven routing is validated through strong
temporal correlations between attention heads and
expert selection (r = 0.68, p &lt; 0.0014), indicat-
ing that attention mechanisms guide experts toward
task-relevant features.</t>
  </si>
  <si>
    <t>evaluate explanation faithfulness, we measure the change of model generation behavior from two perspectives. Word Frequency: BLEU, Semantic Similarity: SentenceBert, Probability Measurement: Probability Ratio (PR), and KL</t>
  </si>
  <si>
    <t>Benchmark Dataset contribution with empirical evaluation Figure 8</t>
  </si>
  <si>
    <t>AOPC, LogOdds. In this research, we conduct 500 independent runs for each method to perform comprehensive statistical tests, comparing the AOPC and LOdds metrics of our top-performing proposed method, AGF, against the top benchmark methods listed in Tab. 1 and Tab. 2, using τ = 0.5. As shown in
Tab. 4 and Tab. 5, the AGF method consistently
outperforms these benchmark techniques across all
datasets, except for the Yelp dataset.</t>
  </si>
  <si>
    <t>Figure 4: Top – The average faithfulness of the autoformalisation process across different LLMs</t>
  </si>
  <si>
    <t>Attribution Categorization, Gold rationale on KG</t>
  </si>
  <si>
    <t>This paper focus on evaluating performance for synthetic data in context attribution</t>
  </si>
  <si>
    <t xml:space="preserve">To this end, we engage human annotators to manually analyze 200 generations from selected methods across the following dimensions. Each generation is rated on a 5-point Likert scale for each dimension. </t>
  </si>
  <si>
    <t>Table 12: Perplexity Comparison of COLLATE and Baseline Methods for generating ground-truth (GT) answers
conditioned on rationales</t>
  </si>
  <si>
    <t>To evaluate LAQuer citations, we sample ten
facts from the facts extracted from the output, as
described in Section 5.1. We then calculate Au-
toAIS (Gao et al., 2023a), which is an entailment
metric commonly used for evaluating attribution.</t>
  </si>
  <si>
    <t>Interpretability is evaluated at
the label level from two complementary aspects:
truthfulness and distinguishability.</t>
  </si>
  <si>
    <t>Results are averaged over five runs,
with statistical significance determined at p &lt; 0.05
by t-test. However this significant is performed on performance evaluation not focused on evaluation explanation. we use GPT-4 to evaluate 1000 randomly selected samples. For human assessment, 15 professional postgraduates rate 100 samples, achieving moderate intra-class (0.637) and inter-class (0.608)agreement, indicating reasonable consistency despite the task’s subjectivity.</t>
  </si>
  <si>
    <t xml:space="preserve"> Intermediate Step Evaluation </t>
  </si>
  <si>
    <t>Table 1: Evaluation results of task performance (Acc) and normalized rationale faithfulness scores (Faith)</t>
  </si>
  <si>
    <t>We conduct a human evaluation for the interpretability of the transformed text from three aspects: (1) Clarity (2) Coherence: (3) Completeness:</t>
  </si>
  <si>
    <t>We define importance as the attention weights (α in Figure 3) between the head node and tail nodes learned by the model to test its explanation performance.</t>
  </si>
  <si>
    <t>Verification by Head Ablation Applying a two-sample Kolmogorov-Smirnov test to ascertain the differences in their distributions</t>
  </si>
  <si>
    <t>Rationale Accuracy (RA): The percentage of questions when the verifier selects the valid solution from the set of candidates.</t>
  </si>
  <si>
    <t xml:space="preserve">We investigate the variations in the model’s per-
formance as a function of attribution scores for relations or attributes. </t>
  </si>
  <si>
    <t>Comp, Suff</t>
  </si>
  <si>
    <t>We report two response-level metrics: faithfulness and informativeness.</t>
  </si>
  <si>
    <t xml:space="preserve">Faithfulness. Inspired by explainability evaluation metrics within the vision domain </t>
  </si>
  <si>
    <t>Table 5: Pearson correlation between response quality and position of annotated evidence. * indicates significance
(p &lt; 0.05). Table 6: System-level Pearson correlation between response quality and evidence quality for citation and reduced-citation (8 score pairs per dataset). For Avg, correlation was computed over the average scores (right most columns in Table 3).</t>
  </si>
  <si>
    <t>Not an XAI paper and explanation evaluation paper</t>
  </si>
  <si>
    <t>correctness, and fluency of self-citation and MIRAGE on ELI5 when using self-citation instruction and standard prompts of Table 9</t>
  </si>
  <si>
    <t>(3) Faithfulness of the Generated
Self-Reflective Rationales: We make the first ef-
fort to measure the faithfulness of the provided
self-reflective rationales. Table 3: The faithfulness evaluation results for self-reflective rationales. No significant test on table 3</t>
  </si>
  <si>
    <t>we use four metrics which are factuality (FA), faithfulness to Hate Speech (FH), faithfulness to Claim (FC) and faithfulness for Evidence (FE), and Diversity (D).</t>
  </si>
  <si>
    <t>Estimated effects of discovered latent topics with 95% CI. Table 2: Results of Validation Study 1, 2, and 3. For each study, win rates are calculated as the share of com- parisons with arguments of other origins that are won. Confidence intervals are calculated based on 500 bootstraps of the individual comparison outcomes. Table 4: Summary statistics of the causal effect estimation of the different topics discovered in the analysis of arguments for veganism and inferred using CVXPY.</t>
  </si>
  <si>
    <t>Table 1 contain significant test but for performance evaluation. Figure 5: Model performance w.r.t. Noise-to-Signal Ra-
tio (NSR) ratio.</t>
  </si>
  <si>
    <t>1 Intrinsic Evaluation: Hallucination Detection and Correction Suggestion. Table 2: User subjective ratings of systems after completing navigation sessions.  (Bonferroni correction for 12 tests comparing 4 systems with “No communication”) and p &lt; 0.05, respectively, as determined by a two-related-sample t-test.</t>
  </si>
  <si>
    <t>Benchmark dataset contribution</t>
  </si>
  <si>
    <t>Human Evaluation: To measure how often the
method generates true adversarial examples, we
perform a human evaluation in which the generated instances of each dataset are labelled.</t>
  </si>
  <si>
    <t>Reliability through Subset consistency and Inter-rater reliability, Validity through concurrent
validity and construct validity,</t>
  </si>
  <si>
    <t>Table 5: Analysis of Explainability using Occlusion - F1. Table 6: Analysis of Lower Court Bias using LCI - Results of Positive and Negative MES Scores, and
Label Flips across the three languages. Labels 0 and 1 indicates dismissal and approval respectively.
Lower scores indicate a less biased model. Subscript indicates the standard deviation values.</t>
  </si>
  <si>
    <t>to verify the effectiveness of
our framework in improving models’ interpretabil-
ity, following (Chen and Ji, 2020), we adopt the
area over the perturbation curve (AOPC)</t>
  </si>
  <si>
    <t xml:space="preserve">Answer and Question Token Co-occurences, Removing Subgraphs </t>
  </si>
  <si>
    <t>The tests confirm our initial observations
that most distributions from one group are significantly different from the other group (25/36 pairs, with p &lt; .05) and that no significant differences are found within groups. Table 6: Chi-Square test results for comparing different methods on their preference for stop words, punctuation and POS. Asterisk (*) indicates statistical significance at the 0.05 level. A dark background visually highlights the hypothesised Group 1 – Group 2 comparisons.</t>
  </si>
  <si>
    <t>Explainable AI focus on dataset construction, Figure 6: Agreement results for Approach 2. The figure is based on the results for BERTweet, but the
results are almost identical for T. RoBERTa. Note that human presents the IAA scores from Figure 3.</t>
  </si>
  <si>
    <t>To quantify the interpretability of the components, we use the word intruder test, performed both by humans and by large language models. We propose to use the automated version of the word intruder test as a fast and inexpensive way of quantifying vector interpretability without the need for human effort.</t>
  </si>
  <si>
    <t>Table 3: Plausibility (the higher the better) and
faithfulness (the lower the better. Figure 4 and Figure 5 NS stands for the no significant difference.
*, **, *** stand for p-value &lt;.05, .01 and .001.</t>
  </si>
  <si>
    <t>Figure 5 and 10: Comparison of gaze-based and rationale-
based ranking of explanation methods for English
(EN), Spanish (ES), and German (DE) – top to bot-
tom. Ranks 1 to 5 indicate model explanations most
to least aligned with human importance scores.
Spearman rank correlation rs at p ≤ 0.01 (∗∗),
p ≤ 0.05 (∗), or not significant (ns). Results are
based on text samples filtered by correct human
answers.</t>
  </si>
  <si>
    <t>2.2 Saliency Method Evaluation</t>
  </si>
  <si>
    <t>We evaluate the extracted rationales using auto-
matic (§5.4.1) and human measures (§5.4.2). Table 3: Human evaluation of rationales generated by
RATION and InstructGPT. Bold indicates significant differences (p&lt;0.05, paired bootstrap resampling).</t>
  </si>
  <si>
    <t>4.3 Evaluation of Explanations, Interaction Analysis, Perturbation Analysis. Appendix B Perturbation details We further test if BiLRP AUPC scores
are significantly lower than any of the other com-
parison methods and find this to be the case with
p ≤ 0.05 for all investigated models and datasets.</t>
  </si>
  <si>
    <t xml:space="preserve">Calculating Correlations. We report our results
in terms of Spearman’s ρ. By calculating the
influence score of every case in the training corpus
on every decision in the test corpus, we can
begin to quantify the use of precedent in neural
models of legal outcome prediction by studying
the correlation of the influence scores with our
taxonomy of precedent; </t>
  </si>
  <si>
    <t>Evidence Retrieval</t>
  </si>
  <si>
    <t>Table 10: Suff and Comp difference between multilingual BERT (mBERT) and monolingual BERT. Contain p-values of Faithfulness disparity on FAs and languages, but does not mention what statistical testing</t>
  </si>
  <si>
    <t>We tested correlation between the three metrics on seed-based dimensions for the Grand et al. (2022) data and obtained highly significant correlations (p ≪ 0.0001, r = 0.972 for pairwise rank accuracy, r = 0.971 for extended pairwise rank accuracy).</t>
  </si>
  <si>
    <t>Paper per year</t>
  </si>
  <si>
    <t>XAI and Eval XAI</t>
  </si>
  <si>
    <t>Use SigTest when Eval XAI</t>
  </si>
  <si>
    <t>High Risk Domain wo Statsig</t>
  </si>
  <si>
    <t>High Risk Domain w Statsig</t>
  </si>
  <si>
    <t>SHC (Self-harm Classification), CMSE
(Casual Mention Span Extraction), SISE (Serious Intent Span Extraction), RG (Rationale Generation). We conducted statistical evaluations comparing SHC with CESM-100 to its ablated counterpart (without CESM-100) across Llama, Mental-
Alpaca, and Mental-Llama configurations. Paired t-tests (Dietterich, 1998) were chosen over Hoeffding inequality (Hoeffding, 1994) because the aggregated F1 scores are derived from non-i.i.d. data, making paired t-tests more suitable for capturing dependent relationships across runs. Results from
10 runs confirmed statistically significant F1 im- provements, with p-values below 0.05 (e.g., Llama:
p = 0.0198, Mental-Alpaca: p = 0.017, Mental-Llama: p = 0.009). For other setups, our proposed multitask model demonstrated substantial improve-
ments: +12% F1 over zero-shot, +7% F1 over few-shot, and +4% F1 over fine-tuned setups (averaged across models)</t>
  </si>
  <si>
    <t>4.3 Evaluation of Explanations, Interaction Analysis, Perturbation Analysis. Appendix B Perturbation details We further test if BiLRP AUPC scores are significantly lower than any of the other comparison methods and find this to be the case with p ≤ 0.05 for all investigated models and datasets.</t>
  </si>
  <si>
    <t>Appendix I. We use Student’s t test to exam the superior performance of the best robustness-based methods against previous methods. The double checkmark represents a confidence level of 95% and a single checkmark for a confidence level of 90%. Result in Table 10 and 11</t>
  </si>
  <si>
    <t xml:space="preserve">faithfulness </t>
  </si>
  <si>
    <t>plausibility</t>
  </si>
  <si>
    <t>significant test only on correlation, no other significant test reported. Table 3: Spearman’s correlation between human scores and automatic scores in different OOD datasets. All correlation coefficients are significant with ρ &lt; 0.001, except for Auto-J on SICK.</t>
  </si>
  <si>
    <t xml:space="preserve">Human Attribution Evaluation, Our model demonstrates a strong Pearson correlation with the clinician MOS (r = 0.866, p &lt; 0.001), indicating close alignment with average expert judgment. </t>
  </si>
  <si>
    <t xml:space="preserve"> Human Annotation and Evaluation. We begin our failure case analysis with a human annotation study that evaluates the correctness of the generated SCEs. Our goal was to test if the SCE validity correlates with its correctness. We report the correlation results as (coefficient, p-value), where r denotes Pearson correlation, ρ denotes Spearman correlation, and p is the associated two-tailed significance level.</t>
  </si>
  <si>
    <t>We deploy the faithfulness evaluation protocol described in §3, where we prompt M∗ and M to answer directly, without reasoning, and then com-
pute how often their answers differ. Scatter plot of correlation between efficacy and faithfulness. Scores reported are averages over 30 instances used for LR selection,</t>
  </si>
  <si>
    <t>Human Evaluation of Concept Representations. As part of our method, concepts are annotated by
an LLM. We recruited six human annotators to validate this step and asked each to annotate 400 concepts. Prediction Strength Our explanations rely on a white-box model trained to imitate preference decisions. Hacking Judges with Explanations To test whether our explanations identify concepts that truly matter to LLM judges, we use them to guide response generation &lt;faithfulness&gt;. Improving Judges with Explanations We apply our explanations to resolve tie cases where LLM-as-a-Judge models give inconsistent predictions depending on response order. &lt;utility&gt;. sig-test: is statistically significant after Bonferroni correction (α &lt; .006).</t>
  </si>
  <si>
    <t>We systematically evaluate the im-
pact of editing each identified key attention head on the sampled GQA data. Table 18: Performance difference ∆(pp) between the attention head rescaling method and baselines. Statistical significance is indicated with asterisks. *** indicates p &lt; 0.001 (extremely significant).</t>
  </si>
  <si>
    <t xml:space="preserve">dataset-level faithfulness as the conditional mean faithfulness generation (cMFG) score. Overall,
Gemini-2.0-Flash with our decisiveness prompt
achieved the highest correlations of 0.665 (p = 0.000) and 0.643 (p = 0.000), respectively, con-
firming the quality of our LLM-based decisiveness scores. In contrast, use of the original decisive-
ness scoring setup in Yona et al. (2024) achieved correlations of only 0.210 (p = 0.000) and 0.063
(p = 0.03), respectively. Our final scoring paradigm yielded the highest Pearson and Spearman correlations of 0.680 (p = 0.000) and 0.663 (p = 0.000), respectively, and the lowest MSE of 0.635, </t>
  </si>
  <si>
    <t>Relative Success, Z test, We then reran R2E-cor inference on the
full dataset, replacing evidence labelled as irrele- vant with the NULL embedding, yielding a small
but significant improvement (</t>
  </si>
  <si>
    <t>Attributing Model component in MoE, Semantic-Driven Attention Head and
Expert Selection Mechanism. 
semantic-driven routing is validated through strong temporal correlations between attention heads and expert selection (r = 0.68, p &lt; 0.0014), indicating that attention mechanisms guide experts toward task-relevant features.</t>
  </si>
  <si>
    <t>Others</t>
  </si>
  <si>
    <t>Free-Text</t>
  </si>
  <si>
    <t>Concept</t>
  </si>
  <si>
    <t>We evaluate the extracted rationales using automatic (§5.4.1) and human measures (§5.4.2). Table 3: Human evaluation of rationales generated by
RATION and InstructGPT. Bold indicates significant differences (p&lt;0.05, paired bootstrap resampling).</t>
  </si>
  <si>
    <t>The tests confirm our initial observations that most distributions from one group are significantly different from the other group (25/36 pairs, with p &lt; .05) and that no significant differences are found within groups. Table 6: Chi-Square test results for comparing different methods on their preference for stop words, punctuation and POS. Asterisk (*) indicates statistical significance at the 0.05 level. A dark background visually highlights the hypothesised Group 1 – Group 2 comparisons.</t>
  </si>
  <si>
    <t>Human Evaluation We conduct a human evaluation for free-text rationales on Amazon Mechanical
Turk. Figure 2 provide linear regression and 95% CI</t>
  </si>
  <si>
    <t>Table 2: Statistical significance of performance difference with different trainsets. We conduct Mann-Whitney U test on different settings and use Fisher’s method to merge corresponding p-values (see details in Appendix I). Table 4: Pearson Correlation between our Attributability
Score, Human Annotation, and GPT-4 Annotation. By ∗∗, we denote a p-value smaller than 0.001.</t>
  </si>
  <si>
    <t>Utility</t>
  </si>
  <si>
    <t>UNK</t>
  </si>
  <si>
    <t>Proxy Evaluation we compute: 1. Agreement with Human Rationales: Precision, Recall, and F-1 scores
computed against human rationales; 2. Minimality: the length of the contrastive phrasal highlights,
measured as the number of highlighted tokens. Case Study 5 For the application-grounded evaluation I, which contains a total of 150 annotations per language, the significance level is p = 0.1. Case Study 6: For this study, which
contains a total of 250 annotations, the significance level is p = 0.05.</t>
  </si>
  <si>
    <t xml:space="preserve">Table 3: Faithfulness and simulatability when executing different explanations for three datasets. Results are from 100 runs but there are confidence intervals or significant test performed. Human eval Results in Fig. 5 indicate that workers struggled to comprehend attribution scores from LIME compared to MaNtLE. A paired-sample t-test for overall preference revealed significance (2.16 vs. 3.44; p-value &lt; 0.001). </t>
  </si>
  <si>
    <t>Again, our noise injection training strategy achieves statistically significant improvements in
rationale alignment with human annotations (p &lt; 0.01 on the MultiRC and USR Movies, p &lt; 0.05
on the FEVER, and p &lt; 0.1 on ERASER Movies)</t>
  </si>
  <si>
    <t>Use GraphMask. When both ablations are applied, three of the four models have a significant difference in accuracy between the regular and shuffled scenarios (p &lt; 0.001), and the shuffled performance is at or below random chance.</t>
  </si>
  <si>
    <t xml:space="preserve">Topic Model Interpretability. We measure the strength of the association between variables using Pearson’s r correlation coefficient in evaluation 1 (see section 4.1) and Spearman’s ρ correlation coefficient in evaluations 2–5. </t>
  </si>
  <si>
    <t>Comp, Suff, word-approximation error. We find that DIG has a significantly lower mean rank compared to IG (p &lt; .001 on both SST2 and Rotten Tomatoes 5).</t>
  </si>
  <si>
    <t>The results are shown in Table 2 (columns labelled GPLA, TTSA and GSII). All variants tend to agree in the majority of their rankings11 (e.g.,
RESMATCH GP LA vs. RESMATCH GSII F1: Spearman’s ρ = 0.95, Pearson’s ρ = 0.96, p&lt;0.001). When considering MFβ=0.5, the agreement further increases (e.g., MFGP LA 0.5 vs. MFGSII 0.5 : Spearman’s ρ = 0.95, Pearson’s ρ = 0.99, p&lt;0.001).</t>
  </si>
  <si>
    <t>Faithfulness</t>
  </si>
  <si>
    <t>Plausibility</t>
  </si>
  <si>
    <t>Primary claim_type</t>
  </si>
  <si>
    <t>Secondary claim_type</t>
  </si>
  <si>
    <t>Illustrative Insight</t>
  </si>
  <si>
    <t>Model Comparison, Robustness</t>
  </si>
  <si>
    <t>Illustrative Insight, Model Comparison</t>
  </si>
  <si>
    <t>recommended test</t>
  </si>
  <si>
    <t>McNemar’s test binary correctness, paired t-tests for probability deltas</t>
  </si>
  <si>
    <t>Null Hypothesis from pearson correlation</t>
  </si>
  <si>
    <t>Bias Assessment, The attention-bias correlation remains significant (ρ &lt; 0.001, r = 0.43) after removing all length-related effects.</t>
  </si>
  <si>
    <t>The differences between all models were statistically significant under bootstrapping with a p-value threshold of 0.01</t>
  </si>
  <si>
    <t>Table 7: Transferability analyse for RD (Rationale
Distillation)  contain p-value. No mention what kind of statistical testing methods</t>
  </si>
  <si>
    <t>Table 1: The correlation coefficients between different metrics and model inference accuracy. The correlation coefficients averaged among various models in few-shot tasks. Multiplicity Barrier</t>
  </si>
  <si>
    <t>Table 1 and Table 3: : The following table presents the Pearson and Kendall Tau correlations between human annotator and SOTA evaluators for explanations in the combined dataset. All the p-values are less than 0.05.</t>
  </si>
  <si>
    <t>Figure 5: Spearman’s rank correlations between different semantic concepts.</t>
  </si>
  <si>
    <t>Table 1: Statistics of the experimental datasets. Pearson coeff and p-value. Not their proposed method</t>
  </si>
  <si>
    <t>Evaluated Models for CoT Faithfulness
in LLMs</t>
  </si>
  <si>
    <t xml:space="preserve">Figure 3: Main results from the logistic regression coefficient analysis, and perception disagreements. otted lines separate feature categories (Linguistic, Objective Interpretation, etc.). Significance
levels: * p &lt; 0.05; ** p &lt; 0.01; *** p &lt; 0.001. </t>
  </si>
  <si>
    <t>Influence functions</t>
  </si>
  <si>
    <t xml:space="preserve"> residualized similarity (RS) system</t>
  </si>
  <si>
    <t>Gender and Age prediction with Explanation, Our analysis focuses on two key aspects: demo-
graphic targeting and fairness. a binomial test assessing whether the
model’s gender predictions are significantly better
than random guessing (50%).</t>
  </si>
  <si>
    <t>Fine-Grained Attribution Evaluation</t>
  </si>
  <si>
    <t>stat test on performance evaluation: p &lt; .05 in a Wilcoxon rank-sum test. UpSet plots (Lex et al., 2014) of Shapley interactions for the global explanation games</t>
  </si>
  <si>
    <t>examine and mitigate these biases, we focus on the</t>
  </si>
  <si>
    <t>Natural Direct Effect (NDE) as a means to quantify</t>
  </si>
  <si>
    <t>the direct contributions of each modality.</t>
  </si>
  <si>
    <t>To systematically examine and mitigate these biases, we focus on the Natural Direct Effect (NDE) as a means to quantify the direct contributions of each modality.</t>
  </si>
  <si>
    <t>Figure 4: The effect sizes when the explanation-generating LLMs, the target models, and the datasets as the control variables, respectively.</t>
  </si>
  <si>
    <t>Table 1: The average ATE of positive and negative
sentiment words as treatments</t>
  </si>
  <si>
    <t>When the system
was correct, participant accuracy improved mod-
estly across all conditions. However, when the
system was incorrect, accuracy dropped in every
condition, especially in Condition 2 (Rewrite + Ra-
tionale), where the average accuracy decrease was
statistically significant (t = −4.23, p = 0.0003;
post-hoc t-test on accuracy deltas).</t>
  </si>
  <si>
    <t>flip verification</t>
  </si>
  <si>
    <t>average rating of the two human solvers against the ER for the same puzzles resulted in a Spearman’s Ranking Correlation Coefficient (ρ) of 0.86994. Multiplicity Barrier (or correlation without p-value mention)</t>
  </si>
  <si>
    <t>Figure 4: Scatter plot with a linear regression line fitting the relationship between QA - EM and Attribution - F1</t>
  </si>
  <si>
    <t>PROOF-Score, a new metric for evaluating domain models’ explainability,</t>
  </si>
  <si>
    <t>Table 1: Attribution Accuracy on QuoteSum dataset</t>
  </si>
  <si>
    <t>Statistical methods on performance evaluation. The Incomplete Rigour</t>
  </si>
  <si>
    <t>Calculating Memory Strength. Correlation between Context Faithfulness and Memory Strength</t>
  </si>
  <si>
    <t>Table 2: Spearman correlation analysis. We examine the relationship between F1 scores (pred-ans vs. gold-ans) and norm-entropy (generation distribution) under both w/o and w/ context settings (p ≪ 0.05 for all models).</t>
  </si>
  <si>
    <t xml:space="preserve">Figure 4: ECE of finetuned and base models. ∆F T −Base. The Pearson Coefficient and
p-value from the significance test are 0.9681 and
2.462e−10 respectively, portraying a very distinct
linear correlation. </t>
  </si>
  <si>
    <t>measure the similarity between model-generated explanations and the ground truth in the test set.</t>
  </si>
  <si>
    <t xml:space="preserve">Table 4: Analysis of the CR of reasoning paths over CWQ. To verify the faithfulness
of our step-wise method, we conduct an error anal-
ysis regarding the whole reasoning path generation
using RoG (Luo et al., 2024). </t>
  </si>
  <si>
    <t>Circuit ablation results for (a) correctness
and (b) robustness on the symbolic dataset</t>
  </si>
  <si>
    <t>Figure 4: Average logits (%) of key tokens faithful
to contextual knowledge, comparing base models and models aligned using our Context-DPO</t>
  </si>
  <si>
    <t>CoT Faithfulness Evaluation</t>
  </si>
  <si>
    <t>Results of appraisal concept modulation by intervening at layer 9 hidden states of Llama 3.2 1B. Table 3: Comparing the average appraisal values the LLM perceived for correctly classified vs misclassified samples with different emotion labels. All values re- ported here have p-value less than 0.001. Incomplete Rigour</t>
  </si>
  <si>
    <t>Figure 4: OEG task. Human expert evaluation of GPT4o-mini generated answers.</t>
  </si>
  <si>
    <t>Analysis of Model Explanations. Comparison of the supervised and unsupervised model regarding evidence match on the test set showing the numbers of empty, exact match, proximate match and no match.</t>
  </si>
  <si>
    <t xml:space="preserve">Figure 3: The comparisons between GenDiE and
GenDiEanswer-level across iterations. </t>
  </si>
  <si>
    <t>The alignment between each metric with human judgment in evaluation.</t>
  </si>
  <si>
    <t>Table 5: PPCs between individual α and two evaluators: (1) Our automatic evaluator and (2) Individual β.</t>
  </si>
  <si>
    <t>analyze the averaged
indirect effects (AIE) per (token, layer) position</t>
  </si>
  <si>
    <t>count the generated tokens to evaluate reasoning
efficiency while maintaining performance.</t>
  </si>
  <si>
    <t xml:space="preserve"> Table 2: Attribution sensitivity (CAS) results.</t>
  </si>
  <si>
    <t>Pearson, Kendall-Tau, Spearman correlation
coefficients on AttriData test dataset. Multiplicity barrier</t>
  </si>
  <si>
    <t xml:space="preserve"> (i) e∗ is in the
top two examples with the highest IA score (top-
2 accuracy), and (ii) e∗ gets the highest IA score
among the input examples (top-1 accuracy).</t>
  </si>
  <si>
    <t>Table 3 Spearman correlation, *: p &lt; .05, **: p &lt; .01, ***: p &lt; .001 and Table 4 Spearman correlation, *: p &lt; .05, **: p &lt; .01, ***:
p &lt; .001</t>
  </si>
  <si>
    <t>Through human evaluation, we compare the overall quality of explanations generated by EXPERT and FLEUR, the only two metrics that are both explainable and reference-free.</t>
  </si>
  <si>
    <t>Table 4: Human evaluation on NLI vs. Beam and HVM vs. Beam. Figure 4: Performance differences (∆) on quality (BLEU) and faithfulness (FactKB)</t>
  </si>
  <si>
    <t>Figure 5: Interpretability results for the 5 prompting techniques across 3 commonsense reasoning benchmarks</t>
  </si>
  <si>
    <t>ERASER Metrics</t>
  </si>
  <si>
    <t xml:space="preserve">We performed a user study aimed at studying
whether GrASPlite is viewed as interpretable by
human users. We focus on the question of lo-
cal explanation, namely when considering a spe-
cific instance, </t>
  </si>
  <si>
    <t>Accuracy of the explanation structure</t>
  </si>
  <si>
    <t>Extraction F1-scores</t>
  </si>
  <si>
    <t xml:space="preserve">Average confound influence difference (CID)
of different models in the TextLen task.Table 2: Test set performance (accuracy) of different deconfounding approaches. </t>
  </si>
  <si>
    <t xml:space="preserve">Table 4: The experimental results of different models,
including an ablation study for different RGNet vari-
ants. </t>
  </si>
  <si>
    <t xml:space="preserve">Fidelity and Perceptibility  A one-way ANOVA shows a significant difference between methods for HATESPEECH. A Tukey’s post-hoc
test (α = .05) indicates that our method signifi-
cantly outperforms Masked-LM and TextFooler </t>
  </si>
  <si>
    <t>Cosine similarity between encoder represen-
tations. Positive similarity (blue), negative (red).</t>
  </si>
  <si>
    <t>Table 5: Manual evaluation of evidence path</t>
  </si>
  <si>
    <t>QE task as a new benchmark for evaluating the plausibility of feature attribution explanations. Table 3: Statistics for MLQE-PE test sets: performance of sentence-level QE models (Pearson r). Multiplicity barrier</t>
  </si>
  <si>
    <t>Table 2: Average learnability. Figure 4: Linear regression plots of learnability vs. robustness vs. post data augmentation ∆ on IMDB dataset.
Each point in the plots represents a model-perturbation pair. ρ is Spearman correlation. ∗ indicates high significance (p-value &lt; 0.001). Table 3: Correlations of average learnability vs. robustness vs. post data augmentation ∆. ρ is Spearman correlation. ∗ indicates high significance (p-value &lt; 0.001).</t>
  </si>
  <si>
    <t>Interpretability Metrics: AOPC, Post-hoc Accuracy</t>
  </si>
  <si>
    <t>Quantitative Analysis of Interpretability</t>
  </si>
  <si>
    <t xml:space="preserve">evaluate use of different attribution methods for aid-
ing identification of training data artifacts. </t>
  </si>
  <si>
    <t>Table 4: Regression coefficients for effect each pro-
posed method on overall prediction accuracy</t>
  </si>
  <si>
    <t>investigated the (in)stability of keywords across
the 100 runs, and the utility of the selection fre-
quency threshold t, by studying the selection fre-
quency of the keyword candidates.</t>
  </si>
  <si>
    <t>Table 4: Accuracy of the BERT RQA model, The column Beats indicates that the model
significantly outperforms (p-value &lt; 0.05). Table 6: Human evaluation results of the usefulness of
explanations. Incomplete Rigour</t>
  </si>
  <si>
    <t>Table 7: Human evaluation of generated explanations and selected concepts.</t>
  </si>
  <si>
    <t xml:space="preserve"> I→O. Predict the label directly from the ques-
tion and answer options.
• IR→O. Predict the label from the question,
answer options and the rationale.
• I→R. Predict the rationale from the question
and answer options.</t>
  </si>
  <si>
    <t>Table 4: Toxicity and gender prediction with various
inputs. Table 5: Profession and gender prediction with various inputs. Table 6: Comparision of our method with debiasing baselines on open-ended generation tas</t>
  </si>
  <si>
    <t>Table 2: Lexica interpretability human evaluation re-
sults: percentage of words annotated as “the word describes the [sentiment/emotion]" or “the word is related to the [sentiment/emotion]" averaged across all corpora for each method</t>
  </si>
  <si>
    <t>Table 5 † For VCR answers, we report both proxy accuracy (1st row) and plausibility (2nd row; §3.2).</t>
  </si>
  <si>
    <t>Table 4: Quality evaluation of attention weights. The
upper table reports the consistency measure of the value attentions (Value) and the subjective ground attentions (SG).</t>
  </si>
  <si>
    <t>RACU Faithfulness</t>
  </si>
  <si>
    <t>section 5 Faithfulness Metrics</t>
  </si>
  <si>
    <t xml:space="preserve">Figure 2: Predicted versus actual change in conditional loss over a sample of mispredicted validation tokens from CoNLL. The dotted line shows the line of best fit to the observations (solid line is perfect correlation). Multiplicity Barrier / </t>
  </si>
  <si>
    <t>AOPC</t>
  </si>
  <si>
    <t>AOPC-5 and AOPC-10</t>
  </si>
  <si>
    <t xml:space="preserve">Four expert annotators assign each
summary output into three faithfulness categories
(faithful summary, intrinsic hallucination, extrin-
sic hallucination) and three summary quality cate-
gories (low(1), medium (2), high(3)). </t>
  </si>
  <si>
    <t>Explanation plausibility may be described as a subjective satisfaction with how a given explanation justifies a label/answer. we conduct a human evaluation of plausibility of generated explanation</t>
  </si>
  <si>
    <t xml:space="preserve"> faithfulness evaluation</t>
  </si>
  <si>
    <t>Table 7: Human evaluation of generated contrastive explanation on development set of CSQA</t>
  </si>
  <si>
    <t>Affect An analysis of our collected annotations
on the data shows that there is a small positive
(Pearson’s) correlation (r=0.2, p &lt; 0.001) between
binary affect and IGR and Specificity no correlation between specificity and IGR (r=−0.07, p &lt; 0.001), unlike affect. Significant test on dataset annotation</t>
  </si>
  <si>
    <t>Experiment 1, 2 and 3 (plausibility). Could use CI instead of STD</t>
  </si>
  <si>
    <t>Table 2: (Effective) degrees of freedom, reference degrees of freedom and Wald test statistics for the univariate smooth terms (top) and parametric terms (bottom) for our randomized saliency experiment.</t>
  </si>
  <si>
    <t>Table 4: Token-level relevance on TLR-FEVER.</t>
  </si>
  <si>
    <t>Flip Rate. Table 5: P-value of the inconsistency of different sample sizes of the Newsgroup dataset.</t>
  </si>
  <si>
    <t>Table 1: Agreement between pairs of saliency methods in terms of Kendall-τ (kτ ) and Pearson-r (pr ). Multiplicity Barrier</t>
  </si>
  <si>
    <t>Backdoor attack scenarios</t>
  </si>
  <si>
    <t>Table 4. OA is the original accuracy, CA is the sentiment classification accuracy after modification, and RA is the reversing accuracy for the sentences that successfully reverse the sentiment labels after modification.</t>
  </si>
  <si>
    <t>Performance of prompt fidelity on continuous
prompts (average squared distance reported). Table 5: Performance of downstream tasks by training combinations of five selected tokens, including random selection, nearest to continuous prompts, and our method</t>
  </si>
  <si>
    <t xml:space="preserve">LO ↓ Comp ↑ Suff ↓ </t>
  </si>
  <si>
    <t xml:space="preserve">the recall scores of document fact highlights predicted by different models. </t>
  </si>
  <si>
    <t>Alignment with human concepts and Evaluation of Explanation Faithfulness</t>
  </si>
  <si>
    <t xml:space="preserve">Table 4: Label-Explanation association measured as % of inputs with distinct explanations for each task label. Table 5: Simulatability score of the explanations from different methods. There is effect size of data but not really effect size using statistical methods </t>
  </si>
  <si>
    <t>area over the perturbation curve (AOPC)</t>
  </si>
  <si>
    <t>Table 3: Similarities between contextualized SENTECON representations of homonyms and their matching- and opposing-sense meanings. ∗∗ denotes a difference with p &lt; 0.005, and ∗∗∗ denotes a difference with p &lt; 0.0005.</t>
  </si>
  <si>
    <t>Table 5 and 6 Pruning Effect.  “*” means that performance decline is statistically significant (p &lt; 0.05).</t>
  </si>
  <si>
    <t xml:space="preserve">Table 3: Faithfulness Judgement Task </t>
  </si>
  <si>
    <t>Table 1: Comprehensiveness, sufficiency and their difference for various explainers. Table 6: Average values of precision and normalized rank of the ground truth correlated words for each explainer.</t>
  </si>
  <si>
    <t>Table 3: Human evaluation results on XSum. Faith.:
faithfulness; Cover.: coverage; Coher.: coherence. Our model using word truncation guided by MUFASSA achieves the best summary faithfulness and coverage. Krippendorff’s α ≥ 0.35 for all aspects.</t>
  </si>
  <si>
    <t xml:space="preserve">Table 3: Span-match results for unsupervised keyphrase extraction </t>
  </si>
  <si>
    <t xml:space="preserve">To assess the model’s reluctance to update its prediction, we use the memorization ratio (MR), which is calculated as MR = po / po+ps . A completely faithful LLM should have an MR of 0. </t>
  </si>
  <si>
    <t>It's about distillation</t>
  </si>
  <si>
    <t>Sufficiency, Completeness, Stability, Plausibility</t>
  </si>
  <si>
    <t>Test-Retest Consistency (TrC), Internal Consistency (InC) , External Consistency (ExC), Behavioral Consistency (BC), Occasion-based Behavior Test</t>
  </si>
  <si>
    <t xml:space="preserve">Table 2: Human evaluation. </t>
  </si>
  <si>
    <t>Table 3: Correlations of metrics and human judgments. Table 4: Evaluations of Generated Reasoning Chains. Multiplicity Barrier</t>
  </si>
  <si>
    <t>We carried out two distinct human evaluations for
rationales generated by both AERA and ChatGPT</t>
  </si>
  <si>
    <t>using existing free-text human annotations. Mostly evaluate whether performance increase or not</t>
  </si>
  <si>
    <t>Correlation between Plausibility and correctness. We assess the statistical significance of ZARA’s
performance gain over the FEB baseline by adopting one-sided McNemar’s test (McNemar, 1947), where † denotes p &lt; 0.01. Incomplete Rigour</t>
  </si>
  <si>
    <t>Table 4: Sensitivity of prompts for prompting LLMs
on AttrEval-Simulation (Sim.) and -GenSearch (Gen.).</t>
  </si>
  <si>
    <t>Table 1: Perplexity scores for various masked and causal LM architectures. R2 and Spearman’s ρ are computed with respect to the PCFG log probabilities. Multiplicity Barrier</t>
  </si>
  <si>
    <t>“Sufficiency” and “comprehensiveness” are sim-
ilar to FPVG and therefore deserve a more detailed
comparison.  flip percentages depending on metric categorization. Proposing new metric</t>
  </si>
  <si>
    <t>Table 5: Comparison (realtive performance difference) of COT and CCOT solve rates.</t>
  </si>
  <si>
    <t>we assess task performance using accuracy and evaluate the quality of generated rationales using the Intersection-Over-Union F1 score (IOU F1) and Token F1 (TF1). We also follow the prior research (Wiegreffe et al., 2020) to take Rationale Accuracy (R-Acc) to evaluate the quality of generated rationales. Additionally, we introduce a novel metric, the Reasoning Success Quotient (RSQ), to gauge the extent of the reliable link between the generated rationale and model decision.</t>
  </si>
  <si>
    <t>5.1.2 Results When removing the plausibility processing attention heads (left in Figure 2), no plausibility effects are found for syntactic dependents (estimate = .77, SE = .53, t = 1.43, p = .15) and for distractors (estimate = .71, SE = .54, t = 1.32, p = .19). Also, no interaction effects are found (estimate = 0.06, SE = 0.76, t = 0.08, p = 0.94). n this case, the significant plausibility effects are observed both in syntactic dependents (estimate = 2.40, SE = .69, t = 3.46, p &lt; .001 ) and in distractors (estimate = 1.70, SE = .69, t = 2.45, p &lt; .05), although interaction effects are not found as well (estimate = 0.73, SE = 0.98, t = 0.75 p = 0.46).</t>
  </si>
  <si>
    <t>Table 1: AUC for the accuracy curves in Fig. 5 on NQ.</t>
  </si>
  <si>
    <t>Table 7 B: max-BLEU; R: ROUGE-L F1; BS: BERTScore F1. The KG-tuples (k) are concatenated with BART input tokens to generate explanations. Table 8: Pair-wise Effect size and p-test on (B: max-
BLEU; R: ROUGE-L F1; BS: BERTScore F1) when
comparing the column-wise control group with the row-wise treatment group for LatentHatred on BART-base with ConceptNet and StereoKG respectively, with k = 20. * (p ≤ 0.05) and **(p ≤ 0.001) indicate whether the difference in pairwise metric is significant.</t>
  </si>
  <si>
    <t>Table 2: Correlation with human judgement on the AudioCaps datase. Table 4: Sensitivity degree towards perturbation on factors. Table 5: Correlation with human judgement after
ablating different factors. Table 6: Correlation with human judgement using different matching methods. Multiplicity Barrier</t>
  </si>
  <si>
    <t xml:space="preserve">Table 1: Token level P, R &amp; F1 scores for identifying output tokens </t>
  </si>
  <si>
    <t xml:space="preserve">We evaluate the structured tree using the metrics proposed by Dalvi et al. (2021), which includes the F1 and accuracy of the Leaves, Steps and Intermediate conclusions, in addition to the overall accuracy of the tree structure. </t>
  </si>
  <si>
    <t>Table 1: Spearman correlation between crowdworker preference of rationales — weak correlations are observed with p &lt; 0.01 (strong statistical significance.). Table 2: Spearman correlation between acceptability and the fine-grained aspects of a rationale — moderate to fairly strong correlation was observed with strong statistical significance ( p &lt; 0.01).</t>
  </si>
  <si>
    <t>plausibility performance comparison across the three ERASER tasks.</t>
  </si>
  <si>
    <t>Table 4: Robustness Analysis: (a) Question Diversification (Qdiv); (b) Confounder Setting (three scenarios).</t>
  </si>
  <si>
    <t>Fidelity, Probability divergence@K. Figure 9: Masking strategies. The faithfulness of the explanations of GPT-2 predictions by the methods</t>
  </si>
  <si>
    <t>Table 4: Explanation performance comparison of various model combinations for judgment prediction across different evaluation metrics</t>
  </si>
  <si>
    <t>Fairness Metrics. Table 1, 2 and 3: Debiasing results  The best result is indicated in bold. ↓ and ↑ indicate decrease and increase in
performance over biased BERT. * represent statistically significant (ρ &lt; 0.05). No statistical method details mentioned</t>
  </si>
  <si>
    <t>Faithfulness. It is calculated by comparing generated features against actual image features, considering both direct (DM ) and broader conceptual similarities (DB ). Coverage. It measures the comprehensiveness of the generated captions in capturing the key elements and attributes depicted in the image.</t>
  </si>
  <si>
    <t>Relative change in the prediction probability when blocking the information flow from the input elements to the last token.</t>
  </si>
  <si>
    <t>Figure 8 and 9: Faithfulness evaluation using self-consistency checks</t>
  </si>
  <si>
    <t>Figure 2: Box-plots of the w and p values for
XBERTScore leading to improvements with different
explainers across all settings of the MT calibration sets. Md denotes the Median value. Figure 3: System-level correlation with BARTScore on
the first test split of SummEval. Multiplicity barrier</t>
  </si>
  <si>
    <t xml:space="preserve">Table 1: Turnaround accuracy results. An
asterisk (*) indicates that the result is statistically significant with p ≪ 0.05. Detailed scores are in Appendix E. We conducted Man-Whitney tests on accuracy for identifying turnaround posts. </t>
  </si>
  <si>
    <t>Table 1 and 2: Faithfulness (Acc) and Causality (CACE,
∆Acc) evaluation on the toy dataset. Table 4: Human study for explainability evaluation.</t>
  </si>
  <si>
    <t>Activation probability (%). A higher probability is better and indicates that adding the most relevant nodes strongly activates the correct model prediction. Pruning MSE. A lower MSE is better and indicates that removing less relevant nodes has little effect on the model prediction. Figure 3: Evaluation of explanations using input perturbations on AG’s News</t>
  </si>
  <si>
    <t>Algorithm Identification Accuracy (AIA): This metric measures the model’s ability to identify the rationale or algorithm that corresponds to the correct answer choice. Malgorithm Identification Accuracy
(MIA): This metric measures the model’s ability
to identify the flawed reasoning or malgorithm that
corresponds to an incorrect answer choice. Specifi-
cally, MIA evaluates the model’s capacity to iden-
tify faulty reasoning chains that contain a combi-
nation of correct steps and one or more mal-rules,
which lead to the wrong answer.</t>
  </si>
  <si>
    <t>Relatedness scores (6-Likert scale) computed
at explanation and document-level, along with the Spearman correlation between the two. Helpfulness scores (6-Likert scale) for Q1 (understanding the nature of the errors) and Q2 (guiding towards better translations), along with the Spearman correlation between the two. Table 9: Inter-annotator agreement at explanation and document-level, according to Pearson’s r and Spearman’s ρ correlation coefficients. Multiplicity Barrier. No mention of p-value from correlation results</t>
  </si>
  <si>
    <t>Causal Effects of generated CoT and reasoning problems on the outputs, with both Natural Indirect Effect (NIE) and Natural Direct Effect (NDE).  Table 3: Causal Effects of CoT. The reported results are zero-shot performance. CIE: Controlled Indirect Effect,
CDE: Controlled Direct Effect. The p-value represents the significance of the results</t>
  </si>
  <si>
    <t>TS is Levenshtein distance. FR is flip
rate with respect to a SOTA classifier. Data augmentation results for SA. Classification model is trained on original and LLMs or human-generated CFs with Accuracy as a metric. Spearman correlations between intrinsic metrics and data augmentation performance. Multiplicity Barrier</t>
  </si>
  <si>
    <t>Free-text rationales. Plausibility (Basic-Form Eval-
uation, Content Evaluation: We assess the rationale’s content by analyzing its support through contrast and its informativeness through novelty, Persuasiveness Evaluation: We assess the ra-
tionale’s persuasiveness relative to other generated
rationales supporting the chosen argument.)</t>
  </si>
  <si>
    <t>macro F1 and accuracy for verification prediction evaluation, and macro F1, Precision and Recall to measure the sentence-level agreement with human-annotated rationales. We also report fidelity defined in Eq.5 as a metric of faithfulness for post hoc methods. Moreover, we propose a new metric named Noiselessness based on the Definition2 to measure the degree to which the token rationales contain noise2. It can be calculated by Token Rationale Overlap rate, which measures the
overlap between token rationale with sentence Ra-
tionale (TRO-R) or Non-rationale (TRO-N),</t>
  </si>
  <si>
    <t>Table 2: Performance of automatic faithfulness evaluators at the sentence level. We report the annotation correlation between human experts and automatic evaluators. “P. Agreement (%)" represents the percentage agreement. “Pred.
Non-faithful (%)" represents the percentage of non-faithful instances predicted by automatic evaluators.  Table 7: The Spearman r correlation between abstractiveness (novel n-grams, i.e., “n = k" where k ∈ {1, 2, 3}) and Readability (i.e., FKGL, CLI, and DCRS) with the ratio of hallucination (i.e., non-factual and factual hallucinations) in summary. Table 7 and 8 contains p-value for correlation. Multiplicity Barrier</t>
  </si>
  <si>
    <t xml:space="preserve">Log-Odds (LO) (Shrikumar et al., 2017), Sufficiency (Suff), Comprehensiveness (Comp) and Area Over the Perturbation Curve (AOPC) for Sufficiency (A-S)
and Comprehensiveness (A-C) (DeYoung et al.,
2020). </t>
  </si>
  <si>
    <t xml:space="preserve">we calculate each selected metric’s accuracy and Macro F1 score between automatic judgements and human judgments. </t>
  </si>
  <si>
    <t>Table 6: Mean score differences between original and counterfactual groups, with scores ranging from 1 to 5. ubscripts and superscripts
indicate confidence intervals, obtained through 10,000 bootstrap iterations. Gray values indicate non-significant
differences (p ą 0.01), while coral values represent significant differences contrary to the expected intervention
trend. p`q and p´q denote the expected direction of intervention effect.</t>
  </si>
  <si>
    <t>We can evaluate an intervention based on our op-
erationalizations of effectiveness, faithfulness and
minimality. Multiplicity Barrier</t>
  </si>
  <si>
    <t xml:space="preserve">To facilitate a robust comparison between each model pair, we computed similarity/distance metrics such as Cosine Similarity
and Normalized Euclidean Distance (NED)3. These
metrics offer insight into the semantic space of each
model. </t>
  </si>
  <si>
    <t>we evaluate the performance of a GCE
model with the following metrics: (i) Validity. Va-
lidity measures the fraction of the generated coun-
terfactual graphs. (ii) Proximity. Proximity measures the mean graph distance d(·|·) between the original graphs G and their generated valid counterfactuals f (G) = ˆG</t>
  </si>
  <si>
    <t>an automated evaluation
using LLMs and a human evaluation to examine
the quality of generated rationales.</t>
  </si>
  <si>
    <t>RAGTruth benchmark,
we provide additional metrics such as precision, re-
call, and F1 score, alongside balanced accuracy, for
a more comprehensive understanding of the classi-
fication results in Table 2.</t>
  </si>
  <si>
    <t>Counterfactual Attentiveness Test. Figure 2: Attentiveness as a function of partial input
correlations for the supervised models. Higher attentiveness values (y axis) indicate better attentiveness to counterfactual inputs. Higher values on the partial input correlations indicate correlations between a part of the input and the label. It is computed as the score on the partial input baseline, subtracting the majority score.</t>
  </si>
  <si>
    <t>Evaluation Results For Explainability
(RQ2). 1) Fluency: the fluency and readability of the
text. 2) Comprehensiveness: whether the generated
text covers all the students’ issues. 3) Relevancy:
whether the generated text is relevant to the stu-
dents’ problem-solving situation. 4) Overall: the
general effectiveness of the generated explanation.</t>
  </si>
  <si>
    <t>The results of three intervention experiments:
percentage of examples for which user intervention resulted in a class flip (c.f.) and the average drop of
probability of the predicted class (∆p). For the results of human evaluation of plausibility,
we performed the non-parametric global Friedman
test followed by Nemenyi post-hoc analysis (as
recommended in (Demšar, 2006)). We were able
to reject the null hypothesis of the Friedman test
for all the measures with p&lt;0.001. The Nemenyi
post-hoc analysis with α = 5%</t>
  </si>
  <si>
    <t>Mostly ablation evaluation on performance and does not focus on explanation evaluation</t>
  </si>
  <si>
    <t>For critique-level evaluation, we utilize three metrics: precision, recall, and F1 score.
These three metrics are categorized into two types:
AIU level (micro) and critique level (macro) for
precision, recall, and F1 score. Table 4: Accuracy changes of the models trained by
removing critiques and performing Supervised Fine-
Tuning (SFT), removing critiques and performing SFT then Direct Preference Optimization (DPO), and the change in accuracy when critiques are placed before labels during training. Safety-J uses the M1 version. “S” represents SFT and “D” represents DPO. The “-” symbol indicates a decrease in accuracy relative to Safety-J. Figure 5: The safety rate of responses generated by the Qwen under different conditions.</t>
  </si>
  <si>
    <t>Answer Quality, measuring similarity between the predicted answer and the gold answer. Citation Quality, assessing the similarity between the cited text, the cited passage, and the citations present in the gold answer.</t>
  </si>
  <si>
    <t>Plausibility. We employ the Area Under the
Precision-Recall Curve (AUPRC). Faithfulness. We require discrete explanations to evaluate comprehensiveness and sufficiency</t>
  </si>
  <si>
    <t>Main Conference</t>
  </si>
  <si>
    <t>Table 3: Probing accuracy (%) for referential
opacity on GPT-2-XL and BERT-large-cased. We
report the mean and standard deviation across 10
seeds.</t>
  </si>
  <si>
    <t>Human Evaluation for
FACTUALITYPROMPTS. Table 6: Evaluation the generated responses in FACTUALITYPROMPTS using MTurk workers and automatic metrics.
The questionaires for humans use 1 to 5 Likert scale.</t>
  </si>
  <si>
    <t>Main+Findings</t>
  </si>
  <si>
    <t>Type</t>
  </si>
  <si>
    <t>We deploy the faithfulness evaluation protocol described in §3, where we prompt M∗ and M to
answer directly, without reasoning, and then compute how often their answers differ. Scatter plot of correlation between efficacy
and faithfulness. Scores reported are averages over 30 instances used for LR selection,</t>
  </si>
  <si>
    <t>Attributing Model component in MoE, Semantic-Driven Attention Head and
Expert Selection Mechanism. 
semantic-driven routing is validated through strong temporal correlations between attention heads and expert selection (r = 0.68, p &lt; 0.0014), indicating that attention mechanisms guide experts toward
task-relevant features.</t>
  </si>
  <si>
    <t>SHC (Self-harm Classification), CMSE
(Casual Mention Span Extraction), SISE (Serious Intent Span Extraction), RG (Rationale Generation). We conducted statistical evaluations comparing SHC with CESM-100 to its ablated counterpart (without CESM-100) across Llama, Mental-Alpaca, and Mental-Llama configurations. Paired t-tests (Dietterich, 1998) were chosen over Hoeffding inequality (Hoeffding, 1994) because the aggregated F1 scores are derived from non-i.i.d. data, making paired t-tests more suitable for capturing dependent relationships across runs. Results from 10 runs confirmed statistically significant F1 improvements, with p-values below 0.05 (e.g., Llama: p = 0.0198, Mental-Alpaca: p = 0.017, Mental-Llama: p = 0.009). For other setups, our proposed multitask model demonstrated substantial improvements: +12% F1 over zero-shot, +7% F1 over few-shot, and +4% F1 over fine-tuned setups (averaged
across models)</t>
  </si>
  <si>
    <t>Human Evaluation We conduct a human evaluation for free-text rationales on Amazon Mechanical Turk. Figure 2 provide linear regression and 95% CI</t>
  </si>
  <si>
    <t>We also ran a t-test to determine if global
heuristics provided results significantly different
from instance-level methods, finding that they did not.</t>
  </si>
  <si>
    <t xml:space="preserve">Diagnostic property performance, Agreement with human rationales. Table 9: Dataset Consistency results with Spearman ρ. The estimated p-value for the correlation is provided in the brackets. Dataset Consistency (DC). ataset Consistency compares explanations for pairs of instances on the same model. </t>
  </si>
  <si>
    <t xml:space="preserve">Table 3: Faithfulness and simulatability when executing different explanations for three datasets. Results are from 100 runs but there are confidence intervals or significant test performed. Human eval Results in Fig. 5 indicate that workers struggled
to comprehend attribution scores from LIME compared to MaNtLE. A paired-sample t-test for overall preference revealed significance (2.16 vs. 3.44; p-value &lt; 0.001). </t>
  </si>
  <si>
    <t>Table 4: Regression coefficients for effect each proposed method on overall prediction accuracy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</si>
</sst>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sz val="11"/>
      <color rgb="FF000000"/>
      <name val="Calibri"/>
      <family val="2"/>
      <scheme val="minor"/>
    </font>
    <font>
      <sz val="10"/>
      <color theme="1"/>
      <name val="Arial Unicode MS"/>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9">
    <xf numFmtId="0" fontId="0" fillId="0" borderId="0" xfId="0"/>
    <xf numFmtId="0" fontId="0" fillId="0" borderId="0" xfId="0" applyAlignment="1">
      <alignment wrapText="1"/>
    </xf>
    <xf numFmtId="0" fontId="1" fillId="0" borderId="1" xfId="0" applyFont="1" applyBorder="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1" fillId="0" borderId="1" xfId="0" applyFont="1" applyBorder="1" applyAlignment="1">
      <alignment horizontal="left" vertical="center"/>
    </xf>
    <xf numFmtId="0" fontId="0" fillId="0" borderId="0" xfId="0" applyAlignment="1">
      <alignment horizontal="left" vertical="center"/>
    </xf>
    <xf numFmtId="0" fontId="0" fillId="0" borderId="0" xfId="0" applyAlignment="1">
      <alignment horizontal="left"/>
    </xf>
    <xf numFmtId="0" fontId="2" fillId="0" borderId="0" xfId="0" applyFont="1"/>
    <xf numFmtId="0" fontId="2" fillId="0" borderId="0" xfId="0" applyFont="1" applyAlignment="1">
      <alignment horizontal="center" vertical="center"/>
    </xf>
    <xf numFmtId="0" fontId="1" fillId="0" borderId="2" xfId="0" applyFont="1" applyBorder="1" applyAlignment="1">
      <alignment horizontal="center" vertical="center" wrapText="1"/>
    </xf>
    <xf numFmtId="0" fontId="0" fillId="0" borderId="0" xfId="0" applyAlignment="1">
      <alignment horizontal="left" vertical="center" wrapText="1"/>
    </xf>
    <xf numFmtId="0" fontId="0" fillId="0" borderId="0" xfId="0" applyAlignment="1">
      <alignment horizontal="left" wrapText="1"/>
    </xf>
    <xf numFmtId="0" fontId="2" fillId="0" borderId="0" xfId="0" applyFont="1" applyAlignment="1">
      <alignment horizontal="right" vertical="center"/>
    </xf>
    <xf numFmtId="0" fontId="0" fillId="0" borderId="0" xfId="0" applyAlignment="1">
      <alignment horizontal="right" vertical="center" wrapText="1"/>
    </xf>
    <xf numFmtId="0" fontId="0" fillId="0" borderId="0" xfId="0" applyAlignment="1">
      <alignment horizontal="right" wrapText="1"/>
    </xf>
    <xf numFmtId="0" fontId="3" fillId="0" borderId="0" xfId="0" applyFont="1" applyAlignment="1">
      <alignment wrapText="1"/>
    </xf>
    <xf numFmtId="0" fontId="0" fillId="0" borderId="0" xfId="0" applyAlignment="1">
      <alignment vertical="center"/>
    </xf>
    <xf numFmtId="0" fontId="1" fillId="0" borderId="1" xfId="0" applyFont="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a:t>Number</a:t>
            </a:r>
            <a:r>
              <a:rPr lang="en-US" sz="1800" baseline="0"/>
              <a:t> of XAI Paper with Explanation Evaluation (Blue) and with Significant Test of Explanation Evaluation (Red)</a:t>
            </a:r>
            <a:endParaRPr lang="en-US"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filtered!$C$1416</c:f>
              <c:strCache>
                <c:ptCount val="1"/>
                <c:pt idx="0">
                  <c:v>XAI and Eval XAI</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filtered!$B$1417:$B$1422</c:f>
              <c:numCache>
                <c:formatCode>General</c:formatCode>
                <c:ptCount val="6"/>
                <c:pt idx="0">
                  <c:v>2020</c:v>
                </c:pt>
                <c:pt idx="1">
                  <c:v>2021</c:v>
                </c:pt>
                <c:pt idx="2">
                  <c:v>2022</c:v>
                </c:pt>
                <c:pt idx="3">
                  <c:v>2023</c:v>
                </c:pt>
                <c:pt idx="4">
                  <c:v>2024</c:v>
                </c:pt>
                <c:pt idx="5">
                  <c:v>2025</c:v>
                </c:pt>
              </c:numCache>
            </c:numRef>
          </c:cat>
          <c:val>
            <c:numRef>
              <c:f>filtered!$C$1417:$C$1422</c:f>
              <c:numCache>
                <c:formatCode>General</c:formatCode>
                <c:ptCount val="6"/>
                <c:pt idx="0">
                  <c:v>31</c:v>
                </c:pt>
                <c:pt idx="1">
                  <c:v>54</c:v>
                </c:pt>
                <c:pt idx="2">
                  <c:v>65</c:v>
                </c:pt>
                <c:pt idx="3">
                  <c:v>91</c:v>
                </c:pt>
                <c:pt idx="4">
                  <c:v>106</c:v>
                </c:pt>
                <c:pt idx="5">
                  <c:v>148</c:v>
                </c:pt>
              </c:numCache>
            </c:numRef>
          </c:val>
          <c:extLst>
            <c:ext xmlns:c16="http://schemas.microsoft.com/office/drawing/2014/chart" uri="{C3380CC4-5D6E-409C-BE32-E72D297353CC}">
              <c16:uniqueId val="{00000000-4E70-9841-8906-BE940E0CEA24}"/>
            </c:ext>
          </c:extLst>
        </c:ser>
        <c:ser>
          <c:idx val="1"/>
          <c:order val="1"/>
          <c:tx>
            <c:strRef>
              <c:f>filtered!$D$1416</c:f>
              <c:strCache>
                <c:ptCount val="1"/>
                <c:pt idx="0">
                  <c:v>Use SigTest when Eval XAI</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filtered!$B$1417:$B$1422</c:f>
              <c:numCache>
                <c:formatCode>General</c:formatCode>
                <c:ptCount val="6"/>
                <c:pt idx="0">
                  <c:v>2020</c:v>
                </c:pt>
                <c:pt idx="1">
                  <c:v>2021</c:v>
                </c:pt>
                <c:pt idx="2">
                  <c:v>2022</c:v>
                </c:pt>
                <c:pt idx="3">
                  <c:v>2023</c:v>
                </c:pt>
                <c:pt idx="4">
                  <c:v>2024</c:v>
                </c:pt>
                <c:pt idx="5">
                  <c:v>2025</c:v>
                </c:pt>
              </c:numCache>
            </c:numRef>
          </c:cat>
          <c:val>
            <c:numRef>
              <c:f>filtered!$D$1417:$D$1422</c:f>
              <c:numCache>
                <c:formatCode>General</c:formatCode>
                <c:ptCount val="6"/>
                <c:pt idx="0">
                  <c:v>7</c:v>
                </c:pt>
                <c:pt idx="1">
                  <c:v>18</c:v>
                </c:pt>
                <c:pt idx="2">
                  <c:v>17</c:v>
                </c:pt>
                <c:pt idx="3">
                  <c:v>20</c:v>
                </c:pt>
                <c:pt idx="4">
                  <c:v>27</c:v>
                </c:pt>
                <c:pt idx="5">
                  <c:v>36</c:v>
                </c:pt>
              </c:numCache>
            </c:numRef>
          </c:val>
          <c:extLst>
            <c:ext xmlns:c16="http://schemas.microsoft.com/office/drawing/2014/chart" uri="{C3380CC4-5D6E-409C-BE32-E72D297353CC}">
              <c16:uniqueId val="{00000001-4E70-9841-8906-BE940E0CEA24}"/>
            </c:ext>
          </c:extLst>
        </c:ser>
        <c:dLbls>
          <c:showLegendKey val="0"/>
          <c:showVal val="1"/>
          <c:showCatName val="0"/>
          <c:showSerName val="0"/>
          <c:showPercent val="0"/>
          <c:showBubbleSize val="0"/>
        </c:dLbls>
        <c:gapWidth val="150"/>
        <c:overlap val="-25"/>
        <c:axId val="694351760"/>
        <c:axId val="694353472"/>
      </c:barChart>
      <c:catAx>
        <c:axId val="694351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4353472"/>
        <c:crosses val="autoZero"/>
        <c:auto val="1"/>
        <c:lblAlgn val="ctr"/>
        <c:lblOffset val="100"/>
        <c:noMultiLvlLbl val="0"/>
      </c:catAx>
      <c:valAx>
        <c:axId val="694353472"/>
        <c:scaling>
          <c:orientation val="minMax"/>
        </c:scaling>
        <c:delete val="1"/>
        <c:axPos val="l"/>
        <c:numFmt formatCode="General" sourceLinked="1"/>
        <c:majorTickMark val="none"/>
        <c:minorTickMark val="none"/>
        <c:tickLblPos val="nextTo"/>
        <c:crossAx val="69435176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939711462403714E-2"/>
          <c:y val="2.922495095354509E-2"/>
          <c:w val="0.93457627467676019"/>
          <c:h val="0.84840158136899968"/>
        </c:manualLayout>
      </c:layout>
      <c:barChart>
        <c:barDir val="col"/>
        <c:grouping val="stacked"/>
        <c:varyColors val="0"/>
        <c:ser>
          <c:idx val="0"/>
          <c:order val="0"/>
          <c:tx>
            <c:strRef>
              <c:f>filtered!$C$1416</c:f>
              <c:strCache>
                <c:ptCount val="1"/>
                <c:pt idx="0">
                  <c:v>XAI and Eval XAI</c:v>
                </c:pt>
              </c:strCache>
            </c:strRef>
          </c:tx>
          <c:spPr>
            <a:solidFill>
              <a:schemeClr val="accent1"/>
            </a:solidFill>
            <a:ln>
              <a:noFill/>
            </a:ln>
            <a:effectLst/>
          </c:spPr>
          <c:invertIfNegative val="0"/>
          <c:cat>
            <c:numRef>
              <c:f>filtered!$B$1417:$B$1422</c:f>
              <c:numCache>
                <c:formatCode>General</c:formatCode>
                <c:ptCount val="6"/>
                <c:pt idx="0">
                  <c:v>2020</c:v>
                </c:pt>
                <c:pt idx="1">
                  <c:v>2021</c:v>
                </c:pt>
                <c:pt idx="2">
                  <c:v>2022</c:v>
                </c:pt>
                <c:pt idx="3">
                  <c:v>2023</c:v>
                </c:pt>
                <c:pt idx="4">
                  <c:v>2024</c:v>
                </c:pt>
                <c:pt idx="5">
                  <c:v>2025</c:v>
                </c:pt>
              </c:numCache>
            </c:numRef>
          </c:cat>
          <c:val>
            <c:numRef>
              <c:f>filtered!$C$1417:$C$1422</c:f>
              <c:numCache>
                <c:formatCode>General</c:formatCode>
                <c:ptCount val="6"/>
                <c:pt idx="0">
                  <c:v>31</c:v>
                </c:pt>
                <c:pt idx="1">
                  <c:v>54</c:v>
                </c:pt>
                <c:pt idx="2">
                  <c:v>65</c:v>
                </c:pt>
                <c:pt idx="3">
                  <c:v>91</c:v>
                </c:pt>
                <c:pt idx="4">
                  <c:v>106</c:v>
                </c:pt>
                <c:pt idx="5">
                  <c:v>148</c:v>
                </c:pt>
              </c:numCache>
            </c:numRef>
          </c:val>
          <c:extLst>
            <c:ext xmlns:c16="http://schemas.microsoft.com/office/drawing/2014/chart" uri="{C3380CC4-5D6E-409C-BE32-E72D297353CC}">
              <c16:uniqueId val="{00000000-872B-6B4A-8DCD-50417BDE3AEC}"/>
            </c:ext>
          </c:extLst>
        </c:ser>
        <c:ser>
          <c:idx val="1"/>
          <c:order val="1"/>
          <c:tx>
            <c:strRef>
              <c:f>filtered!$D$1416</c:f>
              <c:strCache>
                <c:ptCount val="1"/>
                <c:pt idx="0">
                  <c:v>Use SigTest when Eval XAI</c:v>
                </c:pt>
              </c:strCache>
            </c:strRef>
          </c:tx>
          <c:spPr>
            <a:solidFill>
              <a:schemeClr val="accent2"/>
            </a:solidFill>
            <a:ln>
              <a:noFill/>
            </a:ln>
            <a:effectLst/>
          </c:spPr>
          <c:invertIfNegative val="0"/>
          <c:cat>
            <c:numRef>
              <c:f>filtered!$B$1417:$B$1422</c:f>
              <c:numCache>
                <c:formatCode>General</c:formatCode>
                <c:ptCount val="6"/>
                <c:pt idx="0">
                  <c:v>2020</c:v>
                </c:pt>
                <c:pt idx="1">
                  <c:v>2021</c:v>
                </c:pt>
                <c:pt idx="2">
                  <c:v>2022</c:v>
                </c:pt>
                <c:pt idx="3">
                  <c:v>2023</c:v>
                </c:pt>
                <c:pt idx="4">
                  <c:v>2024</c:v>
                </c:pt>
                <c:pt idx="5">
                  <c:v>2025</c:v>
                </c:pt>
              </c:numCache>
            </c:numRef>
          </c:cat>
          <c:val>
            <c:numRef>
              <c:f>filtered!$D$1417:$D$1422</c:f>
              <c:numCache>
                <c:formatCode>General</c:formatCode>
                <c:ptCount val="6"/>
                <c:pt idx="0">
                  <c:v>7</c:v>
                </c:pt>
                <c:pt idx="1">
                  <c:v>18</c:v>
                </c:pt>
                <c:pt idx="2">
                  <c:v>17</c:v>
                </c:pt>
                <c:pt idx="3">
                  <c:v>20</c:v>
                </c:pt>
                <c:pt idx="4">
                  <c:v>27</c:v>
                </c:pt>
                <c:pt idx="5">
                  <c:v>36</c:v>
                </c:pt>
              </c:numCache>
            </c:numRef>
          </c:val>
          <c:extLst>
            <c:ext xmlns:c16="http://schemas.microsoft.com/office/drawing/2014/chart" uri="{C3380CC4-5D6E-409C-BE32-E72D297353CC}">
              <c16:uniqueId val="{00000001-872B-6B4A-8DCD-50417BDE3AEC}"/>
            </c:ext>
          </c:extLst>
        </c:ser>
        <c:dLbls>
          <c:showLegendKey val="0"/>
          <c:showVal val="0"/>
          <c:showCatName val="0"/>
          <c:showSerName val="0"/>
          <c:showPercent val="0"/>
          <c:showBubbleSize val="0"/>
        </c:dLbls>
        <c:gapWidth val="150"/>
        <c:overlap val="100"/>
        <c:axId val="18767296"/>
        <c:axId val="386372079"/>
      </c:barChart>
      <c:catAx>
        <c:axId val="18767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6372079"/>
        <c:crosses val="autoZero"/>
        <c:auto val="1"/>
        <c:lblAlgn val="ctr"/>
        <c:lblOffset val="100"/>
        <c:noMultiLvlLbl val="0"/>
      </c:catAx>
      <c:valAx>
        <c:axId val="386372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7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122620</xdr:colOff>
      <xdr:row>1425</xdr:row>
      <xdr:rowOff>7881</xdr:rowOff>
    </xdr:from>
    <xdr:to>
      <xdr:col>4</xdr:col>
      <xdr:colOff>802875</xdr:colOff>
      <xdr:row>1450</xdr:row>
      <xdr:rowOff>116780</xdr:rowOff>
    </xdr:to>
    <xdr:graphicFrame macro="">
      <xdr:nvGraphicFramePr>
        <xdr:cNvPr id="2" name="Chart 1">
          <a:extLst>
            <a:ext uri="{FF2B5EF4-FFF2-40B4-BE49-F238E27FC236}">
              <a16:creationId xmlns:a16="http://schemas.microsoft.com/office/drawing/2014/main" id="{5FFAB034-6325-9AF9-52D9-F2C78DC1BA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662734</xdr:colOff>
      <xdr:row>1425</xdr:row>
      <xdr:rowOff>66272</xdr:rowOff>
    </xdr:from>
    <xdr:to>
      <xdr:col>10</xdr:col>
      <xdr:colOff>408735</xdr:colOff>
      <xdr:row>1450</xdr:row>
      <xdr:rowOff>102181</xdr:rowOff>
    </xdr:to>
    <xdr:graphicFrame macro="">
      <xdr:nvGraphicFramePr>
        <xdr:cNvPr id="5" name="Chart 4">
          <a:extLst>
            <a:ext uri="{FF2B5EF4-FFF2-40B4-BE49-F238E27FC236}">
              <a16:creationId xmlns:a16="http://schemas.microsoft.com/office/drawing/2014/main" id="{55C2835F-6424-6477-94CF-A420E138DD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472"/>
  <sheetViews>
    <sheetView tabSelected="1" topLeftCell="A439" zoomScale="87" zoomScaleNormal="125" workbookViewId="0">
      <selection activeCell="H6" sqref="H6"/>
    </sheetView>
  </sheetViews>
  <sheetFormatPr baseColWidth="10" defaultColWidth="8.83203125" defaultRowHeight="15" x14ac:dyDescent="0.2"/>
  <cols>
    <col min="1" max="1" width="31.33203125" style="7" customWidth="1"/>
    <col min="2" max="2" width="74.33203125" style="7" customWidth="1"/>
    <col min="3" max="3" width="15.5" style="1" customWidth="1"/>
    <col min="4" max="4" width="16.1640625" style="1" customWidth="1"/>
    <col min="5" max="5" width="11.1640625" style="1" customWidth="1"/>
    <col min="6" max="7" width="8.83203125" style="1"/>
    <col min="8" max="8" width="40.1640625" style="1" customWidth="1"/>
    <col min="9" max="9" width="25.1640625" style="1" customWidth="1"/>
    <col min="10" max="10" width="21.1640625" style="1" customWidth="1"/>
    <col min="11" max="11" width="8.83203125" style="1"/>
  </cols>
  <sheetData>
    <row r="1" spans="1:12" ht="32" x14ac:dyDescent="0.2">
      <c r="A1" s="5" t="s">
        <v>0</v>
      </c>
      <c r="B1" s="5" t="s">
        <v>1</v>
      </c>
      <c r="C1" s="2" t="s">
        <v>2</v>
      </c>
      <c r="D1" s="2" t="s">
        <v>3</v>
      </c>
      <c r="E1" s="2" t="s">
        <v>4</v>
      </c>
      <c r="F1" s="2" t="s">
        <v>5</v>
      </c>
      <c r="G1" s="2" t="s">
        <v>6</v>
      </c>
      <c r="H1" s="2" t="s">
        <v>7</v>
      </c>
      <c r="I1" s="2" t="s">
        <v>8</v>
      </c>
      <c r="J1" s="2" t="s">
        <v>9</v>
      </c>
      <c r="K1" s="10" t="s">
        <v>2991</v>
      </c>
      <c r="L1" s="10" t="s">
        <v>3385</v>
      </c>
    </row>
    <row r="2" spans="1:12" ht="32" x14ac:dyDescent="0.2">
      <c r="A2" s="6" t="s">
        <v>10</v>
      </c>
      <c r="B2" s="6" t="s">
        <v>11</v>
      </c>
      <c r="C2" s="4" t="b">
        <v>1</v>
      </c>
      <c r="D2" s="4" t="b">
        <v>1</v>
      </c>
      <c r="E2" s="4" t="b">
        <v>1</v>
      </c>
      <c r="F2" s="4" t="s">
        <v>12</v>
      </c>
      <c r="G2" s="4" t="b">
        <f t="shared" ref="G2:G65" si="0">IF(F2="✔", TRUE, FALSE)</f>
        <v>1</v>
      </c>
      <c r="H2" s="4" t="s">
        <v>13</v>
      </c>
      <c r="I2" s="4"/>
      <c r="J2" s="4" t="s">
        <v>14</v>
      </c>
    </row>
    <row r="3" spans="1:12" ht="16" x14ac:dyDescent="0.2">
      <c r="A3" s="6" t="s">
        <v>15</v>
      </c>
      <c r="B3" s="6" t="s">
        <v>16</v>
      </c>
      <c r="C3" s="4" t="b">
        <v>1</v>
      </c>
      <c r="D3" s="4" t="b">
        <v>0</v>
      </c>
      <c r="E3" s="4" t="b">
        <v>1</v>
      </c>
      <c r="F3" s="4" t="s">
        <v>12</v>
      </c>
      <c r="G3" s="4" t="b">
        <f t="shared" si="0"/>
        <v>1</v>
      </c>
      <c r="H3" s="4"/>
      <c r="I3" s="4"/>
      <c r="J3" s="4" t="s">
        <v>14</v>
      </c>
    </row>
    <row r="4" spans="1:12" ht="16" x14ac:dyDescent="0.2">
      <c r="A4" s="6" t="s">
        <v>17</v>
      </c>
      <c r="B4" s="6" t="s">
        <v>18</v>
      </c>
      <c r="C4" s="4" t="b">
        <v>0</v>
      </c>
      <c r="D4" s="4" t="b">
        <v>0</v>
      </c>
      <c r="E4" s="4" t="b">
        <v>1</v>
      </c>
      <c r="F4" s="4" t="s">
        <v>12</v>
      </c>
      <c r="G4" s="4" t="b">
        <f t="shared" si="0"/>
        <v>1</v>
      </c>
      <c r="H4" s="4" t="s">
        <v>19</v>
      </c>
      <c r="I4" s="4"/>
      <c r="J4" s="4" t="s">
        <v>20</v>
      </c>
      <c r="K4"/>
    </row>
    <row r="5" spans="1:12" ht="16" x14ac:dyDescent="0.2">
      <c r="A5" s="6" t="s">
        <v>21</v>
      </c>
      <c r="B5" s="6" t="s">
        <v>22</v>
      </c>
      <c r="C5" s="4" t="b">
        <v>0</v>
      </c>
      <c r="D5" s="4" t="b">
        <v>0</v>
      </c>
      <c r="E5" s="4" t="b">
        <v>1</v>
      </c>
      <c r="F5" s="4" t="s">
        <v>12</v>
      </c>
      <c r="G5" s="4" t="b">
        <f t="shared" si="0"/>
        <v>1</v>
      </c>
      <c r="H5" s="4"/>
      <c r="I5" s="4"/>
      <c r="J5" s="4" t="s">
        <v>20</v>
      </c>
      <c r="K5"/>
    </row>
    <row r="6" spans="1:12" ht="96" x14ac:dyDescent="0.2">
      <c r="A6" s="6" t="s">
        <v>23</v>
      </c>
      <c r="B6" s="6" t="s">
        <v>24</v>
      </c>
      <c r="C6" s="4" t="b">
        <v>1</v>
      </c>
      <c r="D6" s="4" t="b">
        <v>1</v>
      </c>
      <c r="E6" s="4" t="b">
        <v>1</v>
      </c>
      <c r="F6" s="4" t="s">
        <v>12</v>
      </c>
      <c r="G6" s="4" t="b">
        <f t="shared" si="0"/>
        <v>1</v>
      </c>
      <c r="H6" s="4" t="s">
        <v>25</v>
      </c>
      <c r="I6" s="4"/>
      <c r="J6" s="4" t="s">
        <v>26</v>
      </c>
    </row>
    <row r="7" spans="1:12" ht="16" x14ac:dyDescent="0.2">
      <c r="A7" s="6" t="s">
        <v>27</v>
      </c>
      <c r="B7" s="6" t="s">
        <v>28</v>
      </c>
      <c r="C7" s="4" t="b">
        <v>0</v>
      </c>
      <c r="D7" s="4" t="b">
        <v>0</v>
      </c>
      <c r="E7" s="4" t="b">
        <v>1</v>
      </c>
      <c r="F7" s="4" t="s">
        <v>12</v>
      </c>
      <c r="G7" s="4" t="b">
        <f t="shared" si="0"/>
        <v>1</v>
      </c>
      <c r="H7" s="4"/>
      <c r="I7" s="4"/>
      <c r="J7" s="4" t="s">
        <v>26</v>
      </c>
      <c r="K7"/>
    </row>
    <row r="8" spans="1:12" ht="409.6" x14ac:dyDescent="0.2">
      <c r="A8" s="6" t="s">
        <v>29</v>
      </c>
      <c r="B8" s="6" t="s">
        <v>30</v>
      </c>
      <c r="C8" s="4" t="b">
        <v>1</v>
      </c>
      <c r="D8" s="4" t="b">
        <v>1</v>
      </c>
      <c r="E8" s="4" t="b">
        <v>1</v>
      </c>
      <c r="F8" s="4" t="s">
        <v>12</v>
      </c>
      <c r="G8" s="4" t="b">
        <f t="shared" si="0"/>
        <v>1</v>
      </c>
      <c r="H8" s="1" t="s">
        <v>2941</v>
      </c>
      <c r="I8" s="4" t="s">
        <v>31</v>
      </c>
      <c r="J8" s="4" t="s">
        <v>26</v>
      </c>
    </row>
    <row r="9" spans="1:12" ht="16" x14ac:dyDescent="0.2">
      <c r="A9" s="6" t="s">
        <v>32</v>
      </c>
      <c r="B9" s="6" t="s">
        <v>33</v>
      </c>
      <c r="C9" s="4" t="b">
        <v>0</v>
      </c>
      <c r="D9" s="4" t="b">
        <v>0</v>
      </c>
      <c r="E9" s="4" t="b">
        <v>1</v>
      </c>
      <c r="F9" s="4" t="s">
        <v>12</v>
      </c>
      <c r="G9" s="4" t="b">
        <f t="shared" si="0"/>
        <v>1</v>
      </c>
      <c r="H9" s="4" t="s">
        <v>34</v>
      </c>
      <c r="I9" s="4"/>
      <c r="J9" s="4" t="s">
        <v>26</v>
      </c>
      <c r="K9"/>
    </row>
    <row r="10" spans="1:12" ht="16" x14ac:dyDescent="0.2">
      <c r="A10" s="6" t="s">
        <v>35</v>
      </c>
      <c r="B10" s="6" t="s">
        <v>36</v>
      </c>
      <c r="C10" s="4" t="b">
        <v>0</v>
      </c>
      <c r="D10" s="4" t="b">
        <v>0</v>
      </c>
      <c r="E10" s="4" t="b">
        <v>0</v>
      </c>
      <c r="F10" s="4" t="s">
        <v>12</v>
      </c>
      <c r="G10" s="4" t="b">
        <f t="shared" si="0"/>
        <v>1</v>
      </c>
      <c r="H10" s="4"/>
      <c r="I10" s="4"/>
      <c r="J10" s="4" t="s">
        <v>26</v>
      </c>
      <c r="K10"/>
    </row>
    <row r="11" spans="1:12" ht="16" x14ac:dyDescent="0.2">
      <c r="A11" s="6" t="s">
        <v>37</v>
      </c>
      <c r="B11" s="6" t="s">
        <v>38</v>
      </c>
      <c r="C11" s="4" t="b">
        <v>0</v>
      </c>
      <c r="D11" s="4" t="b">
        <v>0</v>
      </c>
      <c r="E11" s="4" t="b">
        <v>1</v>
      </c>
      <c r="F11" s="4" t="s">
        <v>12</v>
      </c>
      <c r="G11" s="4" t="b">
        <f t="shared" si="0"/>
        <v>1</v>
      </c>
      <c r="H11" s="4"/>
      <c r="I11" s="4"/>
      <c r="J11" s="4" t="s">
        <v>26</v>
      </c>
      <c r="K11"/>
    </row>
    <row r="12" spans="1:12" ht="16" x14ac:dyDescent="0.2">
      <c r="A12" s="6" t="s">
        <v>39</v>
      </c>
      <c r="B12" s="6" t="s">
        <v>40</v>
      </c>
      <c r="C12" s="4" t="b">
        <v>0</v>
      </c>
      <c r="D12" s="4" t="b">
        <v>0</v>
      </c>
      <c r="E12" s="4" t="b">
        <v>0</v>
      </c>
      <c r="F12" s="4" t="s">
        <v>12</v>
      </c>
      <c r="G12" s="4" t="b">
        <f t="shared" si="0"/>
        <v>1</v>
      </c>
      <c r="H12" s="4"/>
      <c r="I12" s="4"/>
      <c r="J12" s="4" t="s">
        <v>26</v>
      </c>
      <c r="K12"/>
    </row>
    <row r="13" spans="1:12" ht="16" x14ac:dyDescent="0.2">
      <c r="A13" s="6" t="s">
        <v>41</v>
      </c>
      <c r="B13" s="6" t="s">
        <v>42</v>
      </c>
      <c r="C13" s="4" t="b">
        <v>1</v>
      </c>
      <c r="D13" s="4" t="b">
        <v>0</v>
      </c>
      <c r="E13" s="4" t="b">
        <v>1</v>
      </c>
      <c r="F13" s="4" t="s">
        <v>12</v>
      </c>
      <c r="G13" s="4" t="b">
        <f t="shared" si="0"/>
        <v>1</v>
      </c>
      <c r="H13" s="4" t="s">
        <v>43</v>
      </c>
      <c r="I13" s="4"/>
      <c r="J13" s="4" t="s">
        <v>26</v>
      </c>
    </row>
    <row r="14" spans="1:12" ht="32" x14ac:dyDescent="0.2">
      <c r="A14" s="6" t="s">
        <v>44</v>
      </c>
      <c r="B14" s="6" t="s">
        <v>45</v>
      </c>
      <c r="C14" s="4" t="b">
        <v>1</v>
      </c>
      <c r="D14" s="4" t="b">
        <v>0</v>
      </c>
      <c r="E14" s="4" t="b">
        <v>1</v>
      </c>
      <c r="F14" s="4" t="s">
        <v>12</v>
      </c>
      <c r="G14" s="4" t="b">
        <f t="shared" si="0"/>
        <v>1</v>
      </c>
      <c r="H14" s="4" t="s">
        <v>46</v>
      </c>
      <c r="I14" s="4"/>
      <c r="J14" s="4" t="s">
        <v>26</v>
      </c>
    </row>
    <row r="15" spans="1:12" ht="96" x14ac:dyDescent="0.2">
      <c r="A15" s="6" t="s">
        <v>47</v>
      </c>
      <c r="B15" s="6" t="s">
        <v>48</v>
      </c>
      <c r="C15" s="4" t="b">
        <v>1</v>
      </c>
      <c r="D15" s="4" t="b">
        <v>0</v>
      </c>
      <c r="E15" s="4" t="b">
        <v>1</v>
      </c>
      <c r="F15" s="4" t="s">
        <v>12</v>
      </c>
      <c r="G15" s="4" t="b">
        <f t="shared" si="0"/>
        <v>1</v>
      </c>
      <c r="H15" s="4" t="s">
        <v>49</v>
      </c>
      <c r="I15" s="4"/>
      <c r="J15" s="4" t="s">
        <v>26</v>
      </c>
    </row>
    <row r="16" spans="1:12" ht="16" x14ac:dyDescent="0.2">
      <c r="A16" s="6" t="s">
        <v>50</v>
      </c>
      <c r="B16" s="6" t="s">
        <v>51</v>
      </c>
      <c r="C16" s="4" t="b">
        <v>1</v>
      </c>
      <c r="D16" s="4" t="b">
        <v>1</v>
      </c>
      <c r="E16" s="4" t="b">
        <v>1</v>
      </c>
      <c r="F16" s="4" t="s">
        <v>12</v>
      </c>
      <c r="G16" s="4" t="b">
        <f t="shared" si="0"/>
        <v>1</v>
      </c>
      <c r="H16" s="4" t="s">
        <v>52</v>
      </c>
      <c r="I16" s="4" t="s">
        <v>53</v>
      </c>
      <c r="J16" s="4" t="s">
        <v>26</v>
      </c>
    </row>
    <row r="17" spans="1:11" ht="32" x14ac:dyDescent="0.2">
      <c r="A17" s="6" t="s">
        <v>54</v>
      </c>
      <c r="B17" s="6" t="s">
        <v>55</v>
      </c>
      <c r="C17" s="4" t="b">
        <v>0</v>
      </c>
      <c r="D17" s="4" t="b">
        <v>0</v>
      </c>
      <c r="E17" s="4" t="b">
        <v>1</v>
      </c>
      <c r="F17" s="4" t="s">
        <v>12</v>
      </c>
      <c r="G17" s="4" t="b">
        <f t="shared" si="0"/>
        <v>1</v>
      </c>
      <c r="H17" s="4" t="s">
        <v>56</v>
      </c>
      <c r="I17" s="4"/>
      <c r="J17" s="4" t="s">
        <v>26</v>
      </c>
    </row>
    <row r="18" spans="1:11" ht="16" x14ac:dyDescent="0.2">
      <c r="A18" s="6" t="s">
        <v>57</v>
      </c>
      <c r="B18" s="6" t="s">
        <v>58</v>
      </c>
      <c r="C18" s="4" t="b">
        <v>1</v>
      </c>
      <c r="D18" s="4" t="b">
        <v>0</v>
      </c>
      <c r="E18" s="4" t="b">
        <v>1</v>
      </c>
      <c r="F18" s="4" t="s">
        <v>12</v>
      </c>
      <c r="G18" s="4" t="b">
        <f t="shared" si="0"/>
        <v>1</v>
      </c>
      <c r="H18" s="4" t="s">
        <v>59</v>
      </c>
      <c r="I18" s="4"/>
      <c r="J18" s="4" t="s">
        <v>26</v>
      </c>
    </row>
    <row r="19" spans="1:11" ht="144" x14ac:dyDescent="0.2">
      <c r="A19" s="6" t="s">
        <v>60</v>
      </c>
      <c r="B19" s="6" t="s">
        <v>61</v>
      </c>
      <c r="C19" s="4" t="b">
        <v>1</v>
      </c>
      <c r="D19" s="4" t="b">
        <v>1</v>
      </c>
      <c r="E19" s="4" t="b">
        <v>1</v>
      </c>
      <c r="F19" s="4" t="s">
        <v>12</v>
      </c>
      <c r="G19" s="4" t="b">
        <f t="shared" si="0"/>
        <v>1</v>
      </c>
      <c r="H19" s="4" t="s">
        <v>62</v>
      </c>
      <c r="I19" s="4"/>
      <c r="J19" s="4" t="s">
        <v>26</v>
      </c>
    </row>
    <row r="20" spans="1:11" ht="16" x14ac:dyDescent="0.2">
      <c r="A20" s="6" t="s">
        <v>63</v>
      </c>
      <c r="B20" s="6" t="s">
        <v>64</v>
      </c>
      <c r="C20" s="4" t="b">
        <v>0</v>
      </c>
      <c r="D20" s="4" t="b">
        <v>0</v>
      </c>
      <c r="E20" s="4" t="b">
        <v>1</v>
      </c>
      <c r="F20" s="4" t="s">
        <v>12</v>
      </c>
      <c r="G20" s="4" t="b">
        <f t="shared" si="0"/>
        <v>1</v>
      </c>
      <c r="H20" s="4"/>
      <c r="I20" s="4"/>
      <c r="J20" s="4" t="s">
        <v>26</v>
      </c>
      <c r="K20"/>
    </row>
    <row r="21" spans="1:11" ht="16" x14ac:dyDescent="0.2">
      <c r="A21" s="6" t="s">
        <v>65</v>
      </c>
      <c r="B21" s="6" t="s">
        <v>66</v>
      </c>
      <c r="C21" s="4" t="b">
        <v>1</v>
      </c>
      <c r="D21" s="4" t="b">
        <v>0</v>
      </c>
      <c r="E21" s="4" t="b">
        <v>1</v>
      </c>
      <c r="F21" s="4" t="s">
        <v>12</v>
      </c>
      <c r="G21" s="4" t="b">
        <f t="shared" si="0"/>
        <v>1</v>
      </c>
      <c r="H21" s="4"/>
      <c r="I21" s="4"/>
      <c r="J21" s="4" t="s">
        <v>26</v>
      </c>
    </row>
    <row r="22" spans="1:11" ht="128" x14ac:dyDescent="0.2">
      <c r="A22" s="6" t="s">
        <v>67</v>
      </c>
      <c r="B22" s="6" t="s">
        <v>68</v>
      </c>
      <c r="C22" s="4" t="b">
        <v>1</v>
      </c>
      <c r="D22" s="4" t="b">
        <v>0</v>
      </c>
      <c r="E22" s="4" t="b">
        <v>1</v>
      </c>
      <c r="F22" s="4" t="s">
        <v>12</v>
      </c>
      <c r="G22" s="4" t="b">
        <f t="shared" si="0"/>
        <v>1</v>
      </c>
      <c r="H22" s="4" t="s">
        <v>69</v>
      </c>
      <c r="I22" s="4"/>
      <c r="J22" s="4" t="s">
        <v>26</v>
      </c>
    </row>
    <row r="23" spans="1:11" ht="48" x14ac:dyDescent="0.2">
      <c r="A23" s="6" t="s">
        <v>70</v>
      </c>
      <c r="B23" s="6" t="s">
        <v>71</v>
      </c>
      <c r="C23" s="4" t="b">
        <v>1</v>
      </c>
      <c r="D23" s="4" t="b">
        <v>0</v>
      </c>
      <c r="E23" s="4" t="b">
        <v>1</v>
      </c>
      <c r="F23" s="4" t="s">
        <v>12</v>
      </c>
      <c r="G23" s="4" t="b">
        <f t="shared" si="0"/>
        <v>1</v>
      </c>
      <c r="H23" s="4" t="s">
        <v>72</v>
      </c>
      <c r="I23" s="4"/>
      <c r="J23" s="4" t="s">
        <v>26</v>
      </c>
    </row>
    <row r="24" spans="1:11" ht="32" x14ac:dyDescent="0.2">
      <c r="A24" s="6" t="s">
        <v>73</v>
      </c>
      <c r="B24" s="6" t="s">
        <v>74</v>
      </c>
      <c r="C24" s="4" t="b">
        <v>1</v>
      </c>
      <c r="D24" s="4" t="b">
        <v>0</v>
      </c>
      <c r="E24" s="4" t="b">
        <v>1</v>
      </c>
      <c r="F24" s="4" t="s">
        <v>12</v>
      </c>
      <c r="G24" s="4" t="b">
        <f t="shared" si="0"/>
        <v>1</v>
      </c>
      <c r="H24" s="4" t="s">
        <v>75</v>
      </c>
      <c r="I24" s="4"/>
      <c r="J24" s="4" t="s">
        <v>26</v>
      </c>
    </row>
    <row r="25" spans="1:11" ht="64" x14ac:dyDescent="0.2">
      <c r="A25" s="6" t="s">
        <v>76</v>
      </c>
      <c r="B25" s="6" t="s">
        <v>77</v>
      </c>
      <c r="C25" s="4" t="b">
        <v>1</v>
      </c>
      <c r="D25" s="4" t="b">
        <v>0</v>
      </c>
      <c r="E25" s="4" t="b">
        <v>1</v>
      </c>
      <c r="F25" s="4" t="s">
        <v>12</v>
      </c>
      <c r="G25" s="4" t="b">
        <f t="shared" si="0"/>
        <v>1</v>
      </c>
      <c r="H25" s="4" t="s">
        <v>78</v>
      </c>
      <c r="I25" s="4"/>
      <c r="J25" s="4" t="s">
        <v>26</v>
      </c>
    </row>
    <row r="26" spans="1:11" ht="304" x14ac:dyDescent="0.2">
      <c r="A26" s="6" t="s">
        <v>79</v>
      </c>
      <c r="B26" s="6" t="s">
        <v>80</v>
      </c>
      <c r="C26" s="4" t="b">
        <v>1</v>
      </c>
      <c r="D26" s="4" t="b">
        <v>0</v>
      </c>
      <c r="E26" s="4" t="b">
        <v>1</v>
      </c>
      <c r="F26" s="4" t="s">
        <v>12</v>
      </c>
      <c r="G26" s="4" t="b">
        <f t="shared" si="0"/>
        <v>1</v>
      </c>
      <c r="H26" s="4" t="s">
        <v>81</v>
      </c>
      <c r="I26" s="4" t="s">
        <v>2852</v>
      </c>
      <c r="J26" s="4" t="s">
        <v>26</v>
      </c>
    </row>
    <row r="27" spans="1:11" ht="32" x14ac:dyDescent="0.2">
      <c r="A27" s="6" t="s">
        <v>82</v>
      </c>
      <c r="B27" s="6" t="s">
        <v>83</v>
      </c>
      <c r="C27" s="4" t="b">
        <v>0</v>
      </c>
      <c r="D27" s="4" t="b">
        <v>0</v>
      </c>
      <c r="E27" s="4" t="b">
        <v>1</v>
      </c>
      <c r="F27" s="4" t="s">
        <v>12</v>
      </c>
      <c r="G27" s="4" t="b">
        <f t="shared" si="0"/>
        <v>1</v>
      </c>
      <c r="H27" s="4" t="s">
        <v>84</v>
      </c>
      <c r="I27" s="4"/>
      <c r="J27" s="4" t="s">
        <v>26</v>
      </c>
      <c r="K27"/>
    </row>
    <row r="28" spans="1:11" ht="48" x14ac:dyDescent="0.2">
      <c r="A28" s="6" t="s">
        <v>85</v>
      </c>
      <c r="B28" s="6" t="s">
        <v>86</v>
      </c>
      <c r="C28" s="4" t="b">
        <v>1</v>
      </c>
      <c r="D28" s="4" t="b">
        <v>1</v>
      </c>
      <c r="E28" s="4" t="b">
        <v>1</v>
      </c>
      <c r="F28" s="4" t="s">
        <v>12</v>
      </c>
      <c r="G28" s="4" t="b">
        <f t="shared" si="0"/>
        <v>1</v>
      </c>
      <c r="H28" s="4" t="s">
        <v>87</v>
      </c>
      <c r="I28" s="4"/>
      <c r="J28" s="4" t="s">
        <v>26</v>
      </c>
    </row>
    <row r="29" spans="1:11" ht="16" x14ac:dyDescent="0.2">
      <c r="A29" s="6" t="s">
        <v>88</v>
      </c>
      <c r="B29" s="6" t="s">
        <v>89</v>
      </c>
      <c r="C29" s="4" t="b">
        <v>0</v>
      </c>
      <c r="D29" s="4" t="b">
        <v>0</v>
      </c>
      <c r="E29" s="4" t="b">
        <v>0</v>
      </c>
      <c r="F29" s="4" t="s">
        <v>12</v>
      </c>
      <c r="G29" s="4" t="b">
        <f t="shared" si="0"/>
        <v>1</v>
      </c>
      <c r="H29" s="4"/>
      <c r="I29" s="4"/>
      <c r="J29" s="4" t="s">
        <v>26</v>
      </c>
      <c r="K29"/>
    </row>
    <row r="30" spans="1:11" ht="16" x14ac:dyDescent="0.2">
      <c r="A30" s="6" t="s">
        <v>90</v>
      </c>
      <c r="B30" s="6" t="s">
        <v>91</v>
      </c>
      <c r="C30" s="4" t="b">
        <v>0</v>
      </c>
      <c r="D30" s="4" t="b">
        <v>0</v>
      </c>
      <c r="E30" s="4" t="b">
        <v>0</v>
      </c>
      <c r="F30" s="4" t="s">
        <v>12</v>
      </c>
      <c r="G30" s="4" t="b">
        <f t="shared" si="0"/>
        <v>1</v>
      </c>
      <c r="H30" s="4"/>
      <c r="I30" s="4"/>
      <c r="J30" s="4" t="s">
        <v>26</v>
      </c>
      <c r="K30"/>
    </row>
    <row r="31" spans="1:11" ht="16" x14ac:dyDescent="0.2">
      <c r="A31" s="6" t="s">
        <v>92</v>
      </c>
      <c r="B31" s="6" t="s">
        <v>93</v>
      </c>
      <c r="C31" s="4" t="b">
        <v>0</v>
      </c>
      <c r="D31" s="4" t="b">
        <v>0</v>
      </c>
      <c r="E31" s="4" t="b">
        <v>1</v>
      </c>
      <c r="F31" s="4" t="s">
        <v>12</v>
      </c>
      <c r="G31" s="4" t="b">
        <f t="shared" si="0"/>
        <v>1</v>
      </c>
      <c r="H31" s="4"/>
      <c r="I31" s="4"/>
      <c r="J31" s="4" t="s">
        <v>94</v>
      </c>
      <c r="K31"/>
    </row>
    <row r="32" spans="1:11" ht="48" x14ac:dyDescent="0.2">
      <c r="A32" s="6" t="s">
        <v>95</v>
      </c>
      <c r="B32" s="6" t="s">
        <v>96</v>
      </c>
      <c r="C32" s="4" t="b">
        <v>1</v>
      </c>
      <c r="D32" s="4" t="b">
        <v>1</v>
      </c>
      <c r="E32" s="4" t="b">
        <v>1</v>
      </c>
      <c r="F32" s="4" t="s">
        <v>12</v>
      </c>
      <c r="G32" s="4" t="b">
        <f t="shared" si="0"/>
        <v>1</v>
      </c>
      <c r="H32" s="4" t="s">
        <v>97</v>
      </c>
      <c r="I32" s="4"/>
      <c r="J32" s="4" t="s">
        <v>98</v>
      </c>
      <c r="K32"/>
    </row>
    <row r="33" spans="1:10" customFormat="1" ht="16" x14ac:dyDescent="0.2">
      <c r="A33" s="6" t="s">
        <v>99</v>
      </c>
      <c r="B33" s="6" t="s">
        <v>100</v>
      </c>
      <c r="C33" s="4" t="b">
        <v>0</v>
      </c>
      <c r="D33" s="4" t="b">
        <v>0</v>
      </c>
      <c r="E33" s="4" t="b">
        <v>1</v>
      </c>
      <c r="F33" s="4" t="s">
        <v>12</v>
      </c>
      <c r="G33" s="4" t="b">
        <f t="shared" si="0"/>
        <v>1</v>
      </c>
      <c r="H33" s="4"/>
      <c r="I33" s="4"/>
      <c r="J33" s="4" t="s">
        <v>98</v>
      </c>
    </row>
    <row r="34" spans="1:10" customFormat="1" ht="16" x14ac:dyDescent="0.2">
      <c r="A34" s="6" t="s">
        <v>101</v>
      </c>
      <c r="B34" s="6" t="s">
        <v>102</v>
      </c>
      <c r="C34" s="4" t="b">
        <v>1</v>
      </c>
      <c r="D34" s="4" t="b">
        <v>1</v>
      </c>
      <c r="E34" s="4" t="b">
        <v>1</v>
      </c>
      <c r="F34" s="4" t="s">
        <v>12</v>
      </c>
      <c r="G34" s="4" t="b">
        <f t="shared" si="0"/>
        <v>1</v>
      </c>
      <c r="H34" s="4" t="s">
        <v>103</v>
      </c>
      <c r="I34" s="4"/>
      <c r="J34" s="4" t="s">
        <v>98</v>
      </c>
    </row>
    <row r="35" spans="1:10" customFormat="1" ht="64" x14ac:dyDescent="0.2">
      <c r="A35" s="6" t="s">
        <v>104</v>
      </c>
      <c r="B35" s="6" t="s">
        <v>105</v>
      </c>
      <c r="C35" s="4" t="b">
        <v>1</v>
      </c>
      <c r="D35" s="4" t="b">
        <v>0</v>
      </c>
      <c r="E35" s="4" t="b">
        <v>1</v>
      </c>
      <c r="F35" s="4" t="s">
        <v>12</v>
      </c>
      <c r="G35" s="4" t="b">
        <f t="shared" si="0"/>
        <v>1</v>
      </c>
      <c r="H35" s="4" t="s">
        <v>106</v>
      </c>
      <c r="I35" s="4"/>
      <c r="J35" s="4" t="s">
        <v>98</v>
      </c>
    </row>
    <row r="36" spans="1:10" customFormat="1" ht="16" x14ac:dyDescent="0.2">
      <c r="A36" s="6" t="s">
        <v>107</v>
      </c>
      <c r="B36" s="6" t="s">
        <v>108</v>
      </c>
      <c r="C36" s="4" t="b">
        <v>0</v>
      </c>
      <c r="D36" s="4" t="b">
        <v>0</v>
      </c>
      <c r="E36" s="4" t="b">
        <v>0</v>
      </c>
      <c r="F36" s="4" t="s">
        <v>12</v>
      </c>
      <c r="G36" s="4" t="b">
        <f t="shared" si="0"/>
        <v>1</v>
      </c>
      <c r="H36" s="4"/>
      <c r="I36" s="4"/>
      <c r="J36" s="4" t="s">
        <v>98</v>
      </c>
    </row>
    <row r="37" spans="1:10" customFormat="1" ht="48" x14ac:dyDescent="0.2">
      <c r="A37" s="6" t="s">
        <v>109</v>
      </c>
      <c r="B37" s="6" t="s">
        <v>110</v>
      </c>
      <c r="C37" s="4" t="b">
        <v>1</v>
      </c>
      <c r="D37" s="4" t="b">
        <v>0</v>
      </c>
      <c r="E37" s="4" t="b">
        <v>1</v>
      </c>
      <c r="F37" s="4" t="s">
        <v>12</v>
      </c>
      <c r="G37" s="4" t="b">
        <f t="shared" si="0"/>
        <v>1</v>
      </c>
      <c r="H37" s="4" t="s">
        <v>2850</v>
      </c>
      <c r="I37" s="4"/>
      <c r="J37" s="4" t="s">
        <v>98</v>
      </c>
    </row>
    <row r="38" spans="1:10" customFormat="1" ht="96" x14ac:dyDescent="0.2">
      <c r="A38" s="6" t="s">
        <v>111</v>
      </c>
      <c r="B38" s="6" t="s">
        <v>112</v>
      </c>
      <c r="C38" s="4" t="b">
        <v>1</v>
      </c>
      <c r="D38" s="4" t="b">
        <v>0</v>
      </c>
      <c r="E38" s="4" t="b">
        <v>1</v>
      </c>
      <c r="F38" s="4" t="s">
        <v>12</v>
      </c>
      <c r="G38" s="4" t="b">
        <f t="shared" si="0"/>
        <v>1</v>
      </c>
      <c r="H38" s="4" t="s">
        <v>113</v>
      </c>
      <c r="I38" s="4"/>
      <c r="J38" s="4" t="s">
        <v>98</v>
      </c>
    </row>
    <row r="39" spans="1:10" customFormat="1" ht="16" x14ac:dyDescent="0.2">
      <c r="A39" s="6" t="s">
        <v>114</v>
      </c>
      <c r="B39" s="6" t="s">
        <v>115</v>
      </c>
      <c r="C39" s="4" t="b">
        <v>0</v>
      </c>
      <c r="D39" s="4" t="b">
        <v>0</v>
      </c>
      <c r="E39" s="4" t="b">
        <v>1</v>
      </c>
      <c r="F39" s="4" t="s">
        <v>12</v>
      </c>
      <c r="G39" s="4" t="b">
        <f t="shared" si="0"/>
        <v>1</v>
      </c>
      <c r="H39" s="4"/>
      <c r="I39" s="4"/>
      <c r="J39" s="4" t="s">
        <v>98</v>
      </c>
    </row>
    <row r="40" spans="1:10" customFormat="1" ht="16" x14ac:dyDescent="0.2">
      <c r="A40" s="6" t="s">
        <v>116</v>
      </c>
      <c r="B40" s="6" t="s">
        <v>117</v>
      </c>
      <c r="C40" s="4" t="b">
        <v>0</v>
      </c>
      <c r="D40" s="4" t="b">
        <v>0</v>
      </c>
      <c r="E40" s="4" t="b">
        <v>0</v>
      </c>
      <c r="F40" s="4" t="s">
        <v>12</v>
      </c>
      <c r="G40" s="4" t="b">
        <f t="shared" si="0"/>
        <v>1</v>
      </c>
      <c r="H40" s="4"/>
      <c r="I40" s="4"/>
      <c r="J40" s="4" t="s">
        <v>98</v>
      </c>
    </row>
    <row r="41" spans="1:10" customFormat="1" ht="272" x14ac:dyDescent="0.2">
      <c r="A41" s="6" t="s">
        <v>118</v>
      </c>
      <c r="B41" s="6" t="s">
        <v>119</v>
      </c>
      <c r="C41" s="4" t="b">
        <v>1</v>
      </c>
      <c r="D41" s="4" t="b">
        <v>1</v>
      </c>
      <c r="E41" s="4" t="b">
        <v>1</v>
      </c>
      <c r="F41" s="4" t="s">
        <v>12</v>
      </c>
      <c r="G41" s="4" t="b">
        <f t="shared" si="0"/>
        <v>1</v>
      </c>
      <c r="H41" s="4" t="s">
        <v>120</v>
      </c>
      <c r="I41" s="4"/>
      <c r="J41" s="4" t="s">
        <v>98</v>
      </c>
    </row>
    <row r="42" spans="1:10" customFormat="1" ht="16" x14ac:dyDescent="0.2">
      <c r="A42" s="6" t="s">
        <v>121</v>
      </c>
      <c r="B42" s="6" t="s">
        <v>122</v>
      </c>
      <c r="C42" s="4" t="b">
        <v>0</v>
      </c>
      <c r="D42" s="4" t="b">
        <v>0</v>
      </c>
      <c r="E42" s="4" t="b">
        <v>1</v>
      </c>
      <c r="F42" s="4" t="s">
        <v>12</v>
      </c>
      <c r="G42" s="4" t="b">
        <f t="shared" si="0"/>
        <v>1</v>
      </c>
      <c r="H42" s="4"/>
      <c r="I42" s="4"/>
      <c r="J42" s="4" t="s">
        <v>98</v>
      </c>
    </row>
    <row r="43" spans="1:10" customFormat="1" ht="16" x14ac:dyDescent="0.2">
      <c r="A43" s="6" t="s">
        <v>123</v>
      </c>
      <c r="B43" s="6" t="s">
        <v>124</v>
      </c>
      <c r="C43" s="4" t="b">
        <v>0</v>
      </c>
      <c r="D43" s="4" t="b">
        <v>0</v>
      </c>
      <c r="E43" s="4" t="b">
        <v>0</v>
      </c>
      <c r="F43" s="4" t="s">
        <v>12</v>
      </c>
      <c r="G43" s="4" t="b">
        <f t="shared" si="0"/>
        <v>1</v>
      </c>
      <c r="H43" s="4"/>
      <c r="I43" s="4"/>
      <c r="J43" s="4" t="s">
        <v>98</v>
      </c>
    </row>
    <row r="44" spans="1:10" customFormat="1" ht="48" x14ac:dyDescent="0.2">
      <c r="A44" s="6" t="s">
        <v>125</v>
      </c>
      <c r="B44" s="6" t="s">
        <v>126</v>
      </c>
      <c r="C44" s="4" t="b">
        <v>1</v>
      </c>
      <c r="D44" s="4" t="b">
        <v>0</v>
      </c>
      <c r="E44" s="4" t="b">
        <v>1</v>
      </c>
      <c r="F44" s="4" t="s">
        <v>12</v>
      </c>
      <c r="G44" s="4" t="b">
        <f t="shared" si="0"/>
        <v>1</v>
      </c>
      <c r="H44" s="4" t="s">
        <v>127</v>
      </c>
      <c r="I44" s="4"/>
      <c r="J44" s="4" t="s">
        <v>98</v>
      </c>
    </row>
    <row r="45" spans="1:10" customFormat="1" ht="48" x14ac:dyDescent="0.2">
      <c r="A45" s="6" t="s">
        <v>128</v>
      </c>
      <c r="B45" s="6" t="s">
        <v>129</v>
      </c>
      <c r="C45" s="4" t="b">
        <v>1</v>
      </c>
      <c r="D45" s="4" t="b">
        <v>0</v>
      </c>
      <c r="E45" s="4" t="b">
        <v>1</v>
      </c>
      <c r="F45" s="4" t="s">
        <v>12</v>
      </c>
      <c r="G45" s="4" t="b">
        <f t="shared" si="0"/>
        <v>1</v>
      </c>
      <c r="H45" s="4" t="s">
        <v>2854</v>
      </c>
      <c r="I45" s="4"/>
      <c r="J45" s="4" t="s">
        <v>98</v>
      </c>
    </row>
    <row r="46" spans="1:10" customFormat="1" ht="128" x14ac:dyDescent="0.2">
      <c r="A46" s="6" t="s">
        <v>130</v>
      </c>
      <c r="B46" s="6" t="s">
        <v>131</v>
      </c>
      <c r="C46" s="4" t="b">
        <v>1</v>
      </c>
      <c r="D46" s="4" t="b">
        <v>0</v>
      </c>
      <c r="E46" s="4" t="b">
        <v>1</v>
      </c>
      <c r="F46" s="4" t="s">
        <v>12</v>
      </c>
      <c r="G46" s="4" t="b">
        <f t="shared" si="0"/>
        <v>1</v>
      </c>
      <c r="H46" s="4" t="s">
        <v>2855</v>
      </c>
      <c r="I46" s="4"/>
      <c r="J46" s="4" t="s">
        <v>98</v>
      </c>
    </row>
    <row r="47" spans="1:10" customFormat="1" ht="96" x14ac:dyDescent="0.2">
      <c r="A47" s="6" t="s">
        <v>132</v>
      </c>
      <c r="B47" s="6" t="s">
        <v>133</v>
      </c>
      <c r="C47" s="4" t="b">
        <v>1</v>
      </c>
      <c r="D47" s="4" t="b">
        <v>0</v>
      </c>
      <c r="E47" s="4" t="b">
        <v>1</v>
      </c>
      <c r="F47" s="4" t="s">
        <v>12</v>
      </c>
      <c r="G47" s="4" t="b">
        <f t="shared" si="0"/>
        <v>1</v>
      </c>
      <c r="H47" s="4" t="s">
        <v>2856</v>
      </c>
      <c r="I47" s="4"/>
      <c r="J47" s="4" t="s">
        <v>98</v>
      </c>
    </row>
    <row r="48" spans="1:10" customFormat="1" ht="32" x14ac:dyDescent="0.2">
      <c r="A48" s="6" t="s">
        <v>134</v>
      </c>
      <c r="B48" s="6" t="s">
        <v>135</v>
      </c>
      <c r="C48" s="4" t="b">
        <v>1</v>
      </c>
      <c r="D48" s="4" t="b">
        <v>0</v>
      </c>
      <c r="E48" s="4" t="b">
        <v>1</v>
      </c>
      <c r="F48" s="4" t="s">
        <v>12</v>
      </c>
      <c r="G48" s="4" t="b">
        <f t="shared" si="0"/>
        <v>1</v>
      </c>
      <c r="H48" s="4" t="s">
        <v>2874</v>
      </c>
      <c r="I48" s="4"/>
      <c r="J48" s="4" t="s">
        <v>98</v>
      </c>
    </row>
    <row r="49" spans="1:10" customFormat="1" ht="64" x14ac:dyDescent="0.2">
      <c r="A49" s="6" t="s">
        <v>136</v>
      </c>
      <c r="B49" s="6" t="s">
        <v>137</v>
      </c>
      <c r="C49" s="4" t="b">
        <v>1</v>
      </c>
      <c r="D49" s="4" t="b">
        <v>0</v>
      </c>
      <c r="E49" s="4" t="b">
        <v>1</v>
      </c>
      <c r="F49" s="4" t="s">
        <v>12</v>
      </c>
      <c r="G49" s="4" t="b">
        <f t="shared" si="0"/>
        <v>1</v>
      </c>
      <c r="H49" s="4" t="s">
        <v>2875</v>
      </c>
      <c r="I49" s="4"/>
      <c r="J49" s="4" t="s">
        <v>98</v>
      </c>
    </row>
    <row r="50" spans="1:10" customFormat="1" ht="16" x14ac:dyDescent="0.2">
      <c r="A50" s="6" t="s">
        <v>138</v>
      </c>
      <c r="B50" s="6" t="s">
        <v>139</v>
      </c>
      <c r="C50" s="4" t="b">
        <v>1</v>
      </c>
      <c r="D50" s="4" t="b">
        <v>0</v>
      </c>
      <c r="E50" s="4" t="b">
        <v>1</v>
      </c>
      <c r="F50" s="4" t="s">
        <v>12</v>
      </c>
      <c r="G50" s="4" t="b">
        <f t="shared" si="0"/>
        <v>1</v>
      </c>
      <c r="H50" s="4" t="s">
        <v>2876</v>
      </c>
      <c r="I50" s="4"/>
      <c r="J50" s="4" t="s">
        <v>98</v>
      </c>
    </row>
    <row r="51" spans="1:10" customFormat="1" ht="16" x14ac:dyDescent="0.2">
      <c r="A51" s="6" t="s">
        <v>140</v>
      </c>
      <c r="B51" s="6" t="s">
        <v>141</v>
      </c>
      <c r="C51" s="4" t="b">
        <v>0</v>
      </c>
      <c r="D51" s="4" t="b">
        <v>0</v>
      </c>
      <c r="E51" s="4" t="b">
        <v>0</v>
      </c>
      <c r="F51" s="4" t="s">
        <v>12</v>
      </c>
      <c r="G51" s="4" t="b">
        <f t="shared" si="0"/>
        <v>1</v>
      </c>
      <c r="H51" s="4" t="s">
        <v>2877</v>
      </c>
      <c r="I51" s="4"/>
      <c r="J51" s="4" t="s">
        <v>98</v>
      </c>
    </row>
    <row r="52" spans="1:10" customFormat="1" ht="16" x14ac:dyDescent="0.2">
      <c r="A52" s="6" t="s">
        <v>142</v>
      </c>
      <c r="B52" s="6" t="s">
        <v>143</v>
      </c>
      <c r="C52" s="4" t="b">
        <v>0</v>
      </c>
      <c r="D52" s="4" t="b">
        <v>0</v>
      </c>
      <c r="E52" s="4" t="b">
        <v>1</v>
      </c>
      <c r="F52" s="4" t="s">
        <v>12</v>
      </c>
      <c r="G52" s="4" t="b">
        <f t="shared" si="0"/>
        <v>1</v>
      </c>
      <c r="H52" s="4"/>
      <c r="I52" s="4"/>
      <c r="J52" s="4" t="s">
        <v>98</v>
      </c>
    </row>
    <row r="53" spans="1:10" customFormat="1" ht="16" x14ac:dyDescent="0.2">
      <c r="A53" s="6" t="s">
        <v>144</v>
      </c>
      <c r="B53" s="6" t="s">
        <v>145</v>
      </c>
      <c r="C53" s="4" t="b">
        <v>0</v>
      </c>
      <c r="D53" s="4" t="b">
        <v>0</v>
      </c>
      <c r="E53" s="4" t="b">
        <v>1</v>
      </c>
      <c r="F53" s="4" t="s">
        <v>12</v>
      </c>
      <c r="G53" s="4" t="b">
        <f t="shared" si="0"/>
        <v>1</v>
      </c>
      <c r="H53" s="4"/>
      <c r="I53" s="4"/>
      <c r="J53" s="4" t="s">
        <v>98</v>
      </c>
    </row>
    <row r="54" spans="1:10" customFormat="1" ht="16" x14ac:dyDescent="0.2">
      <c r="A54" s="6" t="s">
        <v>146</v>
      </c>
      <c r="B54" s="6" t="s">
        <v>147</v>
      </c>
      <c r="C54" s="4" t="b">
        <v>0</v>
      </c>
      <c r="D54" s="4" t="b">
        <v>0</v>
      </c>
      <c r="E54" s="4" t="b">
        <v>0</v>
      </c>
      <c r="F54" s="4"/>
      <c r="G54" s="4" t="b">
        <f t="shared" si="0"/>
        <v>0</v>
      </c>
      <c r="H54" s="4"/>
      <c r="I54" s="4"/>
      <c r="J54" s="4" t="s">
        <v>98</v>
      </c>
    </row>
    <row r="55" spans="1:10" customFormat="1" ht="16" x14ac:dyDescent="0.2">
      <c r="A55" s="6" t="s">
        <v>148</v>
      </c>
      <c r="B55" s="6" t="s">
        <v>149</v>
      </c>
      <c r="C55" s="4" t="b">
        <v>0</v>
      </c>
      <c r="D55" s="4" t="b">
        <v>0</v>
      </c>
      <c r="E55" s="4" t="b">
        <v>0</v>
      </c>
      <c r="F55" s="4"/>
      <c r="G55" s="4" t="b">
        <f t="shared" si="0"/>
        <v>0</v>
      </c>
      <c r="H55" s="4"/>
      <c r="I55" s="4"/>
      <c r="J55" s="4" t="s">
        <v>98</v>
      </c>
    </row>
    <row r="56" spans="1:10" customFormat="1" ht="16" x14ac:dyDescent="0.2">
      <c r="A56" s="6" t="s">
        <v>150</v>
      </c>
      <c r="B56" s="6" t="s">
        <v>151</v>
      </c>
      <c r="C56" s="4" t="b">
        <v>0</v>
      </c>
      <c r="D56" s="4" t="b">
        <v>0</v>
      </c>
      <c r="E56" s="4" t="b">
        <v>1</v>
      </c>
      <c r="F56" s="4" t="s">
        <v>12</v>
      </c>
      <c r="G56" s="4" t="b">
        <f>IF(F56="✔", TRUE, FALSE)</f>
        <v>1</v>
      </c>
      <c r="H56" s="4"/>
      <c r="I56" s="4"/>
      <c r="J56" s="4" t="s">
        <v>98</v>
      </c>
    </row>
    <row r="57" spans="1:10" customFormat="1" ht="16" x14ac:dyDescent="0.2">
      <c r="A57" s="6" t="s">
        <v>152</v>
      </c>
      <c r="B57" s="6" t="s">
        <v>153</v>
      </c>
      <c r="C57" s="4" t="b">
        <v>0</v>
      </c>
      <c r="D57" s="4" t="b">
        <v>0</v>
      </c>
      <c r="E57" s="4" t="b">
        <v>1</v>
      </c>
      <c r="F57" s="4"/>
      <c r="G57" s="4" t="b">
        <f t="shared" si="0"/>
        <v>0</v>
      </c>
      <c r="H57" s="4"/>
      <c r="I57" s="4"/>
      <c r="J57" s="4" t="s">
        <v>98</v>
      </c>
    </row>
    <row r="58" spans="1:10" customFormat="1" ht="16" x14ac:dyDescent="0.2">
      <c r="A58" s="6" t="s">
        <v>154</v>
      </c>
      <c r="B58" s="6" t="s">
        <v>155</v>
      </c>
      <c r="C58" s="4" t="b">
        <v>0</v>
      </c>
      <c r="D58" s="4" t="b">
        <v>0</v>
      </c>
      <c r="E58" s="4" t="b">
        <v>0</v>
      </c>
      <c r="F58" s="4" t="s">
        <v>12</v>
      </c>
      <c r="G58" s="4" t="b">
        <f t="shared" si="0"/>
        <v>1</v>
      </c>
      <c r="H58" s="4"/>
      <c r="I58" s="4"/>
      <c r="J58" s="4" t="s">
        <v>98</v>
      </c>
    </row>
    <row r="59" spans="1:10" customFormat="1" ht="16" x14ac:dyDescent="0.2">
      <c r="A59" s="6" t="s">
        <v>156</v>
      </c>
      <c r="B59" s="6" t="s">
        <v>157</v>
      </c>
      <c r="C59" s="4" t="b">
        <v>0</v>
      </c>
      <c r="D59" s="4" t="b">
        <v>0</v>
      </c>
      <c r="E59" s="4" t="b">
        <v>0</v>
      </c>
      <c r="F59" s="4"/>
      <c r="G59" s="4" t="b">
        <f t="shared" si="0"/>
        <v>0</v>
      </c>
      <c r="H59" s="4"/>
      <c r="I59" s="4"/>
      <c r="J59" s="4" t="s">
        <v>98</v>
      </c>
    </row>
    <row r="60" spans="1:10" customFormat="1" ht="48" x14ac:dyDescent="0.2">
      <c r="A60" s="6" t="s">
        <v>158</v>
      </c>
      <c r="B60" s="6" t="s">
        <v>159</v>
      </c>
      <c r="C60" s="4" t="b">
        <v>1</v>
      </c>
      <c r="D60" s="4" t="b">
        <v>1</v>
      </c>
      <c r="E60" s="4" t="b">
        <v>1</v>
      </c>
      <c r="F60" s="4" t="s">
        <v>12</v>
      </c>
      <c r="G60" s="4" t="b">
        <f t="shared" si="0"/>
        <v>1</v>
      </c>
      <c r="H60" s="4" t="s">
        <v>3224</v>
      </c>
      <c r="I60" s="4"/>
      <c r="J60" s="4" t="s">
        <v>98</v>
      </c>
    </row>
    <row r="61" spans="1:10" customFormat="1" ht="16" x14ac:dyDescent="0.2">
      <c r="A61" s="6" t="s">
        <v>160</v>
      </c>
      <c r="B61" s="6" t="s">
        <v>161</v>
      </c>
      <c r="C61" s="4" t="b">
        <v>1</v>
      </c>
      <c r="D61" s="4" t="b">
        <v>0</v>
      </c>
      <c r="E61" s="4" t="b">
        <v>1</v>
      </c>
      <c r="F61" s="4" t="s">
        <v>12</v>
      </c>
      <c r="G61" s="4" t="b">
        <f t="shared" si="0"/>
        <v>1</v>
      </c>
      <c r="H61" s="4"/>
      <c r="I61" s="4"/>
      <c r="J61" s="4" t="s">
        <v>98</v>
      </c>
    </row>
    <row r="62" spans="1:10" customFormat="1" ht="16" x14ac:dyDescent="0.2">
      <c r="A62" s="6" t="s">
        <v>162</v>
      </c>
      <c r="B62" s="6" t="s">
        <v>163</v>
      </c>
      <c r="C62" s="4" t="b">
        <v>0</v>
      </c>
      <c r="D62" s="4" t="b">
        <v>0</v>
      </c>
      <c r="E62" s="4" t="b">
        <v>0</v>
      </c>
      <c r="F62" s="4"/>
      <c r="G62" s="4" t="b">
        <f t="shared" si="0"/>
        <v>0</v>
      </c>
      <c r="H62" s="4"/>
      <c r="I62" s="4"/>
      <c r="J62" s="4" t="s">
        <v>98</v>
      </c>
    </row>
    <row r="63" spans="1:10" customFormat="1" ht="16" x14ac:dyDescent="0.2">
      <c r="A63" s="6" t="s">
        <v>164</v>
      </c>
      <c r="B63" s="6" t="s">
        <v>165</v>
      </c>
      <c r="C63" s="4" t="b">
        <v>0</v>
      </c>
      <c r="D63" s="4" t="b">
        <v>0</v>
      </c>
      <c r="E63" s="4" t="b">
        <v>0</v>
      </c>
      <c r="F63" s="4"/>
      <c r="G63" s="4" t="b">
        <f t="shared" si="0"/>
        <v>0</v>
      </c>
      <c r="H63" s="4"/>
      <c r="I63" s="4"/>
      <c r="J63" s="4" t="s">
        <v>98</v>
      </c>
    </row>
    <row r="64" spans="1:10" customFormat="1" ht="16" x14ac:dyDescent="0.2">
      <c r="A64" s="6" t="s">
        <v>166</v>
      </c>
      <c r="B64" s="6" t="s">
        <v>167</v>
      </c>
      <c r="C64" s="4" t="b">
        <v>0</v>
      </c>
      <c r="D64" s="4" t="b">
        <v>0</v>
      </c>
      <c r="E64" s="4" t="b">
        <v>0</v>
      </c>
      <c r="F64" s="4"/>
      <c r="G64" s="4" t="b">
        <f t="shared" si="0"/>
        <v>0</v>
      </c>
      <c r="H64" s="4"/>
      <c r="I64" s="4"/>
      <c r="J64" s="4" t="s">
        <v>98</v>
      </c>
    </row>
    <row r="65" spans="1:10" customFormat="1" ht="16" x14ac:dyDescent="0.2">
      <c r="A65" s="6" t="s">
        <v>168</v>
      </c>
      <c r="B65" s="6" t="s">
        <v>169</v>
      </c>
      <c r="C65" s="4" t="b">
        <v>0</v>
      </c>
      <c r="D65" s="4" t="b">
        <v>0</v>
      </c>
      <c r="E65" s="4" t="b">
        <v>0</v>
      </c>
      <c r="F65" s="4"/>
      <c r="G65" s="4" t="b">
        <f t="shared" si="0"/>
        <v>0</v>
      </c>
      <c r="H65" s="4"/>
      <c r="I65" s="4"/>
      <c r="J65" s="4" t="s">
        <v>98</v>
      </c>
    </row>
    <row r="66" spans="1:10" customFormat="1" ht="16" x14ac:dyDescent="0.2">
      <c r="A66" s="6" t="s">
        <v>170</v>
      </c>
      <c r="B66" s="6" t="s">
        <v>171</v>
      </c>
      <c r="C66" s="4" t="b">
        <v>0</v>
      </c>
      <c r="D66" s="4" t="b">
        <v>0</v>
      </c>
      <c r="E66" s="4" t="b">
        <v>0</v>
      </c>
      <c r="F66" s="4"/>
      <c r="G66" s="4" t="b">
        <f t="shared" ref="G66:G129" si="1">IF(F66="✔", TRUE, FALSE)</f>
        <v>0</v>
      </c>
      <c r="H66" s="4"/>
      <c r="I66" s="4"/>
      <c r="J66" s="4" t="s">
        <v>98</v>
      </c>
    </row>
    <row r="67" spans="1:10" customFormat="1" ht="16" x14ac:dyDescent="0.2">
      <c r="A67" s="6" t="s">
        <v>172</v>
      </c>
      <c r="B67" s="6" t="s">
        <v>173</v>
      </c>
      <c r="C67" s="4" t="b">
        <v>0</v>
      </c>
      <c r="D67" s="4" t="b">
        <v>0</v>
      </c>
      <c r="E67" s="4" t="b">
        <v>0</v>
      </c>
      <c r="F67" s="4"/>
      <c r="G67" s="4" t="b">
        <f t="shared" si="1"/>
        <v>0</v>
      </c>
      <c r="H67" s="4"/>
      <c r="I67" s="4"/>
      <c r="J67" s="4" t="s">
        <v>98</v>
      </c>
    </row>
    <row r="68" spans="1:10" customFormat="1" ht="48" x14ac:dyDescent="0.2">
      <c r="A68" s="6" t="s">
        <v>174</v>
      </c>
      <c r="B68" s="6" t="s">
        <v>175</v>
      </c>
      <c r="C68" s="4" t="b">
        <v>1</v>
      </c>
      <c r="D68" s="4" t="b">
        <v>1</v>
      </c>
      <c r="E68" s="4" t="b">
        <v>1</v>
      </c>
      <c r="F68" s="4" t="s">
        <v>12</v>
      </c>
      <c r="G68" s="4" t="b">
        <f t="shared" si="1"/>
        <v>1</v>
      </c>
      <c r="H68" s="4" t="s">
        <v>3225</v>
      </c>
      <c r="I68" s="4"/>
      <c r="J68" s="4" t="s">
        <v>98</v>
      </c>
    </row>
    <row r="69" spans="1:10" customFormat="1" ht="16" x14ac:dyDescent="0.2">
      <c r="A69" s="6" t="s">
        <v>176</v>
      </c>
      <c r="B69" s="6" t="s">
        <v>177</v>
      </c>
      <c r="C69" s="4" t="b">
        <v>0</v>
      </c>
      <c r="D69" s="4" t="b">
        <v>0</v>
      </c>
      <c r="E69" s="4" t="b">
        <v>0</v>
      </c>
      <c r="F69" s="4"/>
      <c r="G69" s="4" t="b">
        <f t="shared" si="1"/>
        <v>0</v>
      </c>
      <c r="H69" s="4"/>
      <c r="I69" s="4"/>
      <c r="J69" s="4" t="s">
        <v>98</v>
      </c>
    </row>
    <row r="70" spans="1:10" customFormat="1" ht="16" x14ac:dyDescent="0.2">
      <c r="A70" s="6" t="s">
        <v>178</v>
      </c>
      <c r="B70" s="6" t="s">
        <v>179</v>
      </c>
      <c r="C70" s="4" t="b">
        <v>0</v>
      </c>
      <c r="D70" s="4" t="b">
        <v>0</v>
      </c>
      <c r="E70" s="4" t="b">
        <v>0</v>
      </c>
      <c r="F70" s="4"/>
      <c r="G70" s="4" t="b">
        <f t="shared" si="1"/>
        <v>0</v>
      </c>
      <c r="H70" s="4"/>
      <c r="I70" s="4"/>
      <c r="J70" s="4" t="s">
        <v>98</v>
      </c>
    </row>
    <row r="71" spans="1:10" customFormat="1" ht="48" x14ac:dyDescent="0.2">
      <c r="A71" s="6" t="s">
        <v>180</v>
      </c>
      <c r="B71" s="6" t="s">
        <v>181</v>
      </c>
      <c r="C71" s="4" t="b">
        <v>1</v>
      </c>
      <c r="D71" s="4" t="b">
        <v>1</v>
      </c>
      <c r="E71" s="4" t="b">
        <v>1</v>
      </c>
      <c r="F71" s="4" t="s">
        <v>12</v>
      </c>
      <c r="G71" s="4" t="b">
        <f t="shared" si="1"/>
        <v>1</v>
      </c>
      <c r="H71" s="4" t="s">
        <v>3226</v>
      </c>
      <c r="I71" s="4"/>
      <c r="J71" s="4" t="s">
        <v>98</v>
      </c>
    </row>
    <row r="72" spans="1:10" customFormat="1" ht="16" x14ac:dyDescent="0.2">
      <c r="A72" s="6" t="s">
        <v>182</v>
      </c>
      <c r="B72" s="6" t="s">
        <v>183</v>
      </c>
      <c r="C72" s="4" t="b">
        <v>0</v>
      </c>
      <c r="D72" s="4" t="b">
        <v>0</v>
      </c>
      <c r="E72" s="4" t="b">
        <v>0</v>
      </c>
      <c r="F72" s="4"/>
      <c r="G72" s="4" t="b">
        <f t="shared" si="1"/>
        <v>0</v>
      </c>
      <c r="H72" s="4"/>
      <c r="I72" s="4"/>
      <c r="J72" s="4" t="s">
        <v>98</v>
      </c>
    </row>
    <row r="73" spans="1:10" customFormat="1" ht="80" x14ac:dyDescent="0.2">
      <c r="A73" s="6" t="s">
        <v>184</v>
      </c>
      <c r="B73" s="6" t="s">
        <v>185</v>
      </c>
      <c r="C73" s="4" t="b">
        <v>1</v>
      </c>
      <c r="D73" s="4" t="b">
        <v>0</v>
      </c>
      <c r="E73" s="4" t="b">
        <v>1</v>
      </c>
      <c r="F73" s="4" t="s">
        <v>12</v>
      </c>
      <c r="G73" s="4" t="b">
        <f t="shared" si="1"/>
        <v>1</v>
      </c>
      <c r="H73" s="4" t="s">
        <v>3227</v>
      </c>
      <c r="I73" s="4"/>
      <c r="J73" s="4" t="s">
        <v>98</v>
      </c>
    </row>
    <row r="74" spans="1:10" customFormat="1" ht="16" x14ac:dyDescent="0.2">
      <c r="A74" s="6" t="s">
        <v>186</v>
      </c>
      <c r="B74" s="6" t="s">
        <v>187</v>
      </c>
      <c r="C74" s="4" t="b">
        <v>0</v>
      </c>
      <c r="D74" s="4" t="b">
        <v>0</v>
      </c>
      <c r="E74" s="4" t="b">
        <v>1</v>
      </c>
      <c r="F74" s="4"/>
      <c r="G74" s="4" t="b">
        <f t="shared" si="1"/>
        <v>0</v>
      </c>
      <c r="H74" s="4"/>
      <c r="I74" s="4"/>
      <c r="J74" s="4" t="s">
        <v>98</v>
      </c>
    </row>
    <row r="75" spans="1:10" customFormat="1" ht="16" x14ac:dyDescent="0.2">
      <c r="A75" s="6" t="s">
        <v>188</v>
      </c>
      <c r="B75" s="6" t="s">
        <v>189</v>
      </c>
      <c r="C75" s="4" t="b">
        <v>0</v>
      </c>
      <c r="D75" s="4" t="b">
        <v>0</v>
      </c>
      <c r="E75" s="4" t="b">
        <v>1</v>
      </c>
      <c r="F75" s="4"/>
      <c r="G75" s="4" t="b">
        <f t="shared" si="1"/>
        <v>0</v>
      </c>
      <c r="H75" s="4"/>
      <c r="I75" s="4"/>
      <c r="J75" s="4" t="s">
        <v>98</v>
      </c>
    </row>
    <row r="76" spans="1:10" customFormat="1" ht="80" x14ac:dyDescent="0.2">
      <c r="A76" s="6" t="s">
        <v>190</v>
      </c>
      <c r="B76" s="6" t="s">
        <v>191</v>
      </c>
      <c r="C76" s="4" t="b">
        <v>1</v>
      </c>
      <c r="D76" s="4" t="b">
        <v>1</v>
      </c>
      <c r="E76" s="4" t="b">
        <v>1</v>
      </c>
      <c r="F76" s="4" t="s">
        <v>12</v>
      </c>
      <c r="G76" s="4" t="b">
        <f t="shared" si="1"/>
        <v>1</v>
      </c>
      <c r="H76" s="4" t="s">
        <v>3228</v>
      </c>
      <c r="I76" s="1"/>
      <c r="J76" s="4" t="s">
        <v>98</v>
      </c>
    </row>
    <row r="77" spans="1:10" customFormat="1" ht="32" x14ac:dyDescent="0.2">
      <c r="A77" s="6" t="s">
        <v>192</v>
      </c>
      <c r="B77" s="6" t="s">
        <v>193</v>
      </c>
      <c r="C77" s="4" t="b">
        <v>1</v>
      </c>
      <c r="D77" s="4" t="b">
        <v>0</v>
      </c>
      <c r="E77" s="4" t="b">
        <v>1</v>
      </c>
      <c r="F77" s="4" t="s">
        <v>12</v>
      </c>
      <c r="G77" s="4" t="b">
        <f t="shared" si="1"/>
        <v>1</v>
      </c>
      <c r="H77" s="4" t="s">
        <v>3229</v>
      </c>
      <c r="I77" s="4"/>
      <c r="J77" s="4" t="s">
        <v>98</v>
      </c>
    </row>
    <row r="78" spans="1:10" customFormat="1" ht="16" x14ac:dyDescent="0.2">
      <c r="A78" s="6" t="s">
        <v>194</v>
      </c>
      <c r="B78" s="6" t="s">
        <v>195</v>
      </c>
      <c r="C78" s="4" t="b">
        <v>0</v>
      </c>
      <c r="D78" s="4" t="b">
        <v>0</v>
      </c>
      <c r="E78" s="4" t="b">
        <v>0</v>
      </c>
      <c r="F78" s="4"/>
      <c r="G78" s="4" t="b">
        <f t="shared" si="1"/>
        <v>0</v>
      </c>
      <c r="H78" s="4"/>
      <c r="I78" s="4"/>
      <c r="J78" s="4" t="s">
        <v>98</v>
      </c>
    </row>
    <row r="79" spans="1:10" customFormat="1" ht="48" x14ac:dyDescent="0.2">
      <c r="A79" s="6" t="s">
        <v>196</v>
      </c>
      <c r="B79" s="6" t="s">
        <v>197</v>
      </c>
      <c r="C79" s="4" t="b">
        <v>1</v>
      </c>
      <c r="D79" s="4" t="b">
        <v>0</v>
      </c>
      <c r="E79" s="4" t="b">
        <v>1</v>
      </c>
      <c r="F79" s="4" t="s">
        <v>12</v>
      </c>
      <c r="G79" s="4" t="b">
        <f t="shared" si="1"/>
        <v>1</v>
      </c>
      <c r="H79" s="4" t="s">
        <v>3230</v>
      </c>
      <c r="I79" s="4"/>
      <c r="J79" s="4" t="s">
        <v>98</v>
      </c>
    </row>
    <row r="80" spans="1:10" customFormat="1" ht="16" x14ac:dyDescent="0.2">
      <c r="A80" s="6" t="s">
        <v>198</v>
      </c>
      <c r="B80" s="6" t="s">
        <v>199</v>
      </c>
      <c r="C80" s="4" t="b">
        <v>0</v>
      </c>
      <c r="D80" s="4" t="b">
        <v>0</v>
      </c>
      <c r="E80" s="4" t="b">
        <v>0</v>
      </c>
      <c r="F80" s="4"/>
      <c r="G80" s="4" t="b">
        <f t="shared" si="1"/>
        <v>0</v>
      </c>
      <c r="H80" s="4"/>
      <c r="I80" s="4"/>
      <c r="J80" s="4" t="s">
        <v>98</v>
      </c>
    </row>
    <row r="81" spans="1:10" customFormat="1" ht="32" x14ac:dyDescent="0.2">
      <c r="A81" s="6" t="s">
        <v>200</v>
      </c>
      <c r="B81" s="6" t="s">
        <v>201</v>
      </c>
      <c r="C81" s="4" t="b">
        <v>1</v>
      </c>
      <c r="D81" s="4" t="b">
        <v>0</v>
      </c>
      <c r="E81" s="4" t="b">
        <v>1</v>
      </c>
      <c r="F81" s="4" t="s">
        <v>12</v>
      </c>
      <c r="G81" s="4" t="b">
        <f t="shared" si="1"/>
        <v>1</v>
      </c>
      <c r="H81" s="4" t="s">
        <v>3231</v>
      </c>
      <c r="I81" s="4"/>
      <c r="J81" s="4" t="s">
        <v>98</v>
      </c>
    </row>
    <row r="82" spans="1:10" customFormat="1" ht="16" x14ac:dyDescent="0.2">
      <c r="A82" s="6" t="s">
        <v>202</v>
      </c>
      <c r="B82" s="6" t="s">
        <v>203</v>
      </c>
      <c r="C82" s="4" t="b">
        <v>0</v>
      </c>
      <c r="D82" s="4" t="b">
        <v>0</v>
      </c>
      <c r="E82" s="4" t="b">
        <v>0</v>
      </c>
      <c r="F82" s="4" t="s">
        <v>12</v>
      </c>
      <c r="G82" s="4" t="b">
        <f t="shared" si="1"/>
        <v>1</v>
      </c>
      <c r="H82" s="4"/>
      <c r="I82" s="4"/>
      <c r="J82" s="4" t="s">
        <v>98</v>
      </c>
    </row>
    <row r="83" spans="1:10" customFormat="1" ht="80" x14ac:dyDescent="0.2">
      <c r="A83" s="6" t="s">
        <v>204</v>
      </c>
      <c r="B83" s="6" t="s">
        <v>205</v>
      </c>
      <c r="C83" s="4" t="b">
        <v>1</v>
      </c>
      <c r="D83" s="4" t="b">
        <v>1</v>
      </c>
      <c r="E83" s="4" t="b">
        <v>1</v>
      </c>
      <c r="F83" s="4" t="s">
        <v>12</v>
      </c>
      <c r="G83" s="4" t="b">
        <f t="shared" si="1"/>
        <v>1</v>
      </c>
      <c r="H83" s="4" t="s">
        <v>3232</v>
      </c>
      <c r="I83" s="4"/>
      <c r="J83" s="4" t="s">
        <v>98</v>
      </c>
    </row>
    <row r="84" spans="1:10" customFormat="1" ht="16" x14ac:dyDescent="0.2">
      <c r="A84" s="6" t="s">
        <v>206</v>
      </c>
      <c r="B84" s="6" t="s">
        <v>207</v>
      </c>
      <c r="C84" s="4" t="b">
        <v>0</v>
      </c>
      <c r="D84" s="4" t="b">
        <v>0</v>
      </c>
      <c r="E84" s="4" t="b">
        <v>0</v>
      </c>
      <c r="F84" s="4"/>
      <c r="G84" s="4" t="b">
        <f t="shared" si="1"/>
        <v>0</v>
      </c>
      <c r="H84" s="4"/>
      <c r="I84" s="4"/>
      <c r="J84" s="4" t="s">
        <v>98</v>
      </c>
    </row>
    <row r="85" spans="1:10" customFormat="1" ht="16" x14ac:dyDescent="0.2">
      <c r="A85" s="6" t="s">
        <v>208</v>
      </c>
      <c r="B85" s="6" t="s">
        <v>209</v>
      </c>
      <c r="C85" s="4" t="b">
        <v>1</v>
      </c>
      <c r="D85" s="4" t="b">
        <v>0</v>
      </c>
      <c r="E85" s="4" t="b">
        <v>1</v>
      </c>
      <c r="F85" s="4" t="s">
        <v>12</v>
      </c>
      <c r="G85" s="4" t="b">
        <f t="shared" si="1"/>
        <v>1</v>
      </c>
      <c r="H85" s="4" t="s">
        <v>3233</v>
      </c>
      <c r="I85" s="4"/>
      <c r="J85" s="4" t="s">
        <v>98</v>
      </c>
    </row>
    <row r="86" spans="1:10" customFormat="1" ht="16" x14ac:dyDescent="0.2">
      <c r="A86" s="6" t="s">
        <v>210</v>
      </c>
      <c r="B86" s="6" t="s">
        <v>211</v>
      </c>
      <c r="C86" s="4" t="b">
        <v>0</v>
      </c>
      <c r="D86" s="4" t="b">
        <v>0</v>
      </c>
      <c r="E86" s="4" t="b">
        <v>1</v>
      </c>
      <c r="F86" s="4"/>
      <c r="G86" s="4" t="b">
        <f t="shared" si="1"/>
        <v>0</v>
      </c>
      <c r="H86" s="4"/>
      <c r="I86" s="4"/>
      <c r="J86" s="4" t="s">
        <v>98</v>
      </c>
    </row>
    <row r="87" spans="1:10" customFormat="1" ht="16" x14ac:dyDescent="0.2">
      <c r="A87" s="6" t="s">
        <v>212</v>
      </c>
      <c r="B87" s="6" t="s">
        <v>213</v>
      </c>
      <c r="C87" s="4" t="b">
        <v>0</v>
      </c>
      <c r="D87" s="4" t="b">
        <v>0</v>
      </c>
      <c r="E87" s="4" t="b">
        <v>1</v>
      </c>
      <c r="F87" s="4"/>
      <c r="G87" s="4" t="b">
        <f t="shared" si="1"/>
        <v>0</v>
      </c>
      <c r="H87" s="4"/>
      <c r="I87" s="4"/>
      <c r="J87" s="4" t="s">
        <v>98</v>
      </c>
    </row>
    <row r="88" spans="1:10" customFormat="1" ht="16" x14ac:dyDescent="0.2">
      <c r="A88" s="6" t="s">
        <v>214</v>
      </c>
      <c r="B88" s="6" t="s">
        <v>215</v>
      </c>
      <c r="C88" s="4" t="b">
        <v>0</v>
      </c>
      <c r="D88" s="4" t="b">
        <v>0</v>
      </c>
      <c r="E88" s="4" t="b">
        <v>0</v>
      </c>
      <c r="F88" s="4"/>
      <c r="G88" s="4" t="b">
        <f t="shared" si="1"/>
        <v>0</v>
      </c>
      <c r="H88" s="4"/>
      <c r="I88" s="4"/>
      <c r="J88" s="4" t="s">
        <v>98</v>
      </c>
    </row>
    <row r="89" spans="1:10" customFormat="1" ht="16" x14ac:dyDescent="0.2">
      <c r="A89" s="6" t="s">
        <v>216</v>
      </c>
      <c r="B89" s="6" t="s">
        <v>217</v>
      </c>
      <c r="C89" s="4" t="b">
        <v>1</v>
      </c>
      <c r="D89" s="4" t="b">
        <v>0</v>
      </c>
      <c r="E89" s="4" t="b">
        <v>1</v>
      </c>
      <c r="F89" s="4" t="s">
        <v>12</v>
      </c>
      <c r="G89" s="4" t="b">
        <f t="shared" si="1"/>
        <v>1</v>
      </c>
      <c r="H89" s="4" t="s">
        <v>3234</v>
      </c>
      <c r="I89" s="4"/>
      <c r="J89" s="4" t="s">
        <v>98</v>
      </c>
    </row>
    <row r="90" spans="1:10" customFormat="1" ht="96" x14ac:dyDescent="0.2">
      <c r="A90" s="6" t="s">
        <v>218</v>
      </c>
      <c r="B90" s="6" t="s">
        <v>219</v>
      </c>
      <c r="C90" s="4" t="b">
        <v>1</v>
      </c>
      <c r="D90" s="4" t="b">
        <v>1</v>
      </c>
      <c r="E90" s="4" t="b">
        <v>1</v>
      </c>
      <c r="F90" s="4" t="s">
        <v>12</v>
      </c>
      <c r="G90" s="4" t="b">
        <f t="shared" si="1"/>
        <v>1</v>
      </c>
      <c r="H90" s="4" t="s">
        <v>3235</v>
      </c>
      <c r="I90" s="4"/>
      <c r="J90" s="4" t="s">
        <v>98</v>
      </c>
    </row>
    <row r="91" spans="1:10" customFormat="1" ht="16" x14ac:dyDescent="0.2">
      <c r="A91" s="6" t="s">
        <v>220</v>
      </c>
      <c r="B91" s="6" t="s">
        <v>221</v>
      </c>
      <c r="C91" s="4" t="b">
        <v>0</v>
      </c>
      <c r="D91" s="4" t="b">
        <v>0</v>
      </c>
      <c r="E91" s="4" t="b">
        <v>0</v>
      </c>
      <c r="F91" s="4"/>
      <c r="G91" s="4" t="b">
        <f t="shared" si="1"/>
        <v>0</v>
      </c>
      <c r="H91" s="4"/>
      <c r="I91" s="4"/>
      <c r="J91" s="4" t="s">
        <v>98</v>
      </c>
    </row>
    <row r="92" spans="1:10" customFormat="1" ht="16" x14ac:dyDescent="0.2">
      <c r="A92" s="6" t="s">
        <v>222</v>
      </c>
      <c r="B92" s="6" t="s">
        <v>223</v>
      </c>
      <c r="C92" s="4" t="b">
        <v>0</v>
      </c>
      <c r="D92" s="4" t="b">
        <v>0</v>
      </c>
      <c r="E92" s="4" t="b">
        <v>1</v>
      </c>
      <c r="F92" s="4"/>
      <c r="G92" s="4" t="b">
        <f t="shared" si="1"/>
        <v>0</v>
      </c>
      <c r="H92" s="4"/>
      <c r="I92" s="4"/>
      <c r="J92" s="4" t="s">
        <v>98</v>
      </c>
    </row>
    <row r="93" spans="1:10" customFormat="1" ht="16" x14ac:dyDescent="0.2">
      <c r="A93" s="6" t="s">
        <v>224</v>
      </c>
      <c r="B93" s="6" t="s">
        <v>225</v>
      </c>
      <c r="C93" s="4" t="b">
        <v>1</v>
      </c>
      <c r="D93" s="4" t="b">
        <v>0</v>
      </c>
      <c r="E93" s="4" t="b">
        <v>1</v>
      </c>
      <c r="F93" s="4" t="s">
        <v>12</v>
      </c>
      <c r="G93" s="4" t="b">
        <f t="shared" si="1"/>
        <v>1</v>
      </c>
      <c r="H93" s="4" t="s">
        <v>3236</v>
      </c>
      <c r="I93" s="4"/>
      <c r="J93" s="4" t="s">
        <v>98</v>
      </c>
    </row>
    <row r="94" spans="1:10" customFormat="1" ht="64" x14ac:dyDescent="0.2">
      <c r="A94" s="6" t="s">
        <v>226</v>
      </c>
      <c r="B94" s="6" t="s">
        <v>227</v>
      </c>
      <c r="C94" s="4" t="b">
        <v>1</v>
      </c>
      <c r="D94" s="4" t="b">
        <v>0</v>
      </c>
      <c r="E94" s="4" t="b">
        <v>1</v>
      </c>
      <c r="F94" s="4" t="s">
        <v>12</v>
      </c>
      <c r="G94" s="4" t="b">
        <f t="shared" si="1"/>
        <v>1</v>
      </c>
      <c r="H94" s="4" t="s">
        <v>3237</v>
      </c>
      <c r="I94" s="4"/>
      <c r="J94" s="4" t="s">
        <v>98</v>
      </c>
    </row>
    <row r="95" spans="1:10" customFormat="1" ht="16" x14ac:dyDescent="0.2">
      <c r="A95" s="6" t="s">
        <v>228</v>
      </c>
      <c r="B95" s="6" t="s">
        <v>229</v>
      </c>
      <c r="C95" s="4" t="b">
        <v>0</v>
      </c>
      <c r="D95" s="4" t="b">
        <v>0</v>
      </c>
      <c r="E95" s="4" t="b">
        <v>1</v>
      </c>
      <c r="F95" s="4"/>
      <c r="G95" s="4" t="b">
        <f t="shared" si="1"/>
        <v>0</v>
      </c>
      <c r="H95" s="4"/>
      <c r="I95" s="4"/>
      <c r="J95" s="4" t="s">
        <v>98</v>
      </c>
    </row>
    <row r="96" spans="1:10" customFormat="1" ht="64" x14ac:dyDescent="0.2">
      <c r="A96" s="6" t="s">
        <v>230</v>
      </c>
      <c r="B96" s="6" t="s">
        <v>231</v>
      </c>
      <c r="C96" s="4" t="b">
        <v>1</v>
      </c>
      <c r="D96" s="4" t="b">
        <v>0</v>
      </c>
      <c r="E96" s="4" t="b">
        <v>1</v>
      </c>
      <c r="F96" s="4" t="s">
        <v>12</v>
      </c>
      <c r="G96" s="4" t="b">
        <f t="shared" si="1"/>
        <v>1</v>
      </c>
      <c r="H96" s="4" t="s">
        <v>3241</v>
      </c>
      <c r="I96" s="4"/>
      <c r="J96" s="4" t="s">
        <v>98</v>
      </c>
    </row>
    <row r="97" spans="1:10" customFormat="1" ht="16" x14ac:dyDescent="0.2">
      <c r="A97" s="6" t="s">
        <v>232</v>
      </c>
      <c r="B97" s="6" t="s">
        <v>233</v>
      </c>
      <c r="C97" s="4" t="b">
        <v>0</v>
      </c>
      <c r="D97" s="4" t="b">
        <v>0</v>
      </c>
      <c r="E97" s="4" t="b">
        <v>0</v>
      </c>
      <c r="F97" s="4"/>
      <c r="G97" s="4" t="b">
        <f t="shared" si="1"/>
        <v>0</v>
      </c>
      <c r="H97" s="4" t="s">
        <v>3238</v>
      </c>
      <c r="I97" s="4"/>
      <c r="J97" s="4" t="s">
        <v>98</v>
      </c>
    </row>
    <row r="98" spans="1:10" customFormat="1" ht="16" x14ac:dyDescent="0.2">
      <c r="A98" s="6" t="s">
        <v>234</v>
      </c>
      <c r="B98" s="6" t="s">
        <v>235</v>
      </c>
      <c r="C98" s="4" t="b">
        <v>0</v>
      </c>
      <c r="D98" s="4" t="b">
        <v>0</v>
      </c>
      <c r="E98" s="4" t="b">
        <v>1</v>
      </c>
      <c r="F98" s="4"/>
      <c r="G98" s="4" t="b">
        <f t="shared" si="1"/>
        <v>0</v>
      </c>
      <c r="H98" s="4" t="s">
        <v>3239</v>
      </c>
      <c r="I98" s="4"/>
      <c r="J98" s="4" t="s">
        <v>98</v>
      </c>
    </row>
    <row r="99" spans="1:10" customFormat="1" ht="16" x14ac:dyDescent="0.2">
      <c r="A99" s="6" t="s">
        <v>236</v>
      </c>
      <c r="B99" s="6" t="s">
        <v>237</v>
      </c>
      <c r="C99" s="4" t="b">
        <v>0</v>
      </c>
      <c r="D99" s="4" t="b">
        <v>0</v>
      </c>
      <c r="E99" s="4" t="b">
        <v>1</v>
      </c>
      <c r="F99" s="4"/>
      <c r="G99" s="4" t="b">
        <f t="shared" si="1"/>
        <v>0</v>
      </c>
      <c r="H99" s="4" t="s">
        <v>3240</v>
      </c>
      <c r="I99" s="4"/>
      <c r="J99" s="4" t="s">
        <v>98</v>
      </c>
    </row>
    <row r="100" spans="1:10" customFormat="1" ht="16" x14ac:dyDescent="0.2">
      <c r="A100" s="6" t="s">
        <v>238</v>
      </c>
      <c r="B100" s="6" t="s">
        <v>239</v>
      </c>
      <c r="C100" s="4" t="b">
        <v>0</v>
      </c>
      <c r="D100" s="4" t="b">
        <v>0</v>
      </c>
      <c r="E100" s="4" t="b">
        <v>0</v>
      </c>
      <c r="F100" s="4"/>
      <c r="G100" s="4" t="b">
        <f t="shared" si="1"/>
        <v>0</v>
      </c>
      <c r="H100" s="4"/>
      <c r="I100" s="4"/>
      <c r="J100" s="4" t="s">
        <v>98</v>
      </c>
    </row>
    <row r="101" spans="1:10" customFormat="1" ht="16" x14ac:dyDescent="0.2">
      <c r="A101" s="6" t="s">
        <v>240</v>
      </c>
      <c r="B101" s="6" t="s">
        <v>241</v>
      </c>
      <c r="C101" s="4" t="b">
        <v>0</v>
      </c>
      <c r="D101" s="4" t="b">
        <v>0</v>
      </c>
      <c r="E101" s="4" t="b">
        <v>0</v>
      </c>
      <c r="F101" s="4"/>
      <c r="G101" s="4" t="b">
        <f t="shared" si="1"/>
        <v>0</v>
      </c>
      <c r="H101" s="4"/>
      <c r="I101" s="4"/>
      <c r="J101" s="4" t="s">
        <v>98</v>
      </c>
    </row>
    <row r="102" spans="1:10" customFormat="1" ht="16" x14ac:dyDescent="0.2">
      <c r="A102" s="6" t="s">
        <v>242</v>
      </c>
      <c r="B102" s="6" t="s">
        <v>243</v>
      </c>
      <c r="C102" s="4" t="b">
        <v>0</v>
      </c>
      <c r="D102" s="4" t="b">
        <v>0</v>
      </c>
      <c r="E102" s="4" t="b">
        <v>0</v>
      </c>
      <c r="F102" s="4"/>
      <c r="G102" s="4" t="b">
        <f t="shared" si="1"/>
        <v>0</v>
      </c>
      <c r="H102" s="4"/>
      <c r="I102" s="4"/>
      <c r="J102" s="4" t="s">
        <v>98</v>
      </c>
    </row>
    <row r="103" spans="1:10" customFormat="1" ht="48" x14ac:dyDescent="0.2">
      <c r="A103" s="6" t="s">
        <v>244</v>
      </c>
      <c r="B103" s="6" t="s">
        <v>245</v>
      </c>
      <c r="C103" s="4" t="b">
        <v>1</v>
      </c>
      <c r="D103" s="4" t="b">
        <v>1</v>
      </c>
      <c r="E103" s="4" t="b">
        <v>1</v>
      </c>
      <c r="F103" s="4" t="s">
        <v>12</v>
      </c>
      <c r="G103" s="4" t="b">
        <f t="shared" si="1"/>
        <v>1</v>
      </c>
      <c r="H103" s="4" t="s">
        <v>3242</v>
      </c>
      <c r="I103" s="4"/>
      <c r="J103" s="4" t="s">
        <v>98</v>
      </c>
    </row>
    <row r="104" spans="1:10" customFormat="1" ht="16" x14ac:dyDescent="0.2">
      <c r="A104" s="6" t="s">
        <v>246</v>
      </c>
      <c r="B104" s="6" t="s">
        <v>247</v>
      </c>
      <c r="C104" s="4" t="b">
        <v>0</v>
      </c>
      <c r="D104" s="4" t="b">
        <v>0</v>
      </c>
      <c r="E104" s="4" t="b">
        <v>0</v>
      </c>
      <c r="F104" s="4"/>
      <c r="G104" s="4" t="b">
        <f t="shared" si="1"/>
        <v>0</v>
      </c>
      <c r="H104" s="4"/>
      <c r="I104" s="4"/>
      <c r="J104" s="4" t="s">
        <v>98</v>
      </c>
    </row>
    <row r="105" spans="1:10" customFormat="1" ht="16" x14ac:dyDescent="0.2">
      <c r="A105" s="6" t="s">
        <v>248</v>
      </c>
      <c r="B105" s="6" t="s">
        <v>249</v>
      </c>
      <c r="C105" s="4" t="b">
        <v>0</v>
      </c>
      <c r="D105" s="4" t="b">
        <v>0</v>
      </c>
      <c r="E105" s="4" t="b">
        <v>1</v>
      </c>
      <c r="F105" s="4"/>
      <c r="G105" s="4" t="b">
        <f t="shared" si="1"/>
        <v>0</v>
      </c>
      <c r="H105" s="4"/>
      <c r="I105" s="4"/>
      <c r="J105" s="4" t="s">
        <v>98</v>
      </c>
    </row>
    <row r="106" spans="1:10" customFormat="1" ht="16" x14ac:dyDescent="0.2">
      <c r="A106" s="6" t="s">
        <v>250</v>
      </c>
      <c r="B106" s="6" t="s">
        <v>251</v>
      </c>
      <c r="C106" s="4" t="b">
        <v>0</v>
      </c>
      <c r="D106" s="4" t="b">
        <v>0</v>
      </c>
      <c r="E106" s="4" t="b">
        <v>1</v>
      </c>
      <c r="F106" s="4"/>
      <c r="G106" s="4" t="b">
        <f t="shared" si="1"/>
        <v>0</v>
      </c>
      <c r="H106" s="4"/>
      <c r="I106" s="4"/>
      <c r="J106" s="4" t="s">
        <v>98</v>
      </c>
    </row>
    <row r="107" spans="1:10" customFormat="1" ht="16" x14ac:dyDescent="0.2">
      <c r="A107" s="6" t="s">
        <v>252</v>
      </c>
      <c r="B107" s="6" t="s">
        <v>253</v>
      </c>
      <c r="C107" s="4" t="b">
        <v>0</v>
      </c>
      <c r="D107" s="4" t="b">
        <v>0</v>
      </c>
      <c r="E107" s="4" t="b">
        <v>1</v>
      </c>
      <c r="F107" s="4"/>
      <c r="G107" s="4" t="b">
        <f t="shared" si="1"/>
        <v>0</v>
      </c>
      <c r="H107" s="4"/>
      <c r="I107" s="4"/>
      <c r="J107" s="4" t="s">
        <v>98</v>
      </c>
    </row>
    <row r="108" spans="1:10" customFormat="1" ht="16" x14ac:dyDescent="0.2">
      <c r="A108" s="6" t="s">
        <v>254</v>
      </c>
      <c r="B108" s="6" t="s">
        <v>255</v>
      </c>
      <c r="C108" s="4" t="b">
        <v>0</v>
      </c>
      <c r="D108" s="4" t="b">
        <v>0</v>
      </c>
      <c r="E108" s="4" t="b">
        <v>0</v>
      </c>
      <c r="F108" s="4"/>
      <c r="G108" s="4" t="b">
        <f t="shared" si="1"/>
        <v>0</v>
      </c>
      <c r="H108" s="4"/>
      <c r="I108" s="4"/>
      <c r="J108" s="4" t="s">
        <v>98</v>
      </c>
    </row>
    <row r="109" spans="1:10" customFormat="1" ht="16" x14ac:dyDescent="0.2">
      <c r="A109" s="6" t="s">
        <v>256</v>
      </c>
      <c r="B109" s="6" t="s">
        <v>257</v>
      </c>
      <c r="C109" s="4" t="b">
        <v>0</v>
      </c>
      <c r="D109" s="4" t="b">
        <v>0</v>
      </c>
      <c r="E109" s="4" t="b">
        <v>1</v>
      </c>
      <c r="F109" s="4"/>
      <c r="G109" s="4" t="b">
        <f t="shared" si="1"/>
        <v>0</v>
      </c>
      <c r="H109" s="4"/>
      <c r="I109" s="4"/>
      <c r="J109" s="4" t="s">
        <v>98</v>
      </c>
    </row>
    <row r="110" spans="1:10" customFormat="1" ht="16" x14ac:dyDescent="0.2">
      <c r="A110" s="6" t="s">
        <v>258</v>
      </c>
      <c r="B110" s="6" t="s">
        <v>259</v>
      </c>
      <c r="C110" s="4" t="b">
        <v>0</v>
      </c>
      <c r="D110" s="4" t="b">
        <v>0</v>
      </c>
      <c r="E110" s="4" t="b">
        <v>0</v>
      </c>
      <c r="F110" s="4"/>
      <c r="G110" s="4" t="b">
        <f t="shared" si="1"/>
        <v>0</v>
      </c>
      <c r="H110" s="4"/>
      <c r="I110" s="4"/>
      <c r="J110" s="4" t="s">
        <v>98</v>
      </c>
    </row>
    <row r="111" spans="1:10" customFormat="1" ht="32" x14ac:dyDescent="0.2">
      <c r="A111" s="6" t="s">
        <v>260</v>
      </c>
      <c r="B111" s="6" t="s">
        <v>261</v>
      </c>
      <c r="C111" s="4" t="b">
        <v>1</v>
      </c>
      <c r="D111" s="4" t="b">
        <v>0</v>
      </c>
      <c r="E111" s="4" t="b">
        <v>1</v>
      </c>
      <c r="F111" s="4" t="s">
        <v>12</v>
      </c>
      <c r="G111" s="4" t="b">
        <f t="shared" si="1"/>
        <v>1</v>
      </c>
      <c r="H111" s="4" t="s">
        <v>3243</v>
      </c>
      <c r="I111" s="4"/>
      <c r="J111" s="4" t="s">
        <v>98</v>
      </c>
    </row>
    <row r="112" spans="1:10" customFormat="1" ht="16" x14ac:dyDescent="0.2">
      <c r="A112" s="6" t="s">
        <v>262</v>
      </c>
      <c r="B112" s="6" t="s">
        <v>263</v>
      </c>
      <c r="C112" s="4" t="b">
        <v>0</v>
      </c>
      <c r="D112" s="4" t="b">
        <v>0</v>
      </c>
      <c r="E112" s="4" t="b">
        <v>1</v>
      </c>
      <c r="F112" s="4"/>
      <c r="G112" s="4" t="b">
        <f t="shared" si="1"/>
        <v>0</v>
      </c>
      <c r="H112" s="4"/>
      <c r="I112" s="4"/>
      <c r="J112" s="4" t="s">
        <v>98</v>
      </c>
    </row>
    <row r="113" spans="1:10" customFormat="1" ht="128" x14ac:dyDescent="0.2">
      <c r="A113" s="6" t="s">
        <v>264</v>
      </c>
      <c r="B113" s="6" t="s">
        <v>265</v>
      </c>
      <c r="C113" s="4" t="b">
        <v>1</v>
      </c>
      <c r="D113" s="4" t="b">
        <v>0</v>
      </c>
      <c r="E113" s="4" t="b">
        <v>1</v>
      </c>
      <c r="F113" s="4" t="s">
        <v>12</v>
      </c>
      <c r="G113" s="4" t="b">
        <f t="shared" si="1"/>
        <v>1</v>
      </c>
      <c r="H113" s="4" t="s">
        <v>3244</v>
      </c>
      <c r="I113" s="4"/>
      <c r="J113" s="4" t="s">
        <v>98</v>
      </c>
    </row>
    <row r="114" spans="1:10" customFormat="1" ht="16" x14ac:dyDescent="0.2">
      <c r="A114" s="6" t="s">
        <v>266</v>
      </c>
      <c r="B114" s="6" t="s">
        <v>267</v>
      </c>
      <c r="C114" s="4" t="b">
        <v>1</v>
      </c>
      <c r="D114" s="4" t="b">
        <v>0</v>
      </c>
      <c r="E114" s="4" t="b">
        <v>1</v>
      </c>
      <c r="F114" s="4" t="s">
        <v>12</v>
      </c>
      <c r="G114" s="4" t="b">
        <f t="shared" si="1"/>
        <v>1</v>
      </c>
      <c r="H114" s="4"/>
      <c r="I114" s="4"/>
      <c r="J114" s="4" t="s">
        <v>98</v>
      </c>
    </row>
    <row r="115" spans="1:10" customFormat="1" ht="16" x14ac:dyDescent="0.2">
      <c r="A115" s="6" t="s">
        <v>268</v>
      </c>
      <c r="B115" s="6" t="s">
        <v>269</v>
      </c>
      <c r="C115" s="4" t="b">
        <v>0</v>
      </c>
      <c r="D115" s="4" t="b">
        <v>0</v>
      </c>
      <c r="E115" s="4" t="b">
        <v>0</v>
      </c>
      <c r="F115" s="4"/>
      <c r="G115" s="4" t="b">
        <f t="shared" si="1"/>
        <v>0</v>
      </c>
      <c r="H115" s="4"/>
      <c r="I115" s="4"/>
      <c r="J115" s="4" t="s">
        <v>98</v>
      </c>
    </row>
    <row r="116" spans="1:10" customFormat="1" ht="16" x14ac:dyDescent="0.2">
      <c r="A116" s="6" t="s">
        <v>270</v>
      </c>
      <c r="B116" s="6" t="s">
        <v>271</v>
      </c>
      <c r="C116" s="4" t="b">
        <v>1</v>
      </c>
      <c r="D116" s="4" t="b">
        <v>0</v>
      </c>
      <c r="E116" s="4" t="b">
        <v>1</v>
      </c>
      <c r="F116" s="4" t="s">
        <v>12</v>
      </c>
      <c r="G116" s="4" t="b">
        <f t="shared" si="1"/>
        <v>1</v>
      </c>
      <c r="H116" s="4" t="s">
        <v>3245</v>
      </c>
      <c r="I116" s="4"/>
      <c r="J116" s="4" t="s">
        <v>98</v>
      </c>
    </row>
    <row r="117" spans="1:10" customFormat="1" ht="16" x14ac:dyDescent="0.2">
      <c r="A117" s="6" t="s">
        <v>272</v>
      </c>
      <c r="B117" s="6" t="s">
        <v>273</v>
      </c>
      <c r="C117" s="4" t="b">
        <v>0</v>
      </c>
      <c r="D117" s="4" t="b">
        <v>0</v>
      </c>
      <c r="E117" s="4" t="b">
        <v>0</v>
      </c>
      <c r="F117" s="4"/>
      <c r="G117" s="4" t="b">
        <f t="shared" si="1"/>
        <v>0</v>
      </c>
      <c r="H117" s="4"/>
      <c r="I117" s="4"/>
      <c r="J117" s="4" t="s">
        <v>98</v>
      </c>
    </row>
    <row r="118" spans="1:10" customFormat="1" ht="16" x14ac:dyDescent="0.2">
      <c r="A118" s="6" t="s">
        <v>274</v>
      </c>
      <c r="B118" s="6" t="s">
        <v>275</v>
      </c>
      <c r="C118" s="4" t="b">
        <v>0</v>
      </c>
      <c r="D118" s="4" t="b">
        <v>0</v>
      </c>
      <c r="E118" s="4" t="b">
        <v>0</v>
      </c>
      <c r="F118" s="4"/>
      <c r="G118" s="4" t="b">
        <f t="shared" si="1"/>
        <v>0</v>
      </c>
      <c r="H118" s="4"/>
      <c r="I118" s="4"/>
      <c r="J118" s="4" t="s">
        <v>98</v>
      </c>
    </row>
    <row r="119" spans="1:10" customFormat="1" ht="16" x14ac:dyDescent="0.2">
      <c r="A119" s="6" t="s">
        <v>276</v>
      </c>
      <c r="B119" s="6" t="s">
        <v>277</v>
      </c>
      <c r="C119" s="4" t="b">
        <v>0</v>
      </c>
      <c r="D119" s="4" t="b">
        <v>0</v>
      </c>
      <c r="E119" s="4" t="b">
        <v>1</v>
      </c>
      <c r="F119" s="4"/>
      <c r="G119" s="4" t="b">
        <f t="shared" si="1"/>
        <v>0</v>
      </c>
      <c r="H119" s="4"/>
      <c r="I119" s="4"/>
      <c r="J119" s="4" t="s">
        <v>98</v>
      </c>
    </row>
    <row r="120" spans="1:10" customFormat="1" ht="16" x14ac:dyDescent="0.2">
      <c r="A120" s="6" t="s">
        <v>278</v>
      </c>
      <c r="B120" s="6" t="s">
        <v>279</v>
      </c>
      <c r="C120" s="4" t="b">
        <v>0</v>
      </c>
      <c r="D120" s="4" t="b">
        <v>0</v>
      </c>
      <c r="E120" s="4" t="b">
        <v>0</v>
      </c>
      <c r="F120" s="4"/>
      <c r="G120" s="4" t="b">
        <f t="shared" si="1"/>
        <v>0</v>
      </c>
      <c r="H120" s="4"/>
      <c r="I120" s="4"/>
      <c r="J120" s="4" t="s">
        <v>98</v>
      </c>
    </row>
    <row r="121" spans="1:10" customFormat="1" ht="16" x14ac:dyDescent="0.2">
      <c r="A121" s="6" t="s">
        <v>280</v>
      </c>
      <c r="B121" s="6" t="s">
        <v>281</v>
      </c>
      <c r="C121" s="4" t="b">
        <v>0</v>
      </c>
      <c r="D121" s="4" t="b">
        <v>0</v>
      </c>
      <c r="E121" s="4" t="b">
        <v>0</v>
      </c>
      <c r="F121" s="4"/>
      <c r="G121" s="4" t="b">
        <f t="shared" si="1"/>
        <v>0</v>
      </c>
      <c r="H121" s="4"/>
      <c r="I121" s="4"/>
      <c r="J121" s="4" t="s">
        <v>98</v>
      </c>
    </row>
    <row r="122" spans="1:10" customFormat="1" ht="80" x14ac:dyDescent="0.2">
      <c r="A122" s="6" t="s">
        <v>282</v>
      </c>
      <c r="B122" s="6" t="s">
        <v>283</v>
      </c>
      <c r="C122" s="4" t="b">
        <v>1</v>
      </c>
      <c r="D122" s="4" t="b">
        <v>0</v>
      </c>
      <c r="E122" s="4" t="b">
        <v>1</v>
      </c>
      <c r="F122" s="4" t="s">
        <v>12</v>
      </c>
      <c r="G122" s="4" t="b">
        <f t="shared" si="1"/>
        <v>1</v>
      </c>
      <c r="H122" s="4" t="s">
        <v>3246</v>
      </c>
      <c r="I122" s="4"/>
      <c r="J122" s="4" t="s">
        <v>98</v>
      </c>
    </row>
    <row r="123" spans="1:10" customFormat="1" ht="49" customHeight="1" x14ac:dyDescent="0.2">
      <c r="A123" s="6" t="s">
        <v>284</v>
      </c>
      <c r="B123" s="6" t="s">
        <v>285</v>
      </c>
      <c r="C123" s="4" t="b">
        <v>0</v>
      </c>
      <c r="D123" s="4" t="b">
        <v>0</v>
      </c>
      <c r="E123" s="4" t="b">
        <v>0</v>
      </c>
      <c r="F123" s="4" t="s">
        <v>12</v>
      </c>
      <c r="G123" s="4" t="b">
        <f t="shared" si="1"/>
        <v>1</v>
      </c>
      <c r="H123" s="4" t="s">
        <v>3247</v>
      </c>
      <c r="I123" s="4"/>
      <c r="J123" s="4" t="s">
        <v>98</v>
      </c>
    </row>
    <row r="124" spans="1:10" customFormat="1" ht="32" x14ac:dyDescent="0.2">
      <c r="A124" s="6" t="s">
        <v>286</v>
      </c>
      <c r="B124" s="6" t="s">
        <v>287</v>
      </c>
      <c r="C124" s="4" t="b">
        <v>1</v>
      </c>
      <c r="D124" s="4" t="b">
        <v>0</v>
      </c>
      <c r="E124" s="4" t="b">
        <v>1</v>
      </c>
      <c r="F124" s="4" t="s">
        <v>12</v>
      </c>
      <c r="G124" s="4" t="b">
        <f t="shared" si="1"/>
        <v>1</v>
      </c>
      <c r="H124" s="4" t="s">
        <v>3248</v>
      </c>
      <c r="I124" s="4"/>
      <c r="J124" s="4" t="s">
        <v>98</v>
      </c>
    </row>
    <row r="125" spans="1:10" customFormat="1" ht="16" x14ac:dyDescent="0.2">
      <c r="A125" s="6" t="s">
        <v>288</v>
      </c>
      <c r="B125" s="6" t="s">
        <v>289</v>
      </c>
      <c r="C125" s="4" t="b">
        <v>0</v>
      </c>
      <c r="D125" s="4" t="b">
        <v>0</v>
      </c>
      <c r="E125" s="4" t="b">
        <v>0</v>
      </c>
      <c r="F125" s="4"/>
      <c r="G125" s="4" t="b">
        <f t="shared" si="1"/>
        <v>0</v>
      </c>
      <c r="H125" s="4"/>
      <c r="I125" s="4"/>
      <c r="J125" s="4" t="s">
        <v>98</v>
      </c>
    </row>
    <row r="126" spans="1:10" customFormat="1" ht="16" x14ac:dyDescent="0.2">
      <c r="A126" s="6" t="s">
        <v>290</v>
      </c>
      <c r="B126" s="6" t="s">
        <v>291</v>
      </c>
      <c r="C126" s="4" t="b">
        <v>0</v>
      </c>
      <c r="D126" s="4" t="b">
        <v>0</v>
      </c>
      <c r="E126" s="4" t="b">
        <v>0</v>
      </c>
      <c r="F126" s="4"/>
      <c r="G126" s="4" t="b">
        <f t="shared" si="1"/>
        <v>0</v>
      </c>
      <c r="H126" s="4"/>
      <c r="I126" s="4"/>
      <c r="J126" s="4" t="s">
        <v>98</v>
      </c>
    </row>
    <row r="127" spans="1:10" customFormat="1" ht="32" x14ac:dyDescent="0.2">
      <c r="A127" s="6" t="s">
        <v>292</v>
      </c>
      <c r="B127" s="6" t="s">
        <v>293</v>
      </c>
      <c r="C127" s="4" t="b">
        <v>1</v>
      </c>
      <c r="D127" s="4" t="b">
        <v>0</v>
      </c>
      <c r="E127" s="4" t="b">
        <v>1</v>
      </c>
      <c r="F127" s="4" t="s">
        <v>12</v>
      </c>
      <c r="G127" s="4" t="b">
        <f t="shared" si="1"/>
        <v>1</v>
      </c>
      <c r="H127" s="4" t="s">
        <v>3249</v>
      </c>
      <c r="I127" s="4"/>
      <c r="J127" s="4" t="s">
        <v>98</v>
      </c>
    </row>
    <row r="128" spans="1:10" customFormat="1" ht="16" x14ac:dyDescent="0.2">
      <c r="A128" s="6" t="s">
        <v>294</v>
      </c>
      <c r="B128" s="6" t="s">
        <v>295</v>
      </c>
      <c r="C128" s="4" t="b">
        <v>0</v>
      </c>
      <c r="D128" s="4" t="b">
        <v>0</v>
      </c>
      <c r="E128" s="4" t="b">
        <v>0</v>
      </c>
      <c r="F128" s="4"/>
      <c r="G128" s="4" t="b">
        <f t="shared" si="1"/>
        <v>0</v>
      </c>
      <c r="H128" s="4"/>
      <c r="I128" s="4"/>
      <c r="J128" s="4" t="s">
        <v>98</v>
      </c>
    </row>
    <row r="129" spans="1:10" customFormat="1" ht="32" x14ac:dyDescent="0.2">
      <c r="A129" s="6" t="s">
        <v>296</v>
      </c>
      <c r="B129" s="6" t="s">
        <v>297</v>
      </c>
      <c r="C129" s="4" t="b">
        <v>1</v>
      </c>
      <c r="D129" s="4" t="b">
        <v>0</v>
      </c>
      <c r="E129" s="4" t="b">
        <v>1</v>
      </c>
      <c r="F129" s="4" t="s">
        <v>12</v>
      </c>
      <c r="G129" s="4" t="b">
        <f t="shared" si="1"/>
        <v>1</v>
      </c>
      <c r="H129" s="4" t="s">
        <v>3250</v>
      </c>
      <c r="I129" s="4"/>
      <c r="J129" s="4" t="s">
        <v>98</v>
      </c>
    </row>
    <row r="130" spans="1:10" customFormat="1" ht="16" x14ac:dyDescent="0.2">
      <c r="A130" s="6" t="s">
        <v>298</v>
      </c>
      <c r="B130" s="6" t="s">
        <v>299</v>
      </c>
      <c r="C130" s="4" t="b">
        <v>0</v>
      </c>
      <c r="D130" s="4" t="b">
        <v>0</v>
      </c>
      <c r="E130" s="4" t="b">
        <v>0</v>
      </c>
      <c r="F130" s="4"/>
      <c r="G130" s="4" t="b">
        <f t="shared" ref="G130:G193" si="2">IF(F130="✔", TRUE, FALSE)</f>
        <v>0</v>
      </c>
      <c r="H130" s="4"/>
      <c r="I130" s="4"/>
      <c r="J130" s="4" t="s">
        <v>98</v>
      </c>
    </row>
    <row r="131" spans="1:10" customFormat="1" ht="16" x14ac:dyDescent="0.2">
      <c r="A131" s="6" t="s">
        <v>300</v>
      </c>
      <c r="B131" s="6" t="s">
        <v>301</v>
      </c>
      <c r="C131" s="4" t="b">
        <v>0</v>
      </c>
      <c r="D131" s="4" t="b">
        <v>0</v>
      </c>
      <c r="E131" s="4" t="b">
        <v>0</v>
      </c>
      <c r="F131" s="4"/>
      <c r="G131" s="4" t="b">
        <f t="shared" si="2"/>
        <v>0</v>
      </c>
      <c r="H131" s="4"/>
      <c r="I131" s="4"/>
      <c r="J131" s="4" t="s">
        <v>98</v>
      </c>
    </row>
    <row r="132" spans="1:10" customFormat="1" ht="48" x14ac:dyDescent="0.2">
      <c r="A132" s="6" t="s">
        <v>302</v>
      </c>
      <c r="B132" s="6" t="s">
        <v>303</v>
      </c>
      <c r="C132" s="4" t="b">
        <v>1</v>
      </c>
      <c r="D132" s="4" t="b">
        <v>0</v>
      </c>
      <c r="E132" s="4" t="b">
        <v>1</v>
      </c>
      <c r="F132" s="4" t="s">
        <v>12</v>
      </c>
      <c r="G132" s="4" t="b">
        <f t="shared" si="2"/>
        <v>1</v>
      </c>
      <c r="H132" s="4" t="s">
        <v>3251</v>
      </c>
      <c r="I132" s="4"/>
      <c r="J132" s="4" t="s">
        <v>98</v>
      </c>
    </row>
    <row r="133" spans="1:10" customFormat="1" ht="80" x14ac:dyDescent="0.2">
      <c r="A133" s="6" t="s">
        <v>304</v>
      </c>
      <c r="B133" s="6" t="s">
        <v>305</v>
      </c>
      <c r="C133" s="4" t="b">
        <v>1</v>
      </c>
      <c r="D133" s="4" t="b">
        <v>1</v>
      </c>
      <c r="E133" s="4" t="b">
        <v>1</v>
      </c>
      <c r="F133" s="4" t="s">
        <v>12</v>
      </c>
      <c r="G133" s="4" t="b">
        <f t="shared" si="2"/>
        <v>1</v>
      </c>
      <c r="H133" s="4" t="s">
        <v>3252</v>
      </c>
      <c r="I133" s="4"/>
      <c r="J133" s="4" t="s">
        <v>98</v>
      </c>
    </row>
    <row r="134" spans="1:10" customFormat="1" ht="16" x14ac:dyDescent="0.2">
      <c r="A134" s="6" t="s">
        <v>306</v>
      </c>
      <c r="B134" s="6" t="s">
        <v>307</v>
      </c>
      <c r="C134" s="4" t="b">
        <v>0</v>
      </c>
      <c r="D134" s="4" t="b">
        <v>0</v>
      </c>
      <c r="E134" s="4" t="b">
        <v>0</v>
      </c>
      <c r="F134" s="4"/>
      <c r="G134" s="4" t="b">
        <f t="shared" si="2"/>
        <v>0</v>
      </c>
      <c r="H134" s="4"/>
      <c r="I134" s="4"/>
      <c r="J134" s="4" t="s">
        <v>98</v>
      </c>
    </row>
    <row r="135" spans="1:10" customFormat="1" ht="80" x14ac:dyDescent="0.2">
      <c r="A135" s="6" t="s">
        <v>308</v>
      </c>
      <c r="B135" s="6" t="s">
        <v>309</v>
      </c>
      <c r="C135" s="4" t="b">
        <v>1</v>
      </c>
      <c r="D135" s="4" t="b">
        <v>1</v>
      </c>
      <c r="E135" s="4" t="b">
        <v>1</v>
      </c>
      <c r="F135" s="4" t="s">
        <v>12</v>
      </c>
      <c r="G135" s="4" t="b">
        <f t="shared" si="2"/>
        <v>1</v>
      </c>
      <c r="H135" s="4" t="s">
        <v>3253</v>
      </c>
      <c r="I135" s="4"/>
      <c r="J135" s="4" t="s">
        <v>98</v>
      </c>
    </row>
    <row r="136" spans="1:10" customFormat="1" ht="16" x14ac:dyDescent="0.2">
      <c r="A136" s="6" t="s">
        <v>310</v>
      </c>
      <c r="B136" s="6" t="s">
        <v>311</v>
      </c>
      <c r="C136" s="4" t="b">
        <v>0</v>
      </c>
      <c r="D136" s="4" t="b">
        <v>0</v>
      </c>
      <c r="E136" s="4" t="b">
        <v>0</v>
      </c>
      <c r="F136" s="4"/>
      <c r="G136" s="4" t="b">
        <f t="shared" si="2"/>
        <v>0</v>
      </c>
      <c r="H136" s="4"/>
      <c r="I136" s="4"/>
      <c r="J136" s="4" t="s">
        <v>98</v>
      </c>
    </row>
    <row r="137" spans="1:10" customFormat="1" ht="16" x14ac:dyDescent="0.2">
      <c r="A137" s="6" t="s">
        <v>312</v>
      </c>
      <c r="B137" s="6" t="s">
        <v>313</v>
      </c>
      <c r="C137" s="4" t="b">
        <v>0</v>
      </c>
      <c r="D137" s="4" t="b">
        <v>0</v>
      </c>
      <c r="E137" s="4" t="b">
        <v>1</v>
      </c>
      <c r="F137" s="4"/>
      <c r="G137" s="4" t="b">
        <f t="shared" si="2"/>
        <v>0</v>
      </c>
      <c r="H137" s="4"/>
      <c r="I137" s="4"/>
      <c r="J137" s="4" t="s">
        <v>98</v>
      </c>
    </row>
    <row r="138" spans="1:10" customFormat="1" ht="32" x14ac:dyDescent="0.2">
      <c r="A138" s="6" t="s">
        <v>314</v>
      </c>
      <c r="B138" s="6" t="s">
        <v>315</v>
      </c>
      <c r="C138" s="4" t="b">
        <v>1</v>
      </c>
      <c r="D138" s="4" t="b">
        <v>0</v>
      </c>
      <c r="E138" s="4" t="b">
        <v>1</v>
      </c>
      <c r="F138" s="4" t="s">
        <v>12</v>
      </c>
      <c r="G138" s="4" t="b">
        <f t="shared" si="2"/>
        <v>1</v>
      </c>
      <c r="H138" s="4" t="s">
        <v>3254</v>
      </c>
      <c r="I138" s="4"/>
      <c r="J138" s="4" t="s">
        <v>98</v>
      </c>
    </row>
    <row r="139" spans="1:10" customFormat="1" ht="16" x14ac:dyDescent="0.2">
      <c r="A139" s="6" t="s">
        <v>316</v>
      </c>
      <c r="B139" s="6" t="s">
        <v>317</v>
      </c>
      <c r="C139" s="4" t="b">
        <v>0</v>
      </c>
      <c r="D139" s="4" t="b">
        <v>0</v>
      </c>
      <c r="E139" s="4" t="b">
        <v>0</v>
      </c>
      <c r="F139" s="4" t="s">
        <v>12</v>
      </c>
      <c r="G139" s="4" t="b">
        <f t="shared" si="2"/>
        <v>1</v>
      </c>
      <c r="H139" s="4"/>
      <c r="I139" s="4"/>
      <c r="J139" s="4" t="s">
        <v>98</v>
      </c>
    </row>
    <row r="140" spans="1:10" customFormat="1" ht="80" x14ac:dyDescent="0.2">
      <c r="A140" s="6" t="s">
        <v>318</v>
      </c>
      <c r="B140" s="6" t="s">
        <v>319</v>
      </c>
      <c r="C140" s="4" t="b">
        <v>1</v>
      </c>
      <c r="D140" s="4" t="b">
        <v>0</v>
      </c>
      <c r="E140" s="4" t="b">
        <v>1</v>
      </c>
      <c r="F140" s="4" t="s">
        <v>12</v>
      </c>
      <c r="G140" s="4" t="b">
        <f t="shared" si="2"/>
        <v>1</v>
      </c>
      <c r="H140" s="4" t="s">
        <v>3255</v>
      </c>
      <c r="I140" s="4"/>
      <c r="J140" s="4" t="s">
        <v>98</v>
      </c>
    </row>
    <row r="141" spans="1:10" customFormat="1" ht="16" x14ac:dyDescent="0.2">
      <c r="A141" s="6" t="s">
        <v>320</v>
      </c>
      <c r="B141" s="6" t="s">
        <v>321</v>
      </c>
      <c r="C141" s="4" t="b">
        <v>0</v>
      </c>
      <c r="D141" s="4" t="b">
        <v>0</v>
      </c>
      <c r="E141" s="4" t="b">
        <v>0</v>
      </c>
      <c r="F141" s="4"/>
      <c r="G141" s="4" t="b">
        <f t="shared" si="2"/>
        <v>0</v>
      </c>
      <c r="H141" s="4"/>
      <c r="I141" s="4"/>
      <c r="J141" s="4" t="s">
        <v>98</v>
      </c>
    </row>
    <row r="142" spans="1:10" customFormat="1" ht="16" x14ac:dyDescent="0.2">
      <c r="A142" s="6" t="s">
        <v>322</v>
      </c>
      <c r="B142" s="6" t="s">
        <v>323</v>
      </c>
      <c r="C142" s="4" t="b">
        <v>0</v>
      </c>
      <c r="D142" s="4" t="b">
        <v>0</v>
      </c>
      <c r="E142" s="4" t="b">
        <v>1</v>
      </c>
      <c r="F142" s="4"/>
      <c r="G142" s="4" t="b">
        <f t="shared" si="2"/>
        <v>0</v>
      </c>
      <c r="H142" s="4"/>
      <c r="I142" s="4"/>
      <c r="J142" s="4" t="s">
        <v>98</v>
      </c>
    </row>
    <row r="143" spans="1:10" customFormat="1" ht="16" x14ac:dyDescent="0.2">
      <c r="A143" s="6" t="s">
        <v>324</v>
      </c>
      <c r="B143" s="6" t="s">
        <v>325</v>
      </c>
      <c r="C143" s="4" t="b">
        <v>0</v>
      </c>
      <c r="D143" s="4" t="b">
        <v>0</v>
      </c>
      <c r="E143" s="4" t="b">
        <v>1</v>
      </c>
      <c r="F143" s="4"/>
      <c r="G143" s="4" t="b">
        <f t="shared" si="2"/>
        <v>0</v>
      </c>
      <c r="H143" s="4"/>
      <c r="I143" s="4"/>
      <c r="J143" s="4" t="s">
        <v>98</v>
      </c>
    </row>
    <row r="144" spans="1:10" customFormat="1" ht="32" x14ac:dyDescent="0.2">
      <c r="A144" s="6" t="s">
        <v>326</v>
      </c>
      <c r="B144" s="6" t="s">
        <v>327</v>
      </c>
      <c r="C144" s="4" t="b">
        <v>1</v>
      </c>
      <c r="D144" s="4" t="b">
        <v>0</v>
      </c>
      <c r="E144" s="4" t="b">
        <v>1</v>
      </c>
      <c r="F144" s="4" t="s">
        <v>12</v>
      </c>
      <c r="G144" s="4" t="b">
        <f t="shared" si="2"/>
        <v>1</v>
      </c>
      <c r="H144" s="4" t="s">
        <v>3256</v>
      </c>
      <c r="I144" s="4"/>
      <c r="J144" s="4" t="s">
        <v>98</v>
      </c>
    </row>
    <row r="145" spans="1:10" customFormat="1" ht="48" x14ac:dyDescent="0.2">
      <c r="A145" s="6" t="s">
        <v>328</v>
      </c>
      <c r="B145" s="6" t="s">
        <v>329</v>
      </c>
      <c r="C145" s="4" t="b">
        <v>1</v>
      </c>
      <c r="D145" s="4" t="b">
        <v>0</v>
      </c>
      <c r="E145" s="4" t="b">
        <v>1</v>
      </c>
      <c r="F145" s="4" t="s">
        <v>12</v>
      </c>
      <c r="G145" s="4" t="b">
        <f t="shared" si="2"/>
        <v>1</v>
      </c>
      <c r="H145" s="4" t="s">
        <v>3257</v>
      </c>
      <c r="I145" s="4"/>
      <c r="J145" s="4" t="s">
        <v>98</v>
      </c>
    </row>
    <row r="146" spans="1:10" customFormat="1" ht="16" x14ac:dyDescent="0.2">
      <c r="A146" s="6" t="s">
        <v>330</v>
      </c>
      <c r="B146" s="6" t="s">
        <v>331</v>
      </c>
      <c r="C146" s="4" t="b">
        <v>1</v>
      </c>
      <c r="D146" s="4" t="b">
        <v>0</v>
      </c>
      <c r="E146" s="4" t="b">
        <v>1</v>
      </c>
      <c r="F146" s="4" t="s">
        <v>12</v>
      </c>
      <c r="G146" s="4" t="b">
        <f t="shared" si="2"/>
        <v>1</v>
      </c>
      <c r="H146" s="4" t="s">
        <v>3258</v>
      </c>
      <c r="I146" s="4"/>
      <c r="J146" s="4" t="s">
        <v>98</v>
      </c>
    </row>
    <row r="147" spans="1:10" customFormat="1" ht="16" x14ac:dyDescent="0.2">
      <c r="A147" s="6" t="s">
        <v>332</v>
      </c>
      <c r="B147" s="6" t="s">
        <v>333</v>
      </c>
      <c r="C147" s="4" t="b">
        <v>0</v>
      </c>
      <c r="D147" s="4" t="b">
        <v>0</v>
      </c>
      <c r="E147" s="4" t="b">
        <v>0</v>
      </c>
      <c r="F147" s="4"/>
      <c r="G147" s="4" t="b">
        <f t="shared" si="2"/>
        <v>0</v>
      </c>
      <c r="H147" s="4"/>
      <c r="I147" s="4"/>
      <c r="J147" s="4" t="s">
        <v>98</v>
      </c>
    </row>
    <row r="148" spans="1:10" customFormat="1" ht="16" x14ac:dyDescent="0.2">
      <c r="A148" s="6" t="s">
        <v>334</v>
      </c>
      <c r="B148" s="6" t="s">
        <v>335</v>
      </c>
      <c r="C148" s="4" t="b">
        <v>0</v>
      </c>
      <c r="D148" s="4" t="b">
        <v>0</v>
      </c>
      <c r="E148" s="4" t="b">
        <v>0</v>
      </c>
      <c r="F148" s="4"/>
      <c r="G148" s="4" t="b">
        <f t="shared" si="2"/>
        <v>0</v>
      </c>
      <c r="H148" s="4"/>
      <c r="I148" s="4"/>
      <c r="J148" s="4" t="s">
        <v>98</v>
      </c>
    </row>
    <row r="149" spans="1:10" customFormat="1" ht="16" x14ac:dyDescent="0.2">
      <c r="A149" s="6" t="s">
        <v>336</v>
      </c>
      <c r="B149" s="6" t="s">
        <v>337</v>
      </c>
      <c r="C149" s="4" t="b">
        <v>0</v>
      </c>
      <c r="D149" s="4" t="b">
        <v>0</v>
      </c>
      <c r="E149" s="4" t="b">
        <v>1</v>
      </c>
      <c r="F149" s="4"/>
      <c r="G149" s="4" t="b">
        <f t="shared" si="2"/>
        <v>0</v>
      </c>
      <c r="H149" s="4"/>
      <c r="I149" s="4"/>
      <c r="J149" s="4" t="s">
        <v>98</v>
      </c>
    </row>
    <row r="150" spans="1:10" customFormat="1" ht="112" x14ac:dyDescent="0.2">
      <c r="A150" s="6" t="s">
        <v>338</v>
      </c>
      <c r="B150" s="6" t="s">
        <v>339</v>
      </c>
      <c r="C150" s="4" t="b">
        <v>1</v>
      </c>
      <c r="D150" s="4" t="b">
        <v>0</v>
      </c>
      <c r="E150" s="4" t="b">
        <v>1</v>
      </c>
      <c r="F150" s="4" t="s">
        <v>12</v>
      </c>
      <c r="G150" s="4" t="b">
        <f t="shared" si="2"/>
        <v>1</v>
      </c>
      <c r="H150" s="4" t="s">
        <v>3259</v>
      </c>
      <c r="I150" s="4"/>
      <c r="J150" s="4" t="s">
        <v>98</v>
      </c>
    </row>
    <row r="151" spans="1:10" customFormat="1" ht="16" x14ac:dyDescent="0.2">
      <c r="A151" s="6" t="s">
        <v>340</v>
      </c>
      <c r="B151" s="6" t="s">
        <v>341</v>
      </c>
      <c r="C151" s="4" t="b">
        <v>0</v>
      </c>
      <c r="D151" s="4" t="b">
        <v>0</v>
      </c>
      <c r="E151" s="4" t="b">
        <v>1</v>
      </c>
      <c r="F151" s="4"/>
      <c r="G151" s="4" t="b">
        <f t="shared" si="2"/>
        <v>0</v>
      </c>
      <c r="H151" s="4"/>
      <c r="I151" s="4"/>
      <c r="J151" s="4" t="s">
        <v>98</v>
      </c>
    </row>
    <row r="152" spans="1:10" customFormat="1" ht="16" x14ac:dyDescent="0.2">
      <c r="A152" s="6" t="s">
        <v>342</v>
      </c>
      <c r="B152" s="6" t="s">
        <v>343</v>
      </c>
      <c r="C152" s="4" t="b">
        <v>0</v>
      </c>
      <c r="D152" s="4" t="b">
        <v>0</v>
      </c>
      <c r="E152" s="4" t="b">
        <v>1</v>
      </c>
      <c r="F152" s="4"/>
      <c r="G152" s="4" t="b">
        <f t="shared" si="2"/>
        <v>0</v>
      </c>
      <c r="H152" s="4"/>
      <c r="I152" s="4"/>
      <c r="J152" s="4" t="s">
        <v>98</v>
      </c>
    </row>
    <row r="153" spans="1:10" customFormat="1" ht="16" x14ac:dyDescent="0.2">
      <c r="A153" s="6" t="s">
        <v>344</v>
      </c>
      <c r="B153" s="6" t="s">
        <v>345</v>
      </c>
      <c r="C153" s="4" t="b">
        <v>0</v>
      </c>
      <c r="D153" s="4" t="b">
        <v>0</v>
      </c>
      <c r="E153" s="4" t="b">
        <v>1</v>
      </c>
      <c r="F153" s="4"/>
      <c r="G153" s="4" t="b">
        <f t="shared" si="2"/>
        <v>0</v>
      </c>
      <c r="H153" s="4"/>
      <c r="I153" s="4"/>
      <c r="J153" s="4" t="s">
        <v>98</v>
      </c>
    </row>
    <row r="154" spans="1:10" customFormat="1" ht="16" x14ac:dyDescent="0.2">
      <c r="A154" s="6" t="s">
        <v>346</v>
      </c>
      <c r="B154" s="6" t="s">
        <v>347</v>
      </c>
      <c r="C154" s="4" t="b">
        <v>0</v>
      </c>
      <c r="D154" s="4" t="b">
        <v>0</v>
      </c>
      <c r="E154" s="4" t="b">
        <v>0</v>
      </c>
      <c r="F154" s="4"/>
      <c r="G154" s="4" t="b">
        <f t="shared" si="2"/>
        <v>0</v>
      </c>
      <c r="H154" s="4"/>
      <c r="I154" s="4"/>
      <c r="J154" s="4" t="s">
        <v>98</v>
      </c>
    </row>
    <row r="155" spans="1:10" customFormat="1" ht="32" x14ac:dyDescent="0.2">
      <c r="A155" s="6" t="s">
        <v>348</v>
      </c>
      <c r="B155" s="6" t="s">
        <v>349</v>
      </c>
      <c r="C155" s="4" t="b">
        <v>1</v>
      </c>
      <c r="D155" s="4" t="b">
        <v>0</v>
      </c>
      <c r="E155" s="4" t="b">
        <v>1</v>
      </c>
      <c r="F155" s="4" t="s">
        <v>12</v>
      </c>
      <c r="G155" s="4" t="b">
        <f t="shared" si="2"/>
        <v>1</v>
      </c>
      <c r="H155" s="4" t="s">
        <v>3260</v>
      </c>
      <c r="I155" s="4"/>
      <c r="J155" s="4" t="s">
        <v>98</v>
      </c>
    </row>
    <row r="156" spans="1:10" customFormat="1" ht="16" x14ac:dyDescent="0.2">
      <c r="A156" s="6" t="s">
        <v>350</v>
      </c>
      <c r="B156" s="6" t="s">
        <v>351</v>
      </c>
      <c r="C156" s="4" t="b">
        <v>0</v>
      </c>
      <c r="D156" s="4" t="b">
        <v>0</v>
      </c>
      <c r="E156" s="4" t="b">
        <v>0</v>
      </c>
      <c r="F156" s="4"/>
      <c r="G156" s="4" t="b">
        <f t="shared" si="2"/>
        <v>0</v>
      </c>
      <c r="H156" s="4"/>
      <c r="I156" s="4"/>
      <c r="J156" s="4" t="s">
        <v>98</v>
      </c>
    </row>
    <row r="157" spans="1:10" customFormat="1" ht="80" x14ac:dyDescent="0.2">
      <c r="A157" s="6" t="s">
        <v>352</v>
      </c>
      <c r="B157" s="6" t="s">
        <v>353</v>
      </c>
      <c r="C157" s="4" t="b">
        <v>1</v>
      </c>
      <c r="D157" s="4" t="b">
        <v>0</v>
      </c>
      <c r="E157" s="4" t="b">
        <v>1</v>
      </c>
      <c r="F157" s="4" t="s">
        <v>12</v>
      </c>
      <c r="G157" s="4" t="b">
        <f t="shared" si="2"/>
        <v>1</v>
      </c>
      <c r="H157" s="4" t="s">
        <v>3261</v>
      </c>
      <c r="I157" s="4"/>
      <c r="J157" s="4" t="s">
        <v>98</v>
      </c>
    </row>
    <row r="158" spans="1:10" customFormat="1" ht="32" x14ac:dyDescent="0.2">
      <c r="A158" s="6" t="s">
        <v>354</v>
      </c>
      <c r="B158" s="6" t="s">
        <v>355</v>
      </c>
      <c r="C158" s="4" t="b">
        <v>1</v>
      </c>
      <c r="D158" s="4" t="b">
        <v>0</v>
      </c>
      <c r="E158" s="4" t="b">
        <v>1</v>
      </c>
      <c r="F158" s="4" t="s">
        <v>12</v>
      </c>
      <c r="G158" s="4" t="b">
        <f t="shared" si="2"/>
        <v>1</v>
      </c>
      <c r="H158" s="4" t="s">
        <v>3262</v>
      </c>
      <c r="I158" s="4"/>
      <c r="J158" s="4" t="s">
        <v>98</v>
      </c>
    </row>
    <row r="159" spans="1:10" customFormat="1" ht="32" x14ac:dyDescent="0.2">
      <c r="A159" s="6" t="s">
        <v>356</v>
      </c>
      <c r="B159" s="6" t="s">
        <v>357</v>
      </c>
      <c r="C159" s="4" t="b">
        <v>1</v>
      </c>
      <c r="D159" s="4" t="b">
        <v>0</v>
      </c>
      <c r="E159" s="4" t="b">
        <v>1</v>
      </c>
      <c r="F159" s="4" t="s">
        <v>12</v>
      </c>
      <c r="G159" s="4" t="b">
        <f t="shared" si="2"/>
        <v>1</v>
      </c>
      <c r="H159" s="4" t="s">
        <v>3263</v>
      </c>
      <c r="I159" s="4"/>
      <c r="J159" s="4" t="s">
        <v>98</v>
      </c>
    </row>
    <row r="160" spans="1:10" customFormat="1" ht="16" x14ac:dyDescent="0.2">
      <c r="A160" s="6" t="s">
        <v>358</v>
      </c>
      <c r="B160" s="6" t="s">
        <v>359</v>
      </c>
      <c r="C160" s="4" t="b">
        <v>0</v>
      </c>
      <c r="D160" s="4" t="b">
        <v>0</v>
      </c>
      <c r="E160" s="4" t="b">
        <v>0</v>
      </c>
      <c r="F160" s="4"/>
      <c r="G160" s="4" t="b">
        <f t="shared" si="2"/>
        <v>0</v>
      </c>
      <c r="H160" s="4"/>
      <c r="I160" s="4"/>
      <c r="J160" s="4" t="s">
        <v>98</v>
      </c>
    </row>
    <row r="161" spans="1:10" customFormat="1" ht="48" x14ac:dyDescent="0.2">
      <c r="A161" s="6" t="s">
        <v>360</v>
      </c>
      <c r="B161" s="6" t="s">
        <v>361</v>
      </c>
      <c r="C161" s="4" t="b">
        <v>1</v>
      </c>
      <c r="D161" s="4" t="b">
        <v>0</v>
      </c>
      <c r="E161" s="4" t="b">
        <v>1</v>
      </c>
      <c r="F161" s="4" t="s">
        <v>12</v>
      </c>
      <c r="G161" s="4" t="b">
        <f t="shared" si="2"/>
        <v>1</v>
      </c>
      <c r="H161" s="4" t="s">
        <v>3264</v>
      </c>
      <c r="I161" s="4"/>
      <c r="J161" s="4" t="s">
        <v>98</v>
      </c>
    </row>
    <row r="162" spans="1:10" customFormat="1" ht="16" x14ac:dyDescent="0.2">
      <c r="A162" s="6" t="s">
        <v>362</v>
      </c>
      <c r="B162" s="6" t="s">
        <v>363</v>
      </c>
      <c r="C162" s="4" t="b">
        <v>0</v>
      </c>
      <c r="D162" s="4" t="b">
        <v>0</v>
      </c>
      <c r="E162" s="4" t="b">
        <v>1</v>
      </c>
      <c r="F162" s="4"/>
      <c r="G162" s="4" t="b">
        <f t="shared" si="2"/>
        <v>0</v>
      </c>
      <c r="H162" s="4"/>
      <c r="I162" s="4"/>
      <c r="J162" s="4" t="s">
        <v>98</v>
      </c>
    </row>
    <row r="163" spans="1:10" customFormat="1" ht="32" x14ac:dyDescent="0.2">
      <c r="A163" s="6" t="s">
        <v>364</v>
      </c>
      <c r="B163" s="6" t="s">
        <v>365</v>
      </c>
      <c r="C163" s="4" t="b">
        <v>1</v>
      </c>
      <c r="D163" s="4" t="b">
        <v>0</v>
      </c>
      <c r="E163" s="4" t="b">
        <v>1</v>
      </c>
      <c r="F163" s="4" t="s">
        <v>12</v>
      </c>
      <c r="G163" s="4" t="b">
        <f t="shared" si="2"/>
        <v>1</v>
      </c>
      <c r="H163" s="4" t="s">
        <v>3265</v>
      </c>
      <c r="I163" s="4"/>
      <c r="J163" s="4" t="s">
        <v>98</v>
      </c>
    </row>
    <row r="164" spans="1:10" customFormat="1" ht="16" x14ac:dyDescent="0.2">
      <c r="A164" s="6" t="s">
        <v>366</v>
      </c>
      <c r="B164" s="6" t="s">
        <v>367</v>
      </c>
      <c r="C164" s="4" t="b">
        <v>0</v>
      </c>
      <c r="D164" s="4" t="b">
        <v>0</v>
      </c>
      <c r="E164" s="4" t="b">
        <v>1</v>
      </c>
      <c r="F164" s="4"/>
      <c r="G164" s="4" t="b">
        <f t="shared" si="2"/>
        <v>0</v>
      </c>
      <c r="H164" s="4"/>
      <c r="I164" s="4"/>
      <c r="J164" s="4" t="s">
        <v>98</v>
      </c>
    </row>
    <row r="165" spans="1:10" customFormat="1" ht="16" x14ac:dyDescent="0.2">
      <c r="A165" s="6" t="s">
        <v>368</v>
      </c>
      <c r="B165" s="6" t="s">
        <v>369</v>
      </c>
      <c r="C165" s="4" t="b">
        <v>0</v>
      </c>
      <c r="D165" s="4" t="b">
        <v>0</v>
      </c>
      <c r="E165" s="4" t="b">
        <v>1</v>
      </c>
      <c r="F165" s="4"/>
      <c r="G165" s="4" t="b">
        <f t="shared" si="2"/>
        <v>0</v>
      </c>
      <c r="H165" s="4"/>
      <c r="I165" s="4"/>
      <c r="J165" s="4" t="s">
        <v>98</v>
      </c>
    </row>
    <row r="166" spans="1:10" customFormat="1" ht="16" x14ac:dyDescent="0.2">
      <c r="A166" s="6" t="s">
        <v>370</v>
      </c>
      <c r="B166" s="6" t="s">
        <v>371</v>
      </c>
      <c r="C166" s="4" t="b">
        <v>0</v>
      </c>
      <c r="D166" s="4" t="b">
        <v>0</v>
      </c>
      <c r="E166" s="4" t="b">
        <v>0</v>
      </c>
      <c r="F166" s="4"/>
      <c r="G166" s="4" t="b">
        <f t="shared" si="2"/>
        <v>0</v>
      </c>
      <c r="H166" s="4"/>
      <c r="I166" s="4"/>
      <c r="J166" s="4" t="s">
        <v>98</v>
      </c>
    </row>
    <row r="167" spans="1:10" customFormat="1" ht="16" x14ac:dyDescent="0.2">
      <c r="A167" s="6" t="s">
        <v>372</v>
      </c>
      <c r="B167" s="6" t="s">
        <v>373</v>
      </c>
      <c r="C167" s="4" t="b">
        <v>0</v>
      </c>
      <c r="D167" s="4" t="b">
        <v>0</v>
      </c>
      <c r="E167" s="4" t="b">
        <v>0</v>
      </c>
      <c r="F167" s="4"/>
      <c r="G167" s="4" t="b">
        <f t="shared" si="2"/>
        <v>0</v>
      </c>
      <c r="H167" s="4"/>
      <c r="I167" s="4"/>
      <c r="J167" s="4" t="s">
        <v>98</v>
      </c>
    </row>
    <row r="168" spans="1:10" customFormat="1" ht="16" x14ac:dyDescent="0.2">
      <c r="A168" s="6" t="s">
        <v>374</v>
      </c>
      <c r="B168" s="6" t="s">
        <v>375</v>
      </c>
      <c r="C168" s="4" t="b">
        <v>0</v>
      </c>
      <c r="D168" s="4" t="b">
        <v>0</v>
      </c>
      <c r="E168" s="4" t="b">
        <v>0</v>
      </c>
      <c r="F168" s="4"/>
      <c r="G168" s="4" t="b">
        <f t="shared" si="2"/>
        <v>0</v>
      </c>
      <c r="H168" s="4"/>
      <c r="I168" s="4"/>
      <c r="J168" s="4" t="s">
        <v>98</v>
      </c>
    </row>
    <row r="169" spans="1:10" customFormat="1" ht="32" x14ac:dyDescent="0.2">
      <c r="A169" s="6" t="s">
        <v>376</v>
      </c>
      <c r="B169" s="6" t="s">
        <v>377</v>
      </c>
      <c r="C169" s="4" t="b">
        <v>1</v>
      </c>
      <c r="D169" s="4" t="b">
        <v>0</v>
      </c>
      <c r="E169" s="4" t="b">
        <v>1</v>
      </c>
      <c r="F169" s="4" t="s">
        <v>12</v>
      </c>
      <c r="G169" s="4" t="b">
        <f t="shared" si="2"/>
        <v>1</v>
      </c>
      <c r="H169" s="4" t="s">
        <v>3266</v>
      </c>
      <c r="I169" s="4"/>
      <c r="J169" s="4" t="s">
        <v>98</v>
      </c>
    </row>
    <row r="170" spans="1:10" customFormat="1" ht="16" x14ac:dyDescent="0.2">
      <c r="A170" s="6" t="s">
        <v>378</v>
      </c>
      <c r="B170" s="6" t="s">
        <v>379</v>
      </c>
      <c r="C170" s="4" t="b">
        <v>1</v>
      </c>
      <c r="D170" s="4" t="b">
        <v>1</v>
      </c>
      <c r="E170" s="4" t="b">
        <v>1</v>
      </c>
      <c r="F170" s="4" t="s">
        <v>12</v>
      </c>
      <c r="G170" s="4" t="b">
        <f t="shared" si="2"/>
        <v>1</v>
      </c>
      <c r="H170" s="4" t="s">
        <v>3267</v>
      </c>
      <c r="I170" s="4"/>
      <c r="J170" s="4" t="s">
        <v>98</v>
      </c>
    </row>
    <row r="171" spans="1:10" customFormat="1" ht="48" x14ac:dyDescent="0.2">
      <c r="A171" s="6" t="s">
        <v>380</v>
      </c>
      <c r="B171" s="6" t="s">
        <v>381</v>
      </c>
      <c r="C171" s="4" t="b">
        <v>1</v>
      </c>
      <c r="D171" s="4" t="b">
        <v>0</v>
      </c>
      <c r="E171" s="4" t="b">
        <v>1</v>
      </c>
      <c r="F171" s="4" t="s">
        <v>12</v>
      </c>
      <c r="G171" s="4" t="b">
        <f t="shared" si="2"/>
        <v>1</v>
      </c>
      <c r="H171" s="4" t="s">
        <v>3268</v>
      </c>
      <c r="I171" s="4"/>
      <c r="J171" s="4" t="s">
        <v>98</v>
      </c>
    </row>
    <row r="172" spans="1:10" customFormat="1" ht="64" x14ac:dyDescent="0.2">
      <c r="A172" s="6" t="s">
        <v>382</v>
      </c>
      <c r="B172" s="6" t="s">
        <v>383</v>
      </c>
      <c r="C172" s="4" t="b">
        <v>1</v>
      </c>
      <c r="D172" s="4" t="b">
        <v>0</v>
      </c>
      <c r="E172" s="4" t="b">
        <v>1</v>
      </c>
      <c r="F172" s="4" t="s">
        <v>12</v>
      </c>
      <c r="G172" s="4" t="b">
        <f t="shared" si="2"/>
        <v>1</v>
      </c>
      <c r="H172" s="4" t="s">
        <v>3269</v>
      </c>
      <c r="I172" s="4"/>
      <c r="J172" s="4" t="s">
        <v>98</v>
      </c>
    </row>
    <row r="173" spans="1:10" customFormat="1" ht="64" x14ac:dyDescent="0.2">
      <c r="A173" s="6" t="s">
        <v>384</v>
      </c>
      <c r="B173" s="6" t="s">
        <v>385</v>
      </c>
      <c r="C173" s="4" t="b">
        <v>1</v>
      </c>
      <c r="D173" s="4" t="b">
        <v>1</v>
      </c>
      <c r="E173" s="4" t="b">
        <v>1</v>
      </c>
      <c r="F173" s="4" t="s">
        <v>12</v>
      </c>
      <c r="G173" s="4" t="b">
        <f t="shared" si="2"/>
        <v>1</v>
      </c>
      <c r="H173" s="4" t="s">
        <v>3270</v>
      </c>
      <c r="I173" s="4"/>
      <c r="J173" s="4" t="s">
        <v>98</v>
      </c>
    </row>
    <row r="174" spans="1:10" customFormat="1" ht="16" x14ac:dyDescent="0.2">
      <c r="A174" s="6" t="s">
        <v>386</v>
      </c>
      <c r="B174" s="6" t="s">
        <v>387</v>
      </c>
      <c r="C174" s="4" t="b">
        <v>0</v>
      </c>
      <c r="D174" s="4" t="b">
        <v>0</v>
      </c>
      <c r="E174" s="4" t="b">
        <v>0</v>
      </c>
      <c r="F174" s="4"/>
      <c r="G174" s="4" t="b">
        <f t="shared" si="2"/>
        <v>0</v>
      </c>
      <c r="H174" s="4"/>
      <c r="I174" s="4"/>
      <c r="J174" s="4" t="s">
        <v>98</v>
      </c>
    </row>
    <row r="175" spans="1:10" customFormat="1" ht="16" x14ac:dyDescent="0.2">
      <c r="A175" s="6" t="s">
        <v>388</v>
      </c>
      <c r="B175" s="6" t="s">
        <v>389</v>
      </c>
      <c r="C175" s="4" t="b">
        <v>0</v>
      </c>
      <c r="D175" s="4" t="b">
        <v>0</v>
      </c>
      <c r="E175" s="4" t="b">
        <v>0</v>
      </c>
      <c r="F175" s="4"/>
      <c r="G175" s="4" t="b">
        <f t="shared" si="2"/>
        <v>0</v>
      </c>
      <c r="H175" s="4"/>
      <c r="I175" s="4"/>
      <c r="J175" s="4" t="s">
        <v>98</v>
      </c>
    </row>
    <row r="176" spans="1:10" customFormat="1" ht="16" x14ac:dyDescent="0.2">
      <c r="A176" s="6" t="s">
        <v>390</v>
      </c>
      <c r="B176" s="6" t="s">
        <v>391</v>
      </c>
      <c r="C176" s="4" t="b">
        <v>0</v>
      </c>
      <c r="D176" s="4" t="b">
        <v>0</v>
      </c>
      <c r="E176" s="4" t="b">
        <v>0</v>
      </c>
      <c r="F176" s="4"/>
      <c r="G176" s="4" t="b">
        <f t="shared" si="2"/>
        <v>0</v>
      </c>
      <c r="H176" s="4"/>
      <c r="I176" s="4"/>
      <c r="J176" s="4" t="s">
        <v>98</v>
      </c>
    </row>
    <row r="177" spans="1:11" ht="64" x14ac:dyDescent="0.2">
      <c r="A177" s="6" t="s">
        <v>392</v>
      </c>
      <c r="B177" s="6" t="s">
        <v>393</v>
      </c>
      <c r="C177" s="4" t="b">
        <v>1</v>
      </c>
      <c r="D177" s="4" t="b">
        <v>0</v>
      </c>
      <c r="E177" s="4" t="b">
        <v>1</v>
      </c>
      <c r="F177" s="4" t="s">
        <v>12</v>
      </c>
      <c r="G177" s="4" t="b">
        <f t="shared" si="2"/>
        <v>1</v>
      </c>
      <c r="H177" s="4" t="s">
        <v>3271</v>
      </c>
      <c r="I177" s="4"/>
      <c r="J177" s="4" t="s">
        <v>98</v>
      </c>
      <c r="K177"/>
    </row>
    <row r="178" spans="1:11" ht="16" x14ac:dyDescent="0.2">
      <c r="A178" s="6" t="s">
        <v>394</v>
      </c>
      <c r="B178" s="6" t="s">
        <v>395</v>
      </c>
      <c r="C178" s="4" t="b">
        <v>0</v>
      </c>
      <c r="D178" s="4" t="b">
        <v>0</v>
      </c>
      <c r="E178" s="4" t="b">
        <v>0</v>
      </c>
      <c r="F178" s="4"/>
      <c r="G178" s="4" t="b">
        <f t="shared" si="2"/>
        <v>0</v>
      </c>
      <c r="H178" s="4"/>
      <c r="I178" s="4"/>
      <c r="J178" s="4" t="s">
        <v>98</v>
      </c>
      <c r="K178"/>
    </row>
    <row r="179" spans="1:11" ht="16" x14ac:dyDescent="0.2">
      <c r="A179" s="6" t="s">
        <v>396</v>
      </c>
      <c r="B179" s="6" t="s">
        <v>397</v>
      </c>
      <c r="C179" s="4" t="b">
        <v>0</v>
      </c>
      <c r="D179" s="4" t="b">
        <v>0</v>
      </c>
      <c r="E179" s="4" t="b">
        <v>1</v>
      </c>
      <c r="F179" s="4"/>
      <c r="G179" s="4" t="b">
        <f t="shared" si="2"/>
        <v>0</v>
      </c>
      <c r="H179" s="4"/>
      <c r="I179" s="4"/>
      <c r="J179" s="4" t="s">
        <v>98</v>
      </c>
      <c r="K179"/>
    </row>
    <row r="180" spans="1:11" ht="48" x14ac:dyDescent="0.2">
      <c r="A180" s="6" t="s">
        <v>398</v>
      </c>
      <c r="B180" s="6" t="s">
        <v>399</v>
      </c>
      <c r="C180" s="4" t="b">
        <v>0</v>
      </c>
      <c r="D180" s="4" t="b">
        <v>0</v>
      </c>
      <c r="E180" s="4" t="b">
        <v>1</v>
      </c>
      <c r="F180" s="4" t="s">
        <v>12</v>
      </c>
      <c r="G180" s="4" t="b">
        <f t="shared" si="2"/>
        <v>1</v>
      </c>
      <c r="H180" s="4" t="s">
        <v>2857</v>
      </c>
      <c r="I180" s="4"/>
      <c r="J180" s="4" t="s">
        <v>94</v>
      </c>
      <c r="K180"/>
    </row>
    <row r="181" spans="1:11" ht="16" x14ac:dyDescent="0.2">
      <c r="A181" s="6" t="s">
        <v>400</v>
      </c>
      <c r="B181" s="6" t="s">
        <v>401</v>
      </c>
      <c r="C181" s="4" t="b">
        <v>0</v>
      </c>
      <c r="D181" s="4" t="b">
        <v>0</v>
      </c>
      <c r="E181" s="4" t="b">
        <v>0</v>
      </c>
      <c r="F181" s="4" t="s">
        <v>12</v>
      </c>
      <c r="G181" s="4" t="b">
        <f t="shared" si="2"/>
        <v>1</v>
      </c>
      <c r="H181" s="4"/>
      <c r="I181" s="4"/>
      <c r="J181" s="4" t="s">
        <v>94</v>
      </c>
      <c r="K181"/>
    </row>
    <row r="182" spans="1:11" ht="16" x14ac:dyDescent="0.2">
      <c r="A182" s="6" t="s">
        <v>402</v>
      </c>
      <c r="B182" s="6" t="s">
        <v>403</v>
      </c>
      <c r="C182" s="4" t="b">
        <v>1</v>
      </c>
      <c r="D182" s="4" t="b">
        <v>0</v>
      </c>
      <c r="E182" s="4" t="b">
        <v>1</v>
      </c>
      <c r="F182" s="4" t="s">
        <v>12</v>
      </c>
      <c r="G182" s="4" t="b">
        <f t="shared" si="2"/>
        <v>1</v>
      </c>
      <c r="H182" s="4"/>
      <c r="I182" s="4"/>
      <c r="J182" s="4" t="s">
        <v>94</v>
      </c>
    </row>
    <row r="183" spans="1:11" ht="80" x14ac:dyDescent="0.2">
      <c r="A183" s="6" t="s">
        <v>404</v>
      </c>
      <c r="B183" s="6" t="s">
        <v>405</v>
      </c>
      <c r="C183" s="4" t="b">
        <v>1</v>
      </c>
      <c r="D183" s="4" t="b">
        <v>0</v>
      </c>
      <c r="E183" s="4" t="b">
        <v>1</v>
      </c>
      <c r="F183" s="4" t="s">
        <v>12</v>
      </c>
      <c r="G183" s="4" t="b">
        <f t="shared" si="2"/>
        <v>1</v>
      </c>
      <c r="H183" s="4" t="s">
        <v>2858</v>
      </c>
      <c r="I183" s="4"/>
      <c r="J183" s="4" t="s">
        <v>94</v>
      </c>
    </row>
    <row r="184" spans="1:11" ht="32" x14ac:dyDescent="0.2">
      <c r="A184" s="6" t="s">
        <v>406</v>
      </c>
      <c r="B184" s="6" t="s">
        <v>407</v>
      </c>
      <c r="C184" s="4" t="b">
        <v>1</v>
      </c>
      <c r="D184" s="4" t="b">
        <v>0</v>
      </c>
      <c r="E184" s="4" t="b">
        <v>1</v>
      </c>
      <c r="F184" s="4" t="s">
        <v>12</v>
      </c>
      <c r="G184" s="4" t="b">
        <f t="shared" si="2"/>
        <v>1</v>
      </c>
      <c r="H184" s="4" t="s">
        <v>2859</v>
      </c>
      <c r="I184" s="4"/>
      <c r="J184" s="4" t="s">
        <v>94</v>
      </c>
    </row>
    <row r="185" spans="1:11" ht="48" x14ac:dyDescent="0.2">
      <c r="A185" s="6" t="s">
        <v>408</v>
      </c>
      <c r="B185" s="6" t="s">
        <v>409</v>
      </c>
      <c r="C185" s="4" t="b">
        <v>1</v>
      </c>
      <c r="D185" s="4" t="b">
        <v>0</v>
      </c>
      <c r="E185" s="4" t="b">
        <v>1</v>
      </c>
      <c r="F185" s="4" t="s">
        <v>12</v>
      </c>
      <c r="G185" s="4" t="b">
        <f t="shared" si="2"/>
        <v>1</v>
      </c>
      <c r="H185" s="4" t="s">
        <v>2860</v>
      </c>
      <c r="I185" s="4"/>
      <c r="J185" s="4" t="s">
        <v>94</v>
      </c>
    </row>
    <row r="186" spans="1:11" ht="32" x14ac:dyDescent="0.2">
      <c r="A186" s="6" t="s">
        <v>410</v>
      </c>
      <c r="B186" s="6" t="s">
        <v>411</v>
      </c>
      <c r="C186" s="4" t="b">
        <v>1</v>
      </c>
      <c r="D186" s="4" t="b">
        <v>0</v>
      </c>
      <c r="E186" s="4" t="b">
        <v>1</v>
      </c>
      <c r="F186" s="4" t="s">
        <v>12</v>
      </c>
      <c r="G186" s="4" t="b">
        <f t="shared" si="2"/>
        <v>1</v>
      </c>
      <c r="H186" s="4" t="s">
        <v>2861</v>
      </c>
      <c r="I186" s="4"/>
      <c r="J186" s="4" t="s">
        <v>94</v>
      </c>
    </row>
    <row r="187" spans="1:11" ht="16" x14ac:dyDescent="0.2">
      <c r="A187" s="6" t="s">
        <v>412</v>
      </c>
      <c r="B187" s="6" t="s">
        <v>413</v>
      </c>
      <c r="C187" s="4" t="b">
        <v>0</v>
      </c>
      <c r="D187" s="4" t="b">
        <v>0</v>
      </c>
      <c r="E187" s="4" t="b">
        <v>0</v>
      </c>
      <c r="F187" s="4" t="s">
        <v>12</v>
      </c>
      <c r="G187" s="4" t="b">
        <f t="shared" si="2"/>
        <v>1</v>
      </c>
      <c r="H187" s="4" t="s">
        <v>2862</v>
      </c>
      <c r="I187" s="4"/>
      <c r="J187" s="4" t="s">
        <v>94</v>
      </c>
      <c r="K187"/>
    </row>
    <row r="188" spans="1:11" ht="16" x14ac:dyDescent="0.2">
      <c r="A188" s="6" t="s">
        <v>414</v>
      </c>
      <c r="B188" s="6" t="s">
        <v>415</v>
      </c>
      <c r="C188" s="4" t="b">
        <v>0</v>
      </c>
      <c r="D188" s="4" t="b">
        <v>0</v>
      </c>
      <c r="E188" s="4" t="b">
        <v>1</v>
      </c>
      <c r="F188" s="4" t="s">
        <v>12</v>
      </c>
      <c r="G188" s="4" t="b">
        <f t="shared" si="2"/>
        <v>1</v>
      </c>
      <c r="H188" s="4" t="s">
        <v>2862</v>
      </c>
      <c r="I188" s="4"/>
      <c r="J188" s="4" t="s">
        <v>94</v>
      </c>
      <c r="K188"/>
    </row>
    <row r="189" spans="1:11" ht="80" x14ac:dyDescent="0.2">
      <c r="A189" s="6" t="s">
        <v>416</v>
      </c>
      <c r="B189" s="6" t="s">
        <v>417</v>
      </c>
      <c r="C189" s="4" t="b">
        <v>1</v>
      </c>
      <c r="D189" s="4" t="b">
        <v>1</v>
      </c>
      <c r="E189" s="4" t="b">
        <v>1</v>
      </c>
      <c r="F189" s="4" t="s">
        <v>12</v>
      </c>
      <c r="G189" s="4" t="b">
        <f t="shared" si="2"/>
        <v>1</v>
      </c>
      <c r="H189" s="4" t="s">
        <v>2863</v>
      </c>
      <c r="I189" s="4"/>
      <c r="J189" s="4" t="s">
        <v>94</v>
      </c>
    </row>
    <row r="190" spans="1:11" ht="16" x14ac:dyDescent="0.2">
      <c r="A190" s="6" t="s">
        <v>418</v>
      </c>
      <c r="B190" s="6" t="s">
        <v>419</v>
      </c>
      <c r="C190" s="4" t="b">
        <v>0</v>
      </c>
      <c r="D190" s="4" t="b">
        <v>0</v>
      </c>
      <c r="E190" s="4" t="b">
        <v>0</v>
      </c>
      <c r="F190" s="4" t="s">
        <v>12</v>
      </c>
      <c r="G190" s="4" t="b">
        <f t="shared" si="2"/>
        <v>1</v>
      </c>
      <c r="H190" s="4"/>
      <c r="I190" s="4"/>
      <c r="J190" s="4" t="s">
        <v>94</v>
      </c>
      <c r="K190"/>
    </row>
    <row r="191" spans="1:11" ht="16" x14ac:dyDescent="0.2">
      <c r="A191" s="6" t="s">
        <v>420</v>
      </c>
      <c r="B191" s="6" t="s">
        <v>421</v>
      </c>
      <c r="C191" s="4" t="b">
        <v>0</v>
      </c>
      <c r="D191" s="4" t="b">
        <v>0</v>
      </c>
      <c r="E191" s="4" t="b">
        <v>1</v>
      </c>
      <c r="F191" s="4" t="s">
        <v>12</v>
      </c>
      <c r="G191" s="4" t="b">
        <f t="shared" si="2"/>
        <v>1</v>
      </c>
      <c r="H191" s="4"/>
      <c r="I191" s="4"/>
      <c r="J191" s="4" t="s">
        <v>94</v>
      </c>
      <c r="K191"/>
    </row>
    <row r="192" spans="1:11" ht="16" x14ac:dyDescent="0.2">
      <c r="A192" s="6" t="s">
        <v>422</v>
      </c>
      <c r="B192" s="6" t="s">
        <v>423</v>
      </c>
      <c r="C192" s="4" t="b">
        <v>0</v>
      </c>
      <c r="D192" s="4" t="b">
        <v>0</v>
      </c>
      <c r="E192" s="4" t="b">
        <v>0</v>
      </c>
      <c r="F192" s="4" t="s">
        <v>12</v>
      </c>
      <c r="G192" s="4" t="b">
        <f t="shared" si="2"/>
        <v>1</v>
      </c>
      <c r="H192" s="4"/>
      <c r="I192" s="4"/>
      <c r="J192" s="4" t="s">
        <v>94</v>
      </c>
      <c r="K192"/>
    </row>
    <row r="193" spans="1:11" ht="144" x14ac:dyDescent="0.2">
      <c r="A193" s="6" t="s">
        <v>424</v>
      </c>
      <c r="B193" s="6" t="s">
        <v>425</v>
      </c>
      <c r="C193" s="4" t="b">
        <v>1</v>
      </c>
      <c r="D193" s="4" t="b">
        <v>1</v>
      </c>
      <c r="E193" s="4" t="b">
        <v>1</v>
      </c>
      <c r="F193" s="4" t="s">
        <v>12</v>
      </c>
      <c r="G193" s="4" t="b">
        <f t="shared" si="2"/>
        <v>1</v>
      </c>
      <c r="H193" s="4" t="s">
        <v>2864</v>
      </c>
      <c r="I193" s="4"/>
      <c r="J193" s="4" t="s">
        <v>94</v>
      </c>
    </row>
    <row r="194" spans="1:11" ht="16" x14ac:dyDescent="0.2">
      <c r="A194" s="6" t="s">
        <v>426</v>
      </c>
      <c r="B194" s="6" t="s">
        <v>427</v>
      </c>
      <c r="C194" s="4" t="b">
        <v>0</v>
      </c>
      <c r="D194" s="4" t="b">
        <v>0</v>
      </c>
      <c r="E194" s="4" t="b">
        <v>1</v>
      </c>
      <c r="F194" s="4" t="s">
        <v>12</v>
      </c>
      <c r="G194" s="4" t="b">
        <f t="shared" ref="G194:G257" si="3">IF(F194="✔", TRUE, FALSE)</f>
        <v>1</v>
      </c>
      <c r="I194" s="4"/>
      <c r="J194" s="4" t="s">
        <v>94</v>
      </c>
      <c r="K194"/>
    </row>
    <row r="195" spans="1:11" ht="16" x14ac:dyDescent="0.2">
      <c r="A195" s="6" t="s">
        <v>428</v>
      </c>
      <c r="B195" s="6" t="s">
        <v>429</v>
      </c>
      <c r="C195" s="4" t="b">
        <v>1</v>
      </c>
      <c r="D195" s="4" t="b">
        <v>0</v>
      </c>
      <c r="E195" s="4" t="b">
        <v>1</v>
      </c>
      <c r="F195" s="4" t="s">
        <v>12</v>
      </c>
      <c r="G195" s="4" t="b">
        <f t="shared" si="3"/>
        <v>1</v>
      </c>
      <c r="H195" s="4" t="s">
        <v>2865</v>
      </c>
      <c r="I195" s="4"/>
      <c r="J195" s="4" t="s">
        <v>94</v>
      </c>
    </row>
    <row r="196" spans="1:11" ht="112" x14ac:dyDescent="0.2">
      <c r="A196" s="6" t="s">
        <v>430</v>
      </c>
      <c r="B196" s="6" t="s">
        <v>431</v>
      </c>
      <c r="C196" s="4" t="b">
        <v>1</v>
      </c>
      <c r="D196" s="4" t="b">
        <v>1</v>
      </c>
      <c r="E196" s="4" t="b">
        <v>1</v>
      </c>
      <c r="F196" s="4" t="s">
        <v>12</v>
      </c>
      <c r="G196" s="4" t="b">
        <f t="shared" si="3"/>
        <v>1</v>
      </c>
      <c r="H196" s="4" t="s">
        <v>2866</v>
      </c>
      <c r="I196" s="4"/>
      <c r="J196" s="4" t="s">
        <v>94</v>
      </c>
    </row>
    <row r="197" spans="1:11" ht="16" x14ac:dyDescent="0.2">
      <c r="A197" s="6" t="s">
        <v>432</v>
      </c>
      <c r="B197" s="6" t="s">
        <v>433</v>
      </c>
      <c r="C197" s="4" t="b">
        <v>1</v>
      </c>
      <c r="D197" s="4" t="b">
        <v>0</v>
      </c>
      <c r="E197" s="4" t="b">
        <v>1</v>
      </c>
      <c r="F197" s="4" t="s">
        <v>12</v>
      </c>
      <c r="G197" s="4" t="b">
        <f t="shared" si="3"/>
        <v>1</v>
      </c>
      <c r="H197" s="4"/>
      <c r="I197" s="4"/>
      <c r="J197" s="4" t="s">
        <v>94</v>
      </c>
    </row>
    <row r="198" spans="1:11" ht="32" x14ac:dyDescent="0.2">
      <c r="A198" s="6" t="s">
        <v>434</v>
      </c>
      <c r="B198" s="6" t="s">
        <v>435</v>
      </c>
      <c r="C198" s="4" t="b">
        <v>1</v>
      </c>
      <c r="D198" s="4" t="b">
        <v>0</v>
      </c>
      <c r="E198" s="4" t="b">
        <v>1</v>
      </c>
      <c r="F198" s="4" t="s">
        <v>12</v>
      </c>
      <c r="G198" s="4" t="b">
        <f t="shared" si="3"/>
        <v>1</v>
      </c>
      <c r="H198" s="4" t="s">
        <v>2867</v>
      </c>
      <c r="I198" s="4"/>
      <c r="J198" s="4" t="s">
        <v>94</v>
      </c>
    </row>
    <row r="199" spans="1:11" ht="32" x14ac:dyDescent="0.2">
      <c r="A199" s="6" t="s">
        <v>436</v>
      </c>
      <c r="B199" s="6" t="s">
        <v>437</v>
      </c>
      <c r="C199" s="4" t="b">
        <v>1</v>
      </c>
      <c r="D199" s="4" t="b">
        <v>0</v>
      </c>
      <c r="E199" s="4" t="b">
        <v>1</v>
      </c>
      <c r="F199" s="4" t="s">
        <v>12</v>
      </c>
      <c r="G199" s="4" t="b">
        <f t="shared" si="3"/>
        <v>1</v>
      </c>
      <c r="H199" s="4" t="s">
        <v>2868</v>
      </c>
      <c r="I199" s="4"/>
      <c r="J199" s="4" t="s">
        <v>94</v>
      </c>
    </row>
    <row r="200" spans="1:11" ht="96" x14ac:dyDescent="0.2">
      <c r="A200" s="6" t="s">
        <v>438</v>
      </c>
      <c r="B200" s="6" t="s">
        <v>439</v>
      </c>
      <c r="C200" s="4" t="b">
        <v>1</v>
      </c>
      <c r="D200" s="4" t="b">
        <v>0</v>
      </c>
      <c r="E200" s="4" t="b">
        <v>1</v>
      </c>
      <c r="F200" s="4" t="s">
        <v>12</v>
      </c>
      <c r="G200" s="4" t="b">
        <f t="shared" si="3"/>
        <v>1</v>
      </c>
      <c r="H200" s="4" t="s">
        <v>2869</v>
      </c>
      <c r="I200" s="4"/>
      <c r="J200" s="4" t="s">
        <v>94</v>
      </c>
    </row>
    <row r="201" spans="1:11" ht="160" x14ac:dyDescent="0.2">
      <c r="A201" s="6" t="s">
        <v>440</v>
      </c>
      <c r="B201" s="6" t="s">
        <v>441</v>
      </c>
      <c r="C201" s="4" t="b">
        <v>1</v>
      </c>
      <c r="D201" s="4" t="b">
        <v>0</v>
      </c>
      <c r="E201" s="4" t="b">
        <v>1</v>
      </c>
      <c r="F201" s="4" t="s">
        <v>12</v>
      </c>
      <c r="G201" s="4" t="b">
        <f t="shared" si="3"/>
        <v>1</v>
      </c>
      <c r="H201" s="4" t="s">
        <v>2870</v>
      </c>
      <c r="I201" s="4"/>
      <c r="J201" s="4" t="s">
        <v>94</v>
      </c>
    </row>
    <row r="202" spans="1:11" ht="48" x14ac:dyDescent="0.2">
      <c r="A202" s="6" t="s">
        <v>442</v>
      </c>
      <c r="B202" s="6" t="s">
        <v>443</v>
      </c>
      <c r="C202" s="4" t="b">
        <v>0</v>
      </c>
      <c r="D202" s="4" t="b">
        <v>0</v>
      </c>
      <c r="E202" s="4" t="b">
        <v>1</v>
      </c>
      <c r="F202" s="4" t="s">
        <v>12</v>
      </c>
      <c r="G202" s="4" t="b">
        <f t="shared" si="3"/>
        <v>1</v>
      </c>
      <c r="H202" s="4" t="s">
        <v>2871</v>
      </c>
      <c r="I202" s="4"/>
      <c r="J202" s="4" t="s">
        <v>94</v>
      </c>
      <c r="K202"/>
    </row>
    <row r="203" spans="1:11" ht="32" x14ac:dyDescent="0.2">
      <c r="A203" s="6" t="s">
        <v>444</v>
      </c>
      <c r="B203" s="6" t="s">
        <v>445</v>
      </c>
      <c r="C203" s="4" t="b">
        <v>1</v>
      </c>
      <c r="D203" s="4" t="b">
        <v>0</v>
      </c>
      <c r="E203" s="4" t="b">
        <v>1</v>
      </c>
      <c r="F203" s="4" t="s">
        <v>12</v>
      </c>
      <c r="G203" s="4" t="b">
        <f t="shared" si="3"/>
        <v>1</v>
      </c>
      <c r="H203" s="4" t="s">
        <v>2872</v>
      </c>
      <c r="I203" s="4"/>
      <c r="J203" s="4" t="s">
        <v>94</v>
      </c>
    </row>
    <row r="204" spans="1:11" ht="16" x14ac:dyDescent="0.2">
      <c r="A204" s="6" t="s">
        <v>446</v>
      </c>
      <c r="B204" s="6" t="s">
        <v>447</v>
      </c>
      <c r="C204" s="4" t="b">
        <v>1</v>
      </c>
      <c r="D204" s="4" t="b">
        <v>0</v>
      </c>
      <c r="E204" s="4" t="b">
        <v>1</v>
      </c>
      <c r="F204" s="4" t="s">
        <v>12</v>
      </c>
      <c r="G204" s="4" t="b">
        <f t="shared" si="3"/>
        <v>1</v>
      </c>
      <c r="H204" s="4" t="s">
        <v>2873</v>
      </c>
      <c r="I204" s="4"/>
      <c r="J204" s="4" t="s">
        <v>94</v>
      </c>
    </row>
    <row r="205" spans="1:11" ht="272" x14ac:dyDescent="0.2">
      <c r="A205" s="6" t="s">
        <v>448</v>
      </c>
      <c r="B205" s="6" t="s">
        <v>449</v>
      </c>
      <c r="C205" s="4" t="b">
        <v>1</v>
      </c>
      <c r="D205" s="4" t="b">
        <v>1</v>
      </c>
      <c r="E205" s="4" t="b">
        <v>1</v>
      </c>
      <c r="F205" s="4" t="s">
        <v>12</v>
      </c>
      <c r="G205" s="4" t="b">
        <f t="shared" si="3"/>
        <v>1</v>
      </c>
      <c r="H205" s="4" t="s">
        <v>2883</v>
      </c>
      <c r="I205" s="4"/>
      <c r="J205" s="4" t="s">
        <v>94</v>
      </c>
    </row>
    <row r="206" spans="1:11" ht="144" x14ac:dyDescent="0.2">
      <c r="A206" s="6" t="s">
        <v>450</v>
      </c>
      <c r="B206" s="6" t="s">
        <v>451</v>
      </c>
      <c r="C206" s="4" t="b">
        <v>1</v>
      </c>
      <c r="D206" s="4" t="b">
        <v>1</v>
      </c>
      <c r="E206" s="4" t="b">
        <v>1</v>
      </c>
      <c r="F206" s="4" t="s">
        <v>12</v>
      </c>
      <c r="G206" s="4" t="b">
        <f t="shared" si="3"/>
        <v>1</v>
      </c>
      <c r="H206" s="4" t="s">
        <v>2884</v>
      </c>
      <c r="I206" s="4"/>
      <c r="J206" s="4" t="s">
        <v>94</v>
      </c>
    </row>
    <row r="207" spans="1:11" ht="16" x14ac:dyDescent="0.2">
      <c r="A207" s="6" t="s">
        <v>452</v>
      </c>
      <c r="B207" s="6" t="s">
        <v>453</v>
      </c>
      <c r="C207" s="4" t="b">
        <v>0</v>
      </c>
      <c r="D207" s="4" t="b">
        <v>0</v>
      </c>
      <c r="E207" s="4" t="b">
        <v>1</v>
      </c>
      <c r="F207" s="4"/>
      <c r="G207" s="4" t="b">
        <f t="shared" si="3"/>
        <v>0</v>
      </c>
      <c r="H207" s="4"/>
      <c r="I207" s="4"/>
      <c r="J207" s="4" t="s">
        <v>94</v>
      </c>
      <c r="K207"/>
    </row>
    <row r="208" spans="1:11" ht="16" x14ac:dyDescent="0.2">
      <c r="A208" s="6" t="s">
        <v>454</v>
      </c>
      <c r="B208" s="6" t="s">
        <v>455</v>
      </c>
      <c r="C208" s="4" t="b">
        <v>0</v>
      </c>
      <c r="D208" s="4" t="b">
        <v>0</v>
      </c>
      <c r="E208" s="4" t="b">
        <v>1</v>
      </c>
      <c r="F208" s="4"/>
      <c r="G208" s="4" t="b">
        <f t="shared" si="3"/>
        <v>0</v>
      </c>
      <c r="H208" s="4"/>
      <c r="I208" s="4"/>
      <c r="J208" s="4" t="s">
        <v>94</v>
      </c>
      <c r="K208"/>
    </row>
    <row r="209" spans="1:11" ht="112" x14ac:dyDescent="0.2">
      <c r="A209" s="6" t="s">
        <v>456</v>
      </c>
      <c r="B209" s="6" t="s">
        <v>457</v>
      </c>
      <c r="C209" s="4" t="b">
        <v>1</v>
      </c>
      <c r="D209" s="4" t="b">
        <v>1</v>
      </c>
      <c r="E209" s="4" t="b">
        <v>1</v>
      </c>
      <c r="F209" s="4" t="s">
        <v>12</v>
      </c>
      <c r="G209" s="4" t="b">
        <f t="shared" si="3"/>
        <v>1</v>
      </c>
      <c r="H209" s="4" t="s">
        <v>2885</v>
      </c>
      <c r="I209" s="4"/>
      <c r="J209" s="4" t="s">
        <v>94</v>
      </c>
    </row>
    <row r="210" spans="1:11" ht="32" x14ac:dyDescent="0.2">
      <c r="A210" s="6" t="s">
        <v>458</v>
      </c>
      <c r="B210" s="6" t="s">
        <v>459</v>
      </c>
      <c r="C210" s="4" t="b">
        <v>1</v>
      </c>
      <c r="D210" s="4" t="b">
        <v>0</v>
      </c>
      <c r="E210" s="4" t="b">
        <v>1</v>
      </c>
      <c r="F210" s="4" t="s">
        <v>12</v>
      </c>
      <c r="G210" s="4" t="b">
        <f t="shared" si="3"/>
        <v>1</v>
      </c>
      <c r="H210" s="4" t="s">
        <v>2886</v>
      </c>
      <c r="I210" s="4"/>
      <c r="J210" s="4" t="s">
        <v>94</v>
      </c>
    </row>
    <row r="211" spans="1:11" ht="80" x14ac:dyDescent="0.2">
      <c r="A211" s="6" t="s">
        <v>460</v>
      </c>
      <c r="B211" s="6" t="s">
        <v>461</v>
      </c>
      <c r="C211" s="4" t="b">
        <v>1</v>
      </c>
      <c r="D211" s="4" t="b">
        <v>0</v>
      </c>
      <c r="E211" s="4" t="b">
        <v>1</v>
      </c>
      <c r="F211" s="4" t="s">
        <v>12</v>
      </c>
      <c r="G211" s="4" t="b">
        <f t="shared" si="3"/>
        <v>1</v>
      </c>
      <c r="H211" s="4" t="s">
        <v>2887</v>
      </c>
      <c r="I211" s="4"/>
      <c r="J211" s="4" t="s">
        <v>94</v>
      </c>
    </row>
    <row r="212" spans="1:11" ht="16" x14ac:dyDescent="0.2">
      <c r="A212" s="6" t="s">
        <v>462</v>
      </c>
      <c r="B212" s="6" t="s">
        <v>463</v>
      </c>
      <c r="C212" s="4" t="b">
        <v>0</v>
      </c>
      <c r="D212" s="4" t="b">
        <v>0</v>
      </c>
      <c r="E212" s="4" t="b">
        <v>1</v>
      </c>
      <c r="F212" s="4"/>
      <c r="G212" s="4" t="b">
        <f t="shared" si="3"/>
        <v>0</v>
      </c>
      <c r="H212" s="4"/>
      <c r="I212" s="4"/>
      <c r="J212" s="4" t="s">
        <v>94</v>
      </c>
      <c r="K212"/>
    </row>
    <row r="213" spans="1:11" ht="16" x14ac:dyDescent="0.2">
      <c r="A213" s="6" t="s">
        <v>464</v>
      </c>
      <c r="B213" s="6" t="s">
        <v>465</v>
      </c>
      <c r="C213" s="4" t="b">
        <v>0</v>
      </c>
      <c r="D213" s="4" t="b">
        <v>0</v>
      </c>
      <c r="E213" s="4" t="b">
        <v>0</v>
      </c>
      <c r="F213" s="4"/>
      <c r="G213" s="4" t="b">
        <f t="shared" si="3"/>
        <v>0</v>
      </c>
      <c r="H213" s="4"/>
      <c r="I213" s="4"/>
      <c r="J213" s="4" t="s">
        <v>94</v>
      </c>
      <c r="K213"/>
    </row>
    <row r="214" spans="1:11" ht="16" x14ac:dyDescent="0.2">
      <c r="A214" s="6" t="s">
        <v>466</v>
      </c>
      <c r="B214" s="6" t="s">
        <v>467</v>
      </c>
      <c r="C214" s="4" t="b">
        <v>0</v>
      </c>
      <c r="D214" s="4" t="b">
        <v>0</v>
      </c>
      <c r="E214" s="4" t="b">
        <v>0</v>
      </c>
      <c r="F214" s="4"/>
      <c r="G214" s="4" t="b">
        <f t="shared" si="3"/>
        <v>0</v>
      </c>
      <c r="H214" s="4"/>
      <c r="I214" s="4"/>
      <c r="J214" s="4" t="s">
        <v>94</v>
      </c>
      <c r="K214"/>
    </row>
    <row r="215" spans="1:11" ht="16" x14ac:dyDescent="0.2">
      <c r="A215" s="6" t="s">
        <v>468</v>
      </c>
      <c r="B215" s="6" t="s">
        <v>469</v>
      </c>
      <c r="C215" s="4" t="b">
        <v>0</v>
      </c>
      <c r="D215" s="4" t="b">
        <v>0</v>
      </c>
      <c r="E215" s="4" t="b">
        <v>1</v>
      </c>
      <c r="F215" s="4"/>
      <c r="G215" s="4" t="b">
        <f t="shared" si="3"/>
        <v>0</v>
      </c>
      <c r="H215" s="4"/>
      <c r="I215" s="4"/>
      <c r="J215" s="4" t="s">
        <v>94</v>
      </c>
      <c r="K215"/>
    </row>
    <row r="216" spans="1:11" ht="16" x14ac:dyDescent="0.2">
      <c r="A216" s="6" t="s">
        <v>470</v>
      </c>
      <c r="B216" s="6" t="s">
        <v>471</v>
      </c>
      <c r="C216" s="4" t="b">
        <v>0</v>
      </c>
      <c r="D216" s="4" t="b">
        <v>0</v>
      </c>
      <c r="E216" s="4" t="b">
        <v>1</v>
      </c>
      <c r="F216" s="4"/>
      <c r="G216" s="4" t="b">
        <f t="shared" si="3"/>
        <v>0</v>
      </c>
      <c r="H216" s="4"/>
      <c r="I216" s="4"/>
      <c r="J216" s="4" t="s">
        <v>94</v>
      </c>
      <c r="K216"/>
    </row>
    <row r="217" spans="1:11" ht="16" x14ac:dyDescent="0.2">
      <c r="A217" s="6" t="s">
        <v>472</v>
      </c>
      <c r="B217" s="6" t="s">
        <v>473</v>
      </c>
      <c r="C217" s="4" t="b">
        <v>0</v>
      </c>
      <c r="D217" s="4" t="b">
        <v>0</v>
      </c>
      <c r="E217" s="4" t="b">
        <v>1</v>
      </c>
      <c r="F217" s="4"/>
      <c r="G217" s="4" t="b">
        <f t="shared" si="3"/>
        <v>0</v>
      </c>
      <c r="H217" s="4"/>
      <c r="I217" s="4"/>
      <c r="J217" s="4" t="s">
        <v>94</v>
      </c>
      <c r="K217"/>
    </row>
    <row r="218" spans="1:11" ht="16" x14ac:dyDescent="0.2">
      <c r="A218" s="6" t="s">
        <v>474</v>
      </c>
      <c r="B218" s="6" t="s">
        <v>475</v>
      </c>
      <c r="C218" s="4" t="b">
        <v>0</v>
      </c>
      <c r="D218" s="4" t="b">
        <v>0</v>
      </c>
      <c r="E218" s="4" t="b">
        <v>0</v>
      </c>
      <c r="F218" s="4"/>
      <c r="G218" s="4" t="b">
        <f t="shared" si="3"/>
        <v>0</v>
      </c>
      <c r="H218" s="4"/>
      <c r="I218" s="4"/>
      <c r="J218" s="4" t="s">
        <v>94</v>
      </c>
      <c r="K218"/>
    </row>
    <row r="219" spans="1:11" ht="16" x14ac:dyDescent="0.2">
      <c r="A219" s="6" t="s">
        <v>476</v>
      </c>
      <c r="B219" s="6" t="s">
        <v>477</v>
      </c>
      <c r="C219" s="4" t="b">
        <v>0</v>
      </c>
      <c r="D219" s="4" t="b">
        <v>0</v>
      </c>
      <c r="E219" s="4" t="b">
        <v>1</v>
      </c>
      <c r="F219" s="4"/>
      <c r="G219" s="4" t="b">
        <f t="shared" si="3"/>
        <v>0</v>
      </c>
      <c r="H219" s="4"/>
      <c r="I219" s="4"/>
      <c r="J219" s="4" t="s">
        <v>94</v>
      </c>
      <c r="K219"/>
    </row>
    <row r="220" spans="1:11" ht="16" x14ac:dyDescent="0.2">
      <c r="A220" s="6" t="s">
        <v>478</v>
      </c>
      <c r="B220" s="6" t="s">
        <v>479</v>
      </c>
      <c r="C220" s="4" t="b">
        <v>0</v>
      </c>
      <c r="D220" s="4" t="b">
        <v>0</v>
      </c>
      <c r="E220" s="4" t="b">
        <v>1</v>
      </c>
      <c r="F220" s="4"/>
      <c r="G220" s="4" t="b">
        <f t="shared" si="3"/>
        <v>0</v>
      </c>
      <c r="H220" s="4"/>
      <c r="I220" s="4"/>
      <c r="J220" s="4" t="s">
        <v>94</v>
      </c>
      <c r="K220"/>
    </row>
    <row r="221" spans="1:11" ht="64" x14ac:dyDescent="0.2">
      <c r="A221" s="6" t="s">
        <v>480</v>
      </c>
      <c r="B221" s="6" t="s">
        <v>481</v>
      </c>
      <c r="C221" s="4" t="b">
        <v>1</v>
      </c>
      <c r="D221" s="4" t="b">
        <v>0</v>
      </c>
      <c r="E221" s="4" t="b">
        <v>1</v>
      </c>
      <c r="F221" s="4" t="s">
        <v>12</v>
      </c>
      <c r="G221" s="4" t="b">
        <f t="shared" si="3"/>
        <v>1</v>
      </c>
      <c r="H221" s="4" t="s">
        <v>2888</v>
      </c>
      <c r="I221" s="4"/>
      <c r="J221" s="4" t="s">
        <v>94</v>
      </c>
    </row>
    <row r="222" spans="1:11" ht="16" x14ac:dyDescent="0.2">
      <c r="A222" s="6" t="s">
        <v>482</v>
      </c>
      <c r="B222" s="6" t="s">
        <v>483</v>
      </c>
      <c r="C222" s="4" t="b">
        <v>0</v>
      </c>
      <c r="D222" s="4" t="b">
        <v>0</v>
      </c>
      <c r="E222" s="4" t="b">
        <v>0</v>
      </c>
      <c r="F222" s="4"/>
      <c r="G222" s="4" t="b">
        <f t="shared" si="3"/>
        <v>0</v>
      </c>
      <c r="H222" s="4"/>
      <c r="I222" s="4"/>
      <c r="J222" s="4" t="s">
        <v>94</v>
      </c>
      <c r="K222"/>
    </row>
    <row r="223" spans="1:11" ht="64" x14ac:dyDescent="0.2">
      <c r="A223" s="6" t="s">
        <v>484</v>
      </c>
      <c r="B223" s="6" t="s">
        <v>485</v>
      </c>
      <c r="C223" s="4" t="b">
        <v>1</v>
      </c>
      <c r="D223" s="4" t="b">
        <v>0</v>
      </c>
      <c r="E223" s="4" t="b">
        <v>1</v>
      </c>
      <c r="F223" s="4" t="s">
        <v>12</v>
      </c>
      <c r="G223" s="4" t="b">
        <f t="shared" si="3"/>
        <v>1</v>
      </c>
      <c r="H223" s="4" t="s">
        <v>2889</v>
      </c>
      <c r="I223" s="4"/>
      <c r="J223" s="4" t="s">
        <v>94</v>
      </c>
    </row>
    <row r="224" spans="1:11" ht="16" x14ac:dyDescent="0.2">
      <c r="A224" s="6" t="s">
        <v>486</v>
      </c>
      <c r="B224" s="6" t="s">
        <v>487</v>
      </c>
      <c r="C224" s="4" t="b">
        <v>0</v>
      </c>
      <c r="D224" s="4" t="b">
        <v>0</v>
      </c>
      <c r="E224" s="4" t="b">
        <v>0</v>
      </c>
      <c r="F224" s="4"/>
      <c r="G224" s="4" t="b">
        <f t="shared" si="3"/>
        <v>0</v>
      </c>
      <c r="H224" s="4"/>
      <c r="I224" s="4"/>
      <c r="J224" s="4" t="s">
        <v>94</v>
      </c>
      <c r="K224"/>
    </row>
    <row r="225" spans="1:11" ht="16" x14ac:dyDescent="0.2">
      <c r="A225" s="6" t="s">
        <v>488</v>
      </c>
      <c r="B225" s="6" t="s">
        <v>489</v>
      </c>
      <c r="C225" s="4" t="b">
        <v>0</v>
      </c>
      <c r="D225" s="4" t="b">
        <v>0</v>
      </c>
      <c r="E225" s="4" t="b">
        <v>0</v>
      </c>
      <c r="F225" s="4"/>
      <c r="G225" s="4" t="b">
        <f t="shared" si="3"/>
        <v>0</v>
      </c>
      <c r="H225" s="4"/>
      <c r="I225" s="4"/>
      <c r="J225" s="4" t="s">
        <v>94</v>
      </c>
      <c r="K225"/>
    </row>
    <row r="226" spans="1:11" ht="16" x14ac:dyDescent="0.2">
      <c r="A226" s="6" t="s">
        <v>490</v>
      </c>
      <c r="B226" s="6" t="s">
        <v>491</v>
      </c>
      <c r="C226" s="4" t="b">
        <v>0</v>
      </c>
      <c r="D226" s="4" t="b">
        <v>0</v>
      </c>
      <c r="E226" s="4" t="b">
        <v>0</v>
      </c>
      <c r="F226" s="4"/>
      <c r="G226" s="4" t="b">
        <f t="shared" si="3"/>
        <v>0</v>
      </c>
      <c r="H226" s="4"/>
      <c r="I226" s="4"/>
      <c r="J226" s="4" t="s">
        <v>94</v>
      </c>
      <c r="K226"/>
    </row>
    <row r="227" spans="1:11" ht="16" x14ac:dyDescent="0.2">
      <c r="A227" s="6" t="s">
        <v>492</v>
      </c>
      <c r="B227" s="6" t="s">
        <v>493</v>
      </c>
      <c r="C227" s="4" t="b">
        <v>1</v>
      </c>
      <c r="D227" s="4" t="b">
        <v>0</v>
      </c>
      <c r="E227" s="4" t="b">
        <v>1</v>
      </c>
      <c r="F227" s="4" t="s">
        <v>12</v>
      </c>
      <c r="G227" s="4" t="b">
        <f t="shared" si="3"/>
        <v>1</v>
      </c>
      <c r="H227" s="4" t="s">
        <v>2890</v>
      </c>
      <c r="I227" s="4"/>
      <c r="J227" s="4" t="s">
        <v>94</v>
      </c>
    </row>
    <row r="228" spans="1:11" ht="16" x14ac:dyDescent="0.2">
      <c r="A228" s="6" t="s">
        <v>494</v>
      </c>
      <c r="B228" s="6" t="s">
        <v>495</v>
      </c>
      <c r="C228" s="4" t="b">
        <v>0</v>
      </c>
      <c r="D228" s="4" t="b">
        <v>0</v>
      </c>
      <c r="E228" s="4" t="b">
        <v>0</v>
      </c>
      <c r="F228" s="4"/>
      <c r="G228" s="4" t="b">
        <f t="shared" si="3"/>
        <v>0</v>
      </c>
      <c r="H228" s="4"/>
      <c r="I228" s="4"/>
      <c r="J228" s="4" t="s">
        <v>94</v>
      </c>
      <c r="K228"/>
    </row>
    <row r="229" spans="1:11" ht="16" x14ac:dyDescent="0.2">
      <c r="A229" s="6" t="s">
        <v>496</v>
      </c>
      <c r="B229" s="6" t="s">
        <v>2853</v>
      </c>
      <c r="C229" s="4" t="b">
        <v>0</v>
      </c>
      <c r="D229" s="4" t="b">
        <v>0</v>
      </c>
      <c r="E229" s="4" t="b">
        <v>1</v>
      </c>
      <c r="F229" s="4"/>
      <c r="G229" s="4" t="b">
        <f t="shared" si="3"/>
        <v>0</v>
      </c>
      <c r="H229" s="4"/>
      <c r="I229" s="4"/>
      <c r="J229" s="4" t="s">
        <v>94</v>
      </c>
      <c r="K229"/>
    </row>
    <row r="230" spans="1:11" ht="16" x14ac:dyDescent="0.2">
      <c r="A230" s="6" t="s">
        <v>497</v>
      </c>
      <c r="B230" s="6" t="s">
        <v>498</v>
      </c>
      <c r="C230" s="4" t="b">
        <v>1</v>
      </c>
      <c r="D230" s="4" t="b">
        <v>0</v>
      </c>
      <c r="E230" s="4" t="b">
        <v>1</v>
      </c>
      <c r="F230" s="4" t="s">
        <v>12</v>
      </c>
      <c r="G230" s="4" t="b">
        <f t="shared" si="3"/>
        <v>1</v>
      </c>
      <c r="H230" s="4" t="s">
        <v>2891</v>
      </c>
      <c r="I230" s="4"/>
      <c r="J230" s="4" t="s">
        <v>94</v>
      </c>
    </row>
    <row r="231" spans="1:11" ht="16" x14ac:dyDescent="0.2">
      <c r="A231" s="6" t="s">
        <v>499</v>
      </c>
      <c r="B231" s="6" t="s">
        <v>500</v>
      </c>
      <c r="C231" s="4" t="b">
        <v>0</v>
      </c>
      <c r="D231" s="4" t="b">
        <v>0</v>
      </c>
      <c r="E231" s="4" t="b">
        <v>1</v>
      </c>
      <c r="F231" s="4"/>
      <c r="G231" s="4" t="b">
        <f t="shared" si="3"/>
        <v>0</v>
      </c>
      <c r="H231" s="4"/>
      <c r="I231" s="4"/>
      <c r="J231" s="4" t="s">
        <v>94</v>
      </c>
      <c r="K231"/>
    </row>
    <row r="232" spans="1:11" ht="16" x14ac:dyDescent="0.2">
      <c r="A232" s="6" t="s">
        <v>501</v>
      </c>
      <c r="B232" s="6" t="s">
        <v>502</v>
      </c>
      <c r="C232" s="4" t="b">
        <v>0</v>
      </c>
      <c r="D232" s="4" t="b">
        <v>0</v>
      </c>
      <c r="E232" s="4" t="b">
        <v>0</v>
      </c>
      <c r="F232" s="4"/>
      <c r="G232" s="4" t="b">
        <f t="shared" si="3"/>
        <v>0</v>
      </c>
      <c r="H232" s="4"/>
      <c r="I232" s="4"/>
      <c r="J232" s="4" t="s">
        <v>94</v>
      </c>
      <c r="K232"/>
    </row>
    <row r="233" spans="1:11" ht="16" x14ac:dyDescent="0.2">
      <c r="A233" s="6" t="s">
        <v>503</v>
      </c>
      <c r="B233" s="6" t="s">
        <v>504</v>
      </c>
      <c r="C233" s="4" t="b">
        <v>0</v>
      </c>
      <c r="D233" s="4" t="b">
        <v>0</v>
      </c>
      <c r="E233" s="4" t="b">
        <v>1</v>
      </c>
      <c r="F233" s="4"/>
      <c r="G233" s="4" t="b">
        <f t="shared" si="3"/>
        <v>0</v>
      </c>
      <c r="H233" s="4"/>
      <c r="I233" s="4"/>
      <c r="J233" s="4" t="s">
        <v>94</v>
      </c>
      <c r="K233"/>
    </row>
    <row r="234" spans="1:11" ht="16" x14ac:dyDescent="0.2">
      <c r="A234" s="6" t="s">
        <v>505</v>
      </c>
      <c r="B234" s="6" t="s">
        <v>506</v>
      </c>
      <c r="C234" s="4" t="b">
        <v>0</v>
      </c>
      <c r="D234" s="4" t="b">
        <v>0</v>
      </c>
      <c r="E234" s="4" t="b">
        <v>1</v>
      </c>
      <c r="F234" s="4"/>
      <c r="G234" s="4" t="b">
        <f t="shared" si="3"/>
        <v>0</v>
      </c>
      <c r="H234" s="4"/>
      <c r="I234" s="4"/>
      <c r="J234" s="4" t="s">
        <v>94</v>
      </c>
      <c r="K234"/>
    </row>
    <row r="235" spans="1:11" ht="16" x14ac:dyDescent="0.2">
      <c r="A235" s="6" t="s">
        <v>507</v>
      </c>
      <c r="B235" s="6" t="s">
        <v>508</v>
      </c>
      <c r="C235" s="4" t="b">
        <v>0</v>
      </c>
      <c r="D235" s="4" t="b">
        <v>0</v>
      </c>
      <c r="E235" s="4" t="b">
        <v>0</v>
      </c>
      <c r="F235" s="4" t="s">
        <v>12</v>
      </c>
      <c r="G235" s="4" t="b">
        <f t="shared" si="3"/>
        <v>1</v>
      </c>
      <c r="H235" s="4"/>
      <c r="I235" s="4"/>
      <c r="J235" s="4" t="s">
        <v>94</v>
      </c>
      <c r="K235"/>
    </row>
    <row r="236" spans="1:11" ht="16" x14ac:dyDescent="0.2">
      <c r="A236" s="6" t="s">
        <v>509</v>
      </c>
      <c r="B236" s="6" t="s">
        <v>510</v>
      </c>
      <c r="C236" s="4" t="b">
        <v>0</v>
      </c>
      <c r="D236" s="4" t="b">
        <v>0</v>
      </c>
      <c r="E236" s="4" t="b">
        <v>0</v>
      </c>
      <c r="F236" s="4"/>
      <c r="G236" s="4" t="b">
        <f t="shared" si="3"/>
        <v>0</v>
      </c>
      <c r="H236" s="4"/>
      <c r="I236" s="4"/>
      <c r="J236" s="4" t="s">
        <v>94</v>
      </c>
      <c r="K236"/>
    </row>
    <row r="237" spans="1:11" ht="16" x14ac:dyDescent="0.2">
      <c r="A237" s="6" t="s">
        <v>511</v>
      </c>
      <c r="B237" s="6" t="s">
        <v>512</v>
      </c>
      <c r="C237" s="4" t="b">
        <v>0</v>
      </c>
      <c r="D237" s="4" t="b">
        <v>0</v>
      </c>
      <c r="E237" s="4" t="b">
        <v>1</v>
      </c>
      <c r="F237" s="4"/>
      <c r="G237" s="4" t="b">
        <f t="shared" si="3"/>
        <v>0</v>
      </c>
      <c r="H237" s="4"/>
      <c r="I237" s="4"/>
      <c r="J237" s="4" t="s">
        <v>94</v>
      </c>
      <c r="K237"/>
    </row>
    <row r="238" spans="1:11" ht="16" x14ac:dyDescent="0.2">
      <c r="A238" s="6" t="s">
        <v>513</v>
      </c>
      <c r="B238" s="6" t="s">
        <v>514</v>
      </c>
      <c r="C238" s="4" t="b">
        <v>0</v>
      </c>
      <c r="D238" s="4" t="b">
        <v>0</v>
      </c>
      <c r="E238" s="4" t="b">
        <v>0</v>
      </c>
      <c r="F238" s="4"/>
      <c r="G238" s="4" t="b">
        <f t="shared" si="3"/>
        <v>0</v>
      </c>
      <c r="H238" s="4"/>
      <c r="I238" s="4"/>
      <c r="J238" s="4" t="s">
        <v>94</v>
      </c>
      <c r="K238"/>
    </row>
    <row r="239" spans="1:11" ht="16" x14ac:dyDescent="0.2">
      <c r="A239" s="6" t="s">
        <v>515</v>
      </c>
      <c r="B239" s="6" t="s">
        <v>516</v>
      </c>
      <c r="C239" s="4" t="b">
        <v>0</v>
      </c>
      <c r="D239" s="4" t="b">
        <v>0</v>
      </c>
      <c r="E239" s="4" t="b">
        <v>0</v>
      </c>
      <c r="F239" s="4"/>
      <c r="G239" s="4" t="b">
        <f t="shared" si="3"/>
        <v>0</v>
      </c>
      <c r="H239" s="4"/>
      <c r="I239" s="4"/>
      <c r="J239" s="4" t="s">
        <v>94</v>
      </c>
      <c r="K239"/>
    </row>
    <row r="240" spans="1:11" ht="272" x14ac:dyDescent="0.2">
      <c r="A240" s="6" t="s">
        <v>517</v>
      </c>
      <c r="B240" s="6" t="s">
        <v>518</v>
      </c>
      <c r="C240" s="4" t="b">
        <v>1</v>
      </c>
      <c r="D240" s="4" t="b">
        <v>0</v>
      </c>
      <c r="E240" s="4" t="b">
        <v>1</v>
      </c>
      <c r="F240" s="4" t="s">
        <v>12</v>
      </c>
      <c r="G240" s="4" t="b">
        <f t="shared" si="3"/>
        <v>1</v>
      </c>
      <c r="H240" s="4" t="s">
        <v>2892</v>
      </c>
      <c r="I240" s="4"/>
      <c r="J240" s="4" t="s">
        <v>94</v>
      </c>
    </row>
    <row r="241" spans="1:11" ht="32" x14ac:dyDescent="0.2">
      <c r="A241" s="6" t="s">
        <v>519</v>
      </c>
      <c r="B241" s="6" t="s">
        <v>520</v>
      </c>
      <c r="C241" s="4" t="b">
        <v>1</v>
      </c>
      <c r="D241" s="4" t="b">
        <v>0</v>
      </c>
      <c r="E241" s="4" t="b">
        <v>1</v>
      </c>
      <c r="F241" s="4" t="s">
        <v>12</v>
      </c>
      <c r="G241" s="4" t="b">
        <f t="shared" si="3"/>
        <v>1</v>
      </c>
      <c r="H241" s="4" t="s">
        <v>2893</v>
      </c>
      <c r="I241" s="4"/>
      <c r="J241" s="4" t="s">
        <v>94</v>
      </c>
    </row>
    <row r="242" spans="1:11" ht="32" x14ac:dyDescent="0.2">
      <c r="A242" s="6" t="s">
        <v>521</v>
      </c>
      <c r="B242" s="6" t="s">
        <v>522</v>
      </c>
      <c r="C242" s="4" t="b">
        <v>1</v>
      </c>
      <c r="D242" s="4" t="b">
        <v>1</v>
      </c>
      <c r="E242" s="4" t="b">
        <v>1</v>
      </c>
      <c r="F242" s="4" t="s">
        <v>12</v>
      </c>
      <c r="G242" s="4" t="b">
        <f t="shared" si="3"/>
        <v>1</v>
      </c>
      <c r="H242" s="4" t="s">
        <v>2894</v>
      </c>
      <c r="I242" s="4"/>
      <c r="J242" s="4" t="s">
        <v>94</v>
      </c>
    </row>
    <row r="243" spans="1:11" ht="16" x14ac:dyDescent="0.2">
      <c r="A243" s="6" t="s">
        <v>523</v>
      </c>
      <c r="B243" s="6" t="s">
        <v>524</v>
      </c>
      <c r="C243" s="4" t="b">
        <v>0</v>
      </c>
      <c r="D243" s="4" t="b">
        <v>0</v>
      </c>
      <c r="E243" s="4" t="b">
        <v>0</v>
      </c>
      <c r="F243" s="4"/>
      <c r="G243" s="4" t="b">
        <f t="shared" si="3"/>
        <v>0</v>
      </c>
      <c r="H243" s="4"/>
      <c r="I243" s="4"/>
      <c r="J243" s="4" t="s">
        <v>94</v>
      </c>
      <c r="K243"/>
    </row>
    <row r="244" spans="1:11" ht="16" x14ac:dyDescent="0.2">
      <c r="A244" s="6" t="s">
        <v>525</v>
      </c>
      <c r="B244" s="6" t="s">
        <v>526</v>
      </c>
      <c r="C244" s="4" t="b">
        <v>0</v>
      </c>
      <c r="D244" s="4" t="b">
        <v>0</v>
      </c>
      <c r="E244" s="4" t="b">
        <v>0</v>
      </c>
      <c r="F244" s="4"/>
      <c r="G244" s="4" t="b">
        <f t="shared" si="3"/>
        <v>0</v>
      </c>
      <c r="H244" s="4"/>
      <c r="I244" s="4"/>
      <c r="J244" s="4" t="s">
        <v>94</v>
      </c>
      <c r="K244"/>
    </row>
    <row r="245" spans="1:11" ht="16" x14ac:dyDescent="0.2">
      <c r="A245" s="6" t="s">
        <v>527</v>
      </c>
      <c r="B245" s="6" t="s">
        <v>528</v>
      </c>
      <c r="C245" s="4" t="b">
        <v>1</v>
      </c>
      <c r="D245" s="4" t="b">
        <v>0</v>
      </c>
      <c r="E245" s="4" t="b">
        <v>1</v>
      </c>
      <c r="F245" s="4" t="s">
        <v>12</v>
      </c>
      <c r="G245" s="4" t="b">
        <f t="shared" si="3"/>
        <v>1</v>
      </c>
      <c r="H245" s="4" t="s">
        <v>2895</v>
      </c>
      <c r="I245" s="4"/>
      <c r="J245" s="4" t="s">
        <v>94</v>
      </c>
    </row>
    <row r="246" spans="1:11" ht="96" x14ac:dyDescent="0.2">
      <c r="A246" s="6" t="s">
        <v>529</v>
      </c>
      <c r="B246" s="6" t="s">
        <v>530</v>
      </c>
      <c r="C246" s="4" t="b">
        <v>1</v>
      </c>
      <c r="D246" s="4" t="b">
        <v>0</v>
      </c>
      <c r="E246" s="4" t="b">
        <v>1</v>
      </c>
      <c r="F246" s="4" t="s">
        <v>12</v>
      </c>
      <c r="G246" s="4" t="b">
        <f t="shared" si="3"/>
        <v>1</v>
      </c>
      <c r="H246" s="4" t="s">
        <v>2896</v>
      </c>
      <c r="I246" s="4"/>
      <c r="J246" s="4" t="s">
        <v>94</v>
      </c>
    </row>
    <row r="247" spans="1:11" ht="144" x14ac:dyDescent="0.2">
      <c r="A247" s="6" t="s">
        <v>531</v>
      </c>
      <c r="B247" s="6" t="s">
        <v>532</v>
      </c>
      <c r="C247" s="4" t="b">
        <v>1</v>
      </c>
      <c r="D247" s="4" t="b">
        <v>1</v>
      </c>
      <c r="E247" s="4" t="b">
        <v>1</v>
      </c>
      <c r="F247" s="4" t="s">
        <v>12</v>
      </c>
      <c r="G247" s="4" t="b">
        <f t="shared" si="3"/>
        <v>1</v>
      </c>
      <c r="H247" s="4" t="s">
        <v>2897</v>
      </c>
      <c r="I247" s="4"/>
      <c r="J247" s="4" t="s">
        <v>94</v>
      </c>
    </row>
    <row r="248" spans="1:11" ht="208" x14ac:dyDescent="0.2">
      <c r="A248" s="6" t="s">
        <v>533</v>
      </c>
      <c r="B248" s="6" t="s">
        <v>534</v>
      </c>
      <c r="C248" s="4" t="b">
        <v>1</v>
      </c>
      <c r="D248" s="4" t="b">
        <v>1</v>
      </c>
      <c r="E248" s="4" t="b">
        <v>1</v>
      </c>
      <c r="F248" s="4" t="s">
        <v>12</v>
      </c>
      <c r="G248" s="4" t="b">
        <f t="shared" si="3"/>
        <v>1</v>
      </c>
      <c r="H248" s="4" t="s">
        <v>2898</v>
      </c>
      <c r="I248" s="4"/>
      <c r="J248" s="4" t="s">
        <v>94</v>
      </c>
    </row>
    <row r="249" spans="1:11" ht="16" x14ac:dyDescent="0.2">
      <c r="A249" s="6" t="s">
        <v>535</v>
      </c>
      <c r="B249" s="6" t="s">
        <v>536</v>
      </c>
      <c r="C249" s="4" t="b">
        <v>1</v>
      </c>
      <c r="D249" s="4" t="b">
        <v>0</v>
      </c>
      <c r="E249" s="4" t="b">
        <v>1</v>
      </c>
      <c r="F249" s="4" t="s">
        <v>12</v>
      </c>
      <c r="G249" s="4" t="b">
        <f t="shared" si="3"/>
        <v>1</v>
      </c>
      <c r="H249" s="4" t="s">
        <v>2899</v>
      </c>
      <c r="I249" s="4"/>
      <c r="J249" s="4" t="s">
        <v>94</v>
      </c>
    </row>
    <row r="250" spans="1:11" ht="16" x14ac:dyDescent="0.2">
      <c r="A250" s="6" t="s">
        <v>537</v>
      </c>
      <c r="B250" s="6" t="s">
        <v>538</v>
      </c>
      <c r="C250" s="4" t="b">
        <v>0</v>
      </c>
      <c r="D250" s="4" t="b">
        <v>0</v>
      </c>
      <c r="E250" s="4" t="b">
        <v>1</v>
      </c>
      <c r="F250" s="4"/>
      <c r="G250" s="4" t="b">
        <f t="shared" si="3"/>
        <v>0</v>
      </c>
      <c r="H250" s="4"/>
      <c r="I250" s="4"/>
      <c r="J250" s="4" t="s">
        <v>94</v>
      </c>
      <c r="K250"/>
    </row>
    <row r="251" spans="1:11" ht="16" x14ac:dyDescent="0.2">
      <c r="A251" s="6" t="s">
        <v>539</v>
      </c>
      <c r="B251" s="6" t="s">
        <v>540</v>
      </c>
      <c r="C251" s="4" t="b">
        <v>0</v>
      </c>
      <c r="D251" s="4" t="b">
        <v>0</v>
      </c>
      <c r="E251" s="4" t="b">
        <v>1</v>
      </c>
      <c r="F251" s="4"/>
      <c r="G251" s="4" t="b">
        <f t="shared" si="3"/>
        <v>0</v>
      </c>
      <c r="H251" s="4"/>
      <c r="I251" s="4"/>
      <c r="J251" s="4" t="s">
        <v>94</v>
      </c>
      <c r="K251"/>
    </row>
    <row r="252" spans="1:11" ht="48" x14ac:dyDescent="0.2">
      <c r="A252" s="6" t="s">
        <v>541</v>
      </c>
      <c r="B252" s="6" t="s">
        <v>542</v>
      </c>
      <c r="C252" s="4" t="b">
        <v>1</v>
      </c>
      <c r="D252" s="4" t="b">
        <v>0</v>
      </c>
      <c r="E252" s="4" t="b">
        <v>1</v>
      </c>
      <c r="F252" s="4" t="s">
        <v>12</v>
      </c>
      <c r="G252" s="4" t="b">
        <f t="shared" si="3"/>
        <v>1</v>
      </c>
      <c r="H252" s="4" t="s">
        <v>2900</v>
      </c>
      <c r="I252" s="4"/>
      <c r="J252" s="4" t="s">
        <v>94</v>
      </c>
    </row>
    <row r="253" spans="1:11" ht="160" x14ac:dyDescent="0.2">
      <c r="A253" s="6" t="s">
        <v>543</v>
      </c>
      <c r="B253" s="6" t="s">
        <v>544</v>
      </c>
      <c r="C253" s="4" t="b">
        <v>1</v>
      </c>
      <c r="D253" s="4" t="b">
        <v>0</v>
      </c>
      <c r="E253" s="4" t="b">
        <v>1</v>
      </c>
      <c r="F253" s="4" t="s">
        <v>12</v>
      </c>
      <c r="G253" s="4" t="b">
        <f t="shared" si="3"/>
        <v>1</v>
      </c>
      <c r="H253" s="4" t="s">
        <v>2901</v>
      </c>
      <c r="I253" s="4"/>
      <c r="J253" s="4" t="s">
        <v>94</v>
      </c>
    </row>
    <row r="254" spans="1:11" ht="112" x14ac:dyDescent="0.2">
      <c r="A254" s="6" t="s">
        <v>545</v>
      </c>
      <c r="B254" s="6" t="s">
        <v>546</v>
      </c>
      <c r="C254" s="4" t="b">
        <v>1</v>
      </c>
      <c r="D254" s="4" t="b">
        <v>0</v>
      </c>
      <c r="E254" s="4" t="b">
        <v>1</v>
      </c>
      <c r="F254" s="4" t="s">
        <v>12</v>
      </c>
      <c r="G254" s="4" t="b">
        <f t="shared" si="3"/>
        <v>1</v>
      </c>
      <c r="H254" s="4" t="s">
        <v>2902</v>
      </c>
      <c r="I254" s="4"/>
      <c r="J254" s="4" t="s">
        <v>94</v>
      </c>
    </row>
    <row r="255" spans="1:11" ht="16" x14ac:dyDescent="0.2">
      <c r="A255" s="6" t="s">
        <v>547</v>
      </c>
      <c r="B255" s="6" t="s">
        <v>548</v>
      </c>
      <c r="C255" s="4" t="b">
        <v>0</v>
      </c>
      <c r="D255" s="4" t="b">
        <v>0</v>
      </c>
      <c r="E255" s="4" t="b">
        <v>0</v>
      </c>
      <c r="F255" s="4"/>
      <c r="G255" s="4" t="b">
        <f t="shared" si="3"/>
        <v>0</v>
      </c>
      <c r="H255" s="4"/>
      <c r="I255" s="4"/>
      <c r="J255" s="4" t="s">
        <v>20</v>
      </c>
      <c r="K255"/>
    </row>
    <row r="256" spans="1:11" ht="16" x14ac:dyDescent="0.2">
      <c r="A256" s="6" t="s">
        <v>549</v>
      </c>
      <c r="B256" s="6" t="s">
        <v>550</v>
      </c>
      <c r="C256" s="4" t="b">
        <v>0</v>
      </c>
      <c r="D256" s="4" t="b">
        <v>0</v>
      </c>
      <c r="E256" s="4" t="b">
        <v>0</v>
      </c>
      <c r="F256" s="4"/>
      <c r="G256" s="4" t="b">
        <f t="shared" si="3"/>
        <v>0</v>
      </c>
      <c r="H256" s="4"/>
      <c r="I256" s="4"/>
      <c r="J256" s="4" t="s">
        <v>20</v>
      </c>
      <c r="K256"/>
    </row>
    <row r="257" spans="1:11" ht="64" x14ac:dyDescent="0.2">
      <c r="A257" s="6" t="s">
        <v>551</v>
      </c>
      <c r="B257" s="6" t="s">
        <v>552</v>
      </c>
      <c r="C257" s="4" t="b">
        <v>1</v>
      </c>
      <c r="D257" s="4" t="b">
        <v>0</v>
      </c>
      <c r="E257" s="4" t="b">
        <v>1</v>
      </c>
      <c r="F257" s="4" t="s">
        <v>12</v>
      </c>
      <c r="G257" s="4" t="b">
        <f t="shared" si="3"/>
        <v>1</v>
      </c>
      <c r="H257" s="4" t="s">
        <v>2905</v>
      </c>
      <c r="I257" s="4"/>
      <c r="J257" s="4" t="s">
        <v>20</v>
      </c>
    </row>
    <row r="258" spans="1:11" ht="48" x14ac:dyDescent="0.2">
      <c r="A258" s="6" t="s">
        <v>553</v>
      </c>
      <c r="B258" s="6" t="s">
        <v>554</v>
      </c>
      <c r="C258" s="4" t="b">
        <v>1</v>
      </c>
      <c r="D258" s="4" t="b">
        <v>0</v>
      </c>
      <c r="E258" s="4" t="b">
        <v>1</v>
      </c>
      <c r="F258" s="4" t="s">
        <v>12</v>
      </c>
      <c r="G258" s="4" t="b">
        <f t="shared" ref="G258:G321" si="4">IF(F258="✔", TRUE, FALSE)</f>
        <v>1</v>
      </c>
      <c r="H258" s="4" t="s">
        <v>2906</v>
      </c>
      <c r="I258" s="4"/>
      <c r="J258" s="4" t="s">
        <v>20</v>
      </c>
    </row>
    <row r="259" spans="1:11" ht="16" x14ac:dyDescent="0.2">
      <c r="A259" s="6" t="s">
        <v>555</v>
      </c>
      <c r="B259" s="6" t="s">
        <v>556</v>
      </c>
      <c r="C259" s="4" t="b">
        <v>0</v>
      </c>
      <c r="D259" s="4" t="b">
        <v>0</v>
      </c>
      <c r="E259" s="4" t="b">
        <v>1</v>
      </c>
      <c r="F259" s="4"/>
      <c r="G259" s="4" t="b">
        <f t="shared" si="4"/>
        <v>0</v>
      </c>
      <c r="H259" s="4"/>
      <c r="I259" s="4"/>
      <c r="J259" s="4" t="s">
        <v>20</v>
      </c>
      <c r="K259"/>
    </row>
    <row r="260" spans="1:11" ht="16" x14ac:dyDescent="0.2">
      <c r="A260" s="6" t="s">
        <v>557</v>
      </c>
      <c r="B260" s="6" t="s">
        <v>558</v>
      </c>
      <c r="C260" s="4" t="b">
        <v>0</v>
      </c>
      <c r="D260" s="4" t="b">
        <v>0</v>
      </c>
      <c r="E260" s="4" t="b">
        <v>0</v>
      </c>
      <c r="F260" s="4"/>
      <c r="G260" s="4" t="b">
        <f t="shared" si="4"/>
        <v>0</v>
      </c>
      <c r="H260" s="4"/>
      <c r="I260" s="4"/>
      <c r="J260" s="4" t="s">
        <v>20</v>
      </c>
      <c r="K260"/>
    </row>
    <row r="261" spans="1:11" ht="16" x14ac:dyDescent="0.2">
      <c r="A261" s="6" t="s">
        <v>559</v>
      </c>
      <c r="B261" s="6" t="s">
        <v>560</v>
      </c>
      <c r="C261" s="4" t="b">
        <v>1</v>
      </c>
      <c r="D261" s="4" t="b">
        <v>0</v>
      </c>
      <c r="E261" s="4" t="b">
        <v>1</v>
      </c>
      <c r="F261" s="4" t="s">
        <v>12</v>
      </c>
      <c r="G261" s="4" t="b">
        <f t="shared" si="4"/>
        <v>1</v>
      </c>
      <c r="H261" s="4"/>
      <c r="I261" s="4"/>
      <c r="J261" s="4" t="s">
        <v>20</v>
      </c>
    </row>
    <row r="262" spans="1:11" ht="16" x14ac:dyDescent="0.2">
      <c r="A262" s="6" t="s">
        <v>561</v>
      </c>
      <c r="B262" s="6" t="s">
        <v>562</v>
      </c>
      <c r="C262" s="4" t="b">
        <v>0</v>
      </c>
      <c r="D262" s="4" t="b">
        <v>0</v>
      </c>
      <c r="E262" s="4" t="b">
        <v>0</v>
      </c>
      <c r="F262" s="4"/>
      <c r="G262" s="4" t="b">
        <f t="shared" si="4"/>
        <v>0</v>
      </c>
      <c r="H262" s="4"/>
      <c r="I262" s="4"/>
      <c r="J262" s="4" t="s">
        <v>20</v>
      </c>
      <c r="K262"/>
    </row>
    <row r="263" spans="1:11" ht="16" x14ac:dyDescent="0.2">
      <c r="A263" s="6" t="s">
        <v>563</v>
      </c>
      <c r="B263" s="6" t="s">
        <v>564</v>
      </c>
      <c r="C263" s="4" t="b">
        <v>1</v>
      </c>
      <c r="D263" s="4" t="b">
        <v>0</v>
      </c>
      <c r="E263" s="4" t="b">
        <v>1</v>
      </c>
      <c r="F263" s="4" t="s">
        <v>12</v>
      </c>
      <c r="G263" s="4" t="b">
        <f t="shared" si="4"/>
        <v>1</v>
      </c>
      <c r="H263" s="4"/>
      <c r="I263" s="4"/>
      <c r="J263" s="4" t="s">
        <v>20</v>
      </c>
    </row>
    <row r="264" spans="1:11" ht="32" x14ac:dyDescent="0.2">
      <c r="A264" s="6" t="s">
        <v>565</v>
      </c>
      <c r="B264" s="6" t="s">
        <v>566</v>
      </c>
      <c r="C264" s="4" t="b">
        <v>1</v>
      </c>
      <c r="D264" s="4" t="b">
        <v>0</v>
      </c>
      <c r="E264" s="4" t="b">
        <v>1</v>
      </c>
      <c r="F264" s="4" t="s">
        <v>12</v>
      </c>
      <c r="G264" s="4" t="b">
        <f t="shared" si="4"/>
        <v>1</v>
      </c>
      <c r="H264" s="4" t="s">
        <v>2937</v>
      </c>
      <c r="I264" s="4"/>
      <c r="J264" s="4" t="s">
        <v>20</v>
      </c>
    </row>
    <row r="265" spans="1:11" ht="16" x14ac:dyDescent="0.2">
      <c r="A265" s="6" t="s">
        <v>567</v>
      </c>
      <c r="B265" s="6" t="s">
        <v>568</v>
      </c>
      <c r="C265" s="4" t="b">
        <v>0</v>
      </c>
      <c r="D265" s="4" t="b">
        <v>0</v>
      </c>
      <c r="E265" s="4" t="b">
        <v>1</v>
      </c>
      <c r="F265" s="4"/>
      <c r="G265" s="4" t="b">
        <f t="shared" si="4"/>
        <v>0</v>
      </c>
      <c r="H265" s="4"/>
      <c r="I265" s="4"/>
      <c r="J265" s="4" t="s">
        <v>20</v>
      </c>
      <c r="K265"/>
    </row>
    <row r="266" spans="1:11" ht="16" x14ac:dyDescent="0.2">
      <c r="A266" s="6" t="s">
        <v>569</v>
      </c>
      <c r="B266" s="6" t="s">
        <v>570</v>
      </c>
      <c r="C266" s="4" t="b">
        <v>0</v>
      </c>
      <c r="D266" s="4" t="b">
        <v>0</v>
      </c>
      <c r="E266" s="4" t="b">
        <v>1</v>
      </c>
      <c r="F266" s="4"/>
      <c r="G266" s="4" t="b">
        <f t="shared" si="4"/>
        <v>0</v>
      </c>
      <c r="H266" s="4"/>
      <c r="I266" s="4"/>
      <c r="J266" s="4" t="s">
        <v>20</v>
      </c>
      <c r="K266"/>
    </row>
    <row r="267" spans="1:11" ht="16" x14ac:dyDescent="0.2">
      <c r="A267" s="6" t="s">
        <v>571</v>
      </c>
      <c r="B267" s="6" t="s">
        <v>572</v>
      </c>
      <c r="C267" s="4" t="b">
        <v>1</v>
      </c>
      <c r="D267" s="4" t="b">
        <v>0</v>
      </c>
      <c r="E267" s="4" t="b">
        <v>1</v>
      </c>
      <c r="F267" s="4" t="s">
        <v>12</v>
      </c>
      <c r="G267" s="4" t="b">
        <f t="shared" si="4"/>
        <v>1</v>
      </c>
      <c r="H267" s="4"/>
      <c r="I267" s="4"/>
      <c r="J267" s="4" t="s">
        <v>20</v>
      </c>
    </row>
    <row r="268" spans="1:11" ht="16" x14ac:dyDescent="0.2">
      <c r="A268" s="6" t="s">
        <v>573</v>
      </c>
      <c r="B268" s="6" t="s">
        <v>574</v>
      </c>
      <c r="C268" s="4" t="b">
        <v>0</v>
      </c>
      <c r="D268" s="4" t="b">
        <v>0</v>
      </c>
      <c r="E268" s="4" t="b">
        <v>0</v>
      </c>
      <c r="F268" s="4"/>
      <c r="G268" s="4" t="b">
        <f t="shared" si="4"/>
        <v>0</v>
      </c>
      <c r="H268" s="4"/>
      <c r="I268" s="4"/>
      <c r="J268" s="4" t="s">
        <v>20</v>
      </c>
      <c r="K268"/>
    </row>
    <row r="269" spans="1:11" ht="16" x14ac:dyDescent="0.2">
      <c r="A269" s="6" t="s">
        <v>575</v>
      </c>
      <c r="B269" s="6" t="s">
        <v>576</v>
      </c>
      <c r="C269" s="4" t="b">
        <v>0</v>
      </c>
      <c r="D269" s="4" t="b">
        <v>0</v>
      </c>
      <c r="E269" s="4" t="b">
        <v>0</v>
      </c>
      <c r="F269" s="4"/>
      <c r="G269" s="4" t="b">
        <f t="shared" si="4"/>
        <v>0</v>
      </c>
      <c r="H269" s="4"/>
      <c r="I269" s="4"/>
      <c r="J269" s="4" t="s">
        <v>20</v>
      </c>
      <c r="K269"/>
    </row>
    <row r="270" spans="1:11" ht="16" x14ac:dyDescent="0.2">
      <c r="A270" s="6" t="s">
        <v>577</v>
      </c>
      <c r="B270" s="6" t="s">
        <v>578</v>
      </c>
      <c r="C270" s="4" t="b">
        <v>0</v>
      </c>
      <c r="D270" s="4" t="b">
        <v>0</v>
      </c>
      <c r="E270" s="4" t="b">
        <v>0</v>
      </c>
      <c r="F270" s="4"/>
      <c r="G270" s="4" t="b">
        <f t="shared" si="4"/>
        <v>0</v>
      </c>
      <c r="H270" s="4"/>
      <c r="I270" s="4"/>
      <c r="J270" s="4" t="s">
        <v>20</v>
      </c>
      <c r="K270"/>
    </row>
    <row r="271" spans="1:11" ht="16" x14ac:dyDescent="0.2">
      <c r="A271" s="6" t="s">
        <v>579</v>
      </c>
      <c r="B271" s="6" t="s">
        <v>580</v>
      </c>
      <c r="C271" s="4" t="b">
        <v>0</v>
      </c>
      <c r="D271" s="4" t="b">
        <v>0</v>
      </c>
      <c r="E271" s="4" t="b">
        <v>0</v>
      </c>
      <c r="F271" s="4"/>
      <c r="G271" s="4" t="b">
        <f t="shared" si="4"/>
        <v>0</v>
      </c>
      <c r="H271" s="4"/>
      <c r="I271" s="4"/>
      <c r="J271" s="4" t="s">
        <v>20</v>
      </c>
      <c r="K271"/>
    </row>
    <row r="272" spans="1:11" ht="16" x14ac:dyDescent="0.2">
      <c r="A272" s="6" t="s">
        <v>581</v>
      </c>
      <c r="B272" s="6" t="s">
        <v>582</v>
      </c>
      <c r="C272" s="4" t="b">
        <v>0</v>
      </c>
      <c r="D272" s="4" t="b">
        <v>0</v>
      </c>
      <c r="E272" s="4" t="b">
        <v>1</v>
      </c>
      <c r="F272" s="4"/>
      <c r="G272" s="4" t="b">
        <f t="shared" si="4"/>
        <v>0</v>
      </c>
      <c r="H272" s="4"/>
      <c r="I272" s="4"/>
      <c r="J272" s="4" t="s">
        <v>20</v>
      </c>
      <c r="K272"/>
    </row>
    <row r="273" spans="1:11" ht="16" x14ac:dyDescent="0.2">
      <c r="A273" s="6" t="s">
        <v>583</v>
      </c>
      <c r="B273" s="6" t="s">
        <v>584</v>
      </c>
      <c r="C273" s="4" t="b">
        <v>1</v>
      </c>
      <c r="D273" s="4" t="b">
        <v>0</v>
      </c>
      <c r="E273" s="4" t="b">
        <v>1</v>
      </c>
      <c r="F273" s="4" t="s">
        <v>12</v>
      </c>
      <c r="G273" s="4" t="b">
        <f t="shared" si="4"/>
        <v>1</v>
      </c>
      <c r="H273" s="4"/>
      <c r="I273" s="4"/>
      <c r="J273" s="4" t="s">
        <v>20</v>
      </c>
    </row>
    <row r="274" spans="1:11" ht="16" x14ac:dyDescent="0.2">
      <c r="A274" s="6" t="s">
        <v>585</v>
      </c>
      <c r="B274" s="6" t="s">
        <v>586</v>
      </c>
      <c r="C274" s="4" t="b">
        <v>1</v>
      </c>
      <c r="D274" s="4" t="b">
        <v>0</v>
      </c>
      <c r="E274" s="4" t="b">
        <v>1</v>
      </c>
      <c r="F274" s="4" t="s">
        <v>12</v>
      </c>
      <c r="G274" s="4" t="b">
        <f t="shared" si="4"/>
        <v>1</v>
      </c>
      <c r="H274" s="4" t="s">
        <v>2938</v>
      </c>
      <c r="I274" s="4"/>
      <c r="J274" s="4" t="s">
        <v>20</v>
      </c>
    </row>
    <row r="275" spans="1:11" ht="16" x14ac:dyDescent="0.2">
      <c r="A275" s="6" t="s">
        <v>587</v>
      </c>
      <c r="B275" s="6" t="s">
        <v>588</v>
      </c>
      <c r="C275" s="4" t="b">
        <v>0</v>
      </c>
      <c r="D275" s="4" t="b">
        <v>0</v>
      </c>
      <c r="E275" s="4" t="b">
        <v>1</v>
      </c>
      <c r="F275" s="4"/>
      <c r="G275" s="4" t="b">
        <f t="shared" si="4"/>
        <v>0</v>
      </c>
      <c r="H275" s="4"/>
      <c r="I275" s="4"/>
      <c r="J275" s="4" t="s">
        <v>20</v>
      </c>
      <c r="K275"/>
    </row>
    <row r="276" spans="1:11" ht="16" x14ac:dyDescent="0.2">
      <c r="A276" s="6" t="s">
        <v>589</v>
      </c>
      <c r="B276" s="6" t="s">
        <v>590</v>
      </c>
      <c r="C276" s="4" t="b">
        <v>0</v>
      </c>
      <c r="D276" s="4" t="b">
        <v>0</v>
      </c>
      <c r="E276" s="4" t="b">
        <v>1</v>
      </c>
      <c r="F276" s="4"/>
      <c r="G276" s="4" t="b">
        <f t="shared" si="4"/>
        <v>0</v>
      </c>
      <c r="H276" s="4"/>
      <c r="I276" s="4"/>
      <c r="J276" s="4" t="s">
        <v>20</v>
      </c>
      <c r="K276"/>
    </row>
    <row r="277" spans="1:11" ht="16" x14ac:dyDescent="0.2">
      <c r="A277" s="6" t="s">
        <v>591</v>
      </c>
      <c r="B277" s="6" t="s">
        <v>592</v>
      </c>
      <c r="C277" s="4" t="b">
        <v>0</v>
      </c>
      <c r="D277" s="4" t="b">
        <v>0</v>
      </c>
      <c r="E277" s="4" t="b">
        <v>0</v>
      </c>
      <c r="F277" s="4"/>
      <c r="G277" s="4" t="b">
        <f t="shared" si="4"/>
        <v>0</v>
      </c>
      <c r="H277" s="4"/>
      <c r="I277" s="4"/>
      <c r="J277" s="4" t="s">
        <v>20</v>
      </c>
      <c r="K277"/>
    </row>
    <row r="278" spans="1:11" ht="16" x14ac:dyDescent="0.2">
      <c r="A278" s="6" t="s">
        <v>593</v>
      </c>
      <c r="B278" s="6" t="s">
        <v>594</v>
      </c>
      <c r="C278" s="4" t="b">
        <v>0</v>
      </c>
      <c r="D278" s="4" t="b">
        <v>0</v>
      </c>
      <c r="E278" s="4" t="b">
        <v>0</v>
      </c>
      <c r="F278" s="4"/>
      <c r="G278" s="4" t="b">
        <f t="shared" si="4"/>
        <v>0</v>
      </c>
      <c r="H278" s="4"/>
      <c r="I278" s="4"/>
      <c r="J278" s="4" t="s">
        <v>20</v>
      </c>
      <c r="K278"/>
    </row>
    <row r="279" spans="1:11" ht="16" x14ac:dyDescent="0.2">
      <c r="A279" s="6" t="s">
        <v>595</v>
      </c>
      <c r="B279" s="6" t="s">
        <v>596</v>
      </c>
      <c r="C279" s="4" t="b">
        <v>0</v>
      </c>
      <c r="D279" s="4" t="b">
        <v>0</v>
      </c>
      <c r="E279" s="4" t="b">
        <v>1</v>
      </c>
      <c r="F279" s="4"/>
      <c r="G279" s="4" t="b">
        <f t="shared" si="4"/>
        <v>0</v>
      </c>
      <c r="H279" s="4"/>
      <c r="I279" s="4"/>
      <c r="J279" s="4" t="s">
        <v>20</v>
      </c>
      <c r="K279"/>
    </row>
    <row r="280" spans="1:11" ht="16" x14ac:dyDescent="0.2">
      <c r="A280" s="6" t="s">
        <v>597</v>
      </c>
      <c r="B280" s="6" t="s">
        <v>598</v>
      </c>
      <c r="C280" s="4" t="b">
        <v>0</v>
      </c>
      <c r="D280" s="4" t="b">
        <v>0</v>
      </c>
      <c r="E280" s="4" t="b">
        <v>0</v>
      </c>
      <c r="F280" s="4"/>
      <c r="G280" s="4" t="b">
        <f t="shared" si="4"/>
        <v>0</v>
      </c>
      <c r="H280" s="4"/>
      <c r="I280" s="4"/>
      <c r="J280" s="4" t="s">
        <v>20</v>
      </c>
      <c r="K280"/>
    </row>
    <row r="281" spans="1:11" ht="16" x14ac:dyDescent="0.2">
      <c r="A281" s="6" t="s">
        <v>599</v>
      </c>
      <c r="B281" s="6" t="s">
        <v>600</v>
      </c>
      <c r="C281" s="4" t="b">
        <v>0</v>
      </c>
      <c r="D281" s="4" t="b">
        <v>0</v>
      </c>
      <c r="E281" s="4" t="b">
        <v>0</v>
      </c>
      <c r="F281" s="4"/>
      <c r="G281" s="4" t="b">
        <f t="shared" si="4"/>
        <v>0</v>
      </c>
      <c r="H281" s="4"/>
      <c r="I281" s="4"/>
      <c r="J281" s="4" t="s">
        <v>20</v>
      </c>
      <c r="K281"/>
    </row>
    <row r="282" spans="1:11" ht="64" x14ac:dyDescent="0.2">
      <c r="A282" s="6" t="s">
        <v>601</v>
      </c>
      <c r="B282" s="6" t="s">
        <v>602</v>
      </c>
      <c r="C282" s="4" t="b">
        <v>1</v>
      </c>
      <c r="D282" s="4" t="b">
        <v>0</v>
      </c>
      <c r="E282" s="4" t="b">
        <v>1</v>
      </c>
      <c r="F282" s="4" t="s">
        <v>12</v>
      </c>
      <c r="G282" s="4" t="b">
        <f t="shared" si="4"/>
        <v>1</v>
      </c>
      <c r="H282" s="4" t="s">
        <v>2939</v>
      </c>
      <c r="I282" s="4"/>
      <c r="J282" s="4" t="s">
        <v>20</v>
      </c>
    </row>
    <row r="283" spans="1:11" ht="16" x14ac:dyDescent="0.2">
      <c r="A283" s="6" t="s">
        <v>603</v>
      </c>
      <c r="B283" s="6" t="s">
        <v>604</v>
      </c>
      <c r="C283" s="4" t="b">
        <v>0</v>
      </c>
      <c r="D283" s="4" t="b">
        <v>0</v>
      </c>
      <c r="E283" s="4" t="b">
        <v>1</v>
      </c>
      <c r="F283" s="4" t="s">
        <v>12</v>
      </c>
      <c r="G283" s="4" t="b">
        <f t="shared" si="4"/>
        <v>1</v>
      </c>
      <c r="H283" s="4"/>
      <c r="I283" s="4"/>
      <c r="J283" s="4" t="s">
        <v>20</v>
      </c>
    </row>
    <row r="284" spans="1:11" ht="16" x14ac:dyDescent="0.2">
      <c r="A284" s="6" t="s">
        <v>605</v>
      </c>
      <c r="B284" s="6" t="s">
        <v>606</v>
      </c>
      <c r="C284" s="4" t="b">
        <v>0</v>
      </c>
      <c r="D284" s="4" t="b">
        <v>0</v>
      </c>
      <c r="E284" s="4" t="b">
        <v>1</v>
      </c>
      <c r="F284" s="4"/>
      <c r="G284" s="4" t="b">
        <f t="shared" si="4"/>
        <v>0</v>
      </c>
      <c r="H284" s="4"/>
      <c r="I284" s="4"/>
      <c r="J284" s="4" t="s">
        <v>20</v>
      </c>
      <c r="K284"/>
    </row>
    <row r="285" spans="1:11" ht="16" x14ac:dyDescent="0.2">
      <c r="A285" s="6" t="s">
        <v>607</v>
      </c>
      <c r="B285" s="6" t="s">
        <v>608</v>
      </c>
      <c r="C285" s="4" t="b">
        <v>1</v>
      </c>
      <c r="D285" s="4" t="b">
        <v>0</v>
      </c>
      <c r="E285" s="4" t="b">
        <v>1</v>
      </c>
      <c r="F285" s="4" t="s">
        <v>12</v>
      </c>
      <c r="G285" s="4" t="b">
        <f t="shared" si="4"/>
        <v>1</v>
      </c>
      <c r="H285" s="4" t="s">
        <v>2940</v>
      </c>
      <c r="I285" s="4"/>
      <c r="J285" s="4" t="s">
        <v>20</v>
      </c>
    </row>
    <row r="286" spans="1:11" ht="80" x14ac:dyDescent="0.2">
      <c r="A286" s="6" t="s">
        <v>609</v>
      </c>
      <c r="B286" s="6" t="s">
        <v>610</v>
      </c>
      <c r="C286" s="4" t="b">
        <v>1</v>
      </c>
      <c r="D286" s="4" t="b">
        <v>1</v>
      </c>
      <c r="E286" s="4" t="b">
        <v>1</v>
      </c>
      <c r="F286" s="4" t="s">
        <v>12</v>
      </c>
      <c r="G286" s="4" t="b">
        <f t="shared" si="4"/>
        <v>1</v>
      </c>
      <c r="H286" s="4" t="s">
        <v>2942</v>
      </c>
      <c r="I286" s="4"/>
      <c r="J286" s="4" t="s">
        <v>20</v>
      </c>
    </row>
    <row r="287" spans="1:11" ht="16" x14ac:dyDescent="0.2">
      <c r="A287" s="6" t="s">
        <v>611</v>
      </c>
      <c r="B287" s="6" t="s">
        <v>612</v>
      </c>
      <c r="C287" s="4" t="b">
        <v>0</v>
      </c>
      <c r="D287" s="4" t="b">
        <v>0</v>
      </c>
      <c r="E287" s="4" t="b">
        <v>0</v>
      </c>
      <c r="F287" s="4"/>
      <c r="G287" s="4" t="b">
        <f t="shared" si="4"/>
        <v>0</v>
      </c>
      <c r="H287" s="4"/>
      <c r="I287" s="4"/>
      <c r="J287" s="4" t="s">
        <v>20</v>
      </c>
      <c r="K287"/>
    </row>
    <row r="288" spans="1:11" ht="32" x14ac:dyDescent="0.2">
      <c r="A288" s="6" t="s">
        <v>613</v>
      </c>
      <c r="B288" s="6" t="s">
        <v>614</v>
      </c>
      <c r="C288" s="4" t="b">
        <v>0</v>
      </c>
      <c r="D288" s="4" t="b">
        <v>0</v>
      </c>
      <c r="E288" s="4" t="b">
        <v>1</v>
      </c>
      <c r="F288" s="4" t="s">
        <v>12</v>
      </c>
      <c r="G288" s="4" t="b">
        <f t="shared" si="4"/>
        <v>1</v>
      </c>
      <c r="H288" s="4" t="s">
        <v>2943</v>
      </c>
      <c r="I288" s="4"/>
      <c r="J288" s="4" t="s">
        <v>20</v>
      </c>
    </row>
    <row r="289" spans="1:11" ht="32" x14ac:dyDescent="0.2">
      <c r="A289" s="6" t="s">
        <v>615</v>
      </c>
      <c r="B289" s="6" t="s">
        <v>616</v>
      </c>
      <c r="C289" s="4" t="b">
        <v>1</v>
      </c>
      <c r="D289" s="4" t="b">
        <v>0</v>
      </c>
      <c r="E289" s="4" t="b">
        <v>1</v>
      </c>
      <c r="F289" s="4" t="s">
        <v>12</v>
      </c>
      <c r="G289" s="4" t="b">
        <f t="shared" si="4"/>
        <v>1</v>
      </c>
      <c r="H289" s="4" t="s">
        <v>2944</v>
      </c>
      <c r="I289" s="4"/>
      <c r="J289" s="4" t="s">
        <v>20</v>
      </c>
    </row>
    <row r="290" spans="1:11" ht="16" x14ac:dyDescent="0.2">
      <c r="A290" s="6" t="s">
        <v>617</v>
      </c>
      <c r="B290" s="6" t="s">
        <v>618</v>
      </c>
      <c r="C290" s="4" t="b">
        <v>0</v>
      </c>
      <c r="D290" s="4" t="b">
        <v>0</v>
      </c>
      <c r="E290" s="4" t="b">
        <v>0</v>
      </c>
      <c r="F290" s="4"/>
      <c r="G290" s="4" t="b">
        <f t="shared" si="4"/>
        <v>0</v>
      </c>
      <c r="H290" s="4"/>
      <c r="I290" s="4"/>
      <c r="J290" s="4" t="s">
        <v>20</v>
      </c>
      <c r="K290"/>
    </row>
    <row r="291" spans="1:11" ht="16" x14ac:dyDescent="0.2">
      <c r="A291" s="6" t="s">
        <v>619</v>
      </c>
      <c r="B291" s="6" t="s">
        <v>620</v>
      </c>
      <c r="C291" s="4" t="b">
        <v>0</v>
      </c>
      <c r="D291" s="4" t="b">
        <v>0</v>
      </c>
      <c r="E291" s="4" t="b">
        <v>0</v>
      </c>
      <c r="F291" s="4"/>
      <c r="G291" s="4" t="b">
        <f t="shared" si="4"/>
        <v>0</v>
      </c>
      <c r="H291" s="4"/>
      <c r="I291" s="4"/>
      <c r="J291" s="4" t="s">
        <v>621</v>
      </c>
      <c r="K291"/>
    </row>
    <row r="292" spans="1:11" ht="16" x14ac:dyDescent="0.2">
      <c r="A292" s="6" t="s">
        <v>622</v>
      </c>
      <c r="B292" s="6" t="s">
        <v>623</v>
      </c>
      <c r="C292" s="4" t="b">
        <v>0</v>
      </c>
      <c r="D292" s="4" t="b">
        <v>0</v>
      </c>
      <c r="E292" s="4" t="b">
        <v>0</v>
      </c>
      <c r="F292" s="4"/>
      <c r="G292" s="4" t="b">
        <f t="shared" si="4"/>
        <v>0</v>
      </c>
      <c r="H292" s="4"/>
      <c r="I292" s="4"/>
      <c r="J292" s="4" t="s">
        <v>621</v>
      </c>
      <c r="K292"/>
    </row>
    <row r="293" spans="1:11" ht="16" x14ac:dyDescent="0.2">
      <c r="A293" s="6" t="s">
        <v>624</v>
      </c>
      <c r="B293" s="6" t="s">
        <v>625</v>
      </c>
      <c r="C293" s="4" t="b">
        <v>0</v>
      </c>
      <c r="D293" s="4" t="b">
        <v>0</v>
      </c>
      <c r="E293" s="4" t="b">
        <v>0</v>
      </c>
      <c r="F293" s="4" t="s">
        <v>12</v>
      </c>
      <c r="G293" s="4" t="b">
        <f t="shared" si="4"/>
        <v>1</v>
      </c>
      <c r="H293" s="4"/>
      <c r="I293" s="4"/>
      <c r="J293" s="4" t="s">
        <v>621</v>
      </c>
      <c r="K293"/>
    </row>
    <row r="294" spans="1:11" ht="16" x14ac:dyDescent="0.2">
      <c r="A294" s="6" t="s">
        <v>626</v>
      </c>
      <c r="B294" s="6" t="s">
        <v>627</v>
      </c>
      <c r="C294" s="4" t="b">
        <v>0</v>
      </c>
      <c r="D294" s="4" t="b">
        <v>0</v>
      </c>
      <c r="E294" s="4" t="b">
        <v>0</v>
      </c>
      <c r="F294" s="4"/>
      <c r="G294" s="4" t="b">
        <f t="shared" si="4"/>
        <v>0</v>
      </c>
      <c r="H294" s="4"/>
      <c r="I294" s="4"/>
      <c r="J294" s="4" t="s">
        <v>621</v>
      </c>
      <c r="K294"/>
    </row>
    <row r="295" spans="1:11" ht="16" x14ac:dyDescent="0.2">
      <c r="A295" s="6" t="s">
        <v>628</v>
      </c>
      <c r="B295" s="6" t="s">
        <v>629</v>
      </c>
      <c r="C295" s="4" t="b">
        <v>0</v>
      </c>
      <c r="D295" s="4" t="b">
        <v>0</v>
      </c>
      <c r="E295" s="4" t="b">
        <v>0</v>
      </c>
      <c r="F295" s="4" t="s">
        <v>12</v>
      </c>
      <c r="G295" s="4" t="b">
        <f t="shared" si="4"/>
        <v>1</v>
      </c>
      <c r="H295" s="4"/>
      <c r="I295" s="4"/>
      <c r="J295" s="4" t="s">
        <v>621</v>
      </c>
    </row>
    <row r="296" spans="1:11" ht="16" x14ac:dyDescent="0.2">
      <c r="A296" s="6" t="s">
        <v>630</v>
      </c>
      <c r="B296" s="6" t="s">
        <v>631</v>
      </c>
      <c r="C296" s="4" t="b">
        <v>0</v>
      </c>
      <c r="D296" s="4" t="b">
        <v>0</v>
      </c>
      <c r="E296" s="4" t="b">
        <v>1</v>
      </c>
      <c r="F296" s="4"/>
      <c r="G296" s="4" t="b">
        <f t="shared" si="4"/>
        <v>0</v>
      </c>
      <c r="H296" s="4"/>
      <c r="I296" s="4"/>
      <c r="J296" s="4" t="s">
        <v>621</v>
      </c>
      <c r="K296"/>
    </row>
    <row r="297" spans="1:11" ht="16" x14ac:dyDescent="0.2">
      <c r="A297" s="6" t="s">
        <v>632</v>
      </c>
      <c r="B297" s="6" t="s">
        <v>633</v>
      </c>
      <c r="C297" s="4" t="b">
        <v>0</v>
      </c>
      <c r="D297" s="4" t="b">
        <v>0</v>
      </c>
      <c r="E297" s="4" t="b">
        <v>0</v>
      </c>
      <c r="F297" s="4"/>
      <c r="G297" s="4" t="b">
        <f t="shared" si="4"/>
        <v>0</v>
      </c>
      <c r="H297" s="4"/>
      <c r="I297" s="4"/>
      <c r="J297" s="4" t="s">
        <v>621</v>
      </c>
      <c r="K297"/>
    </row>
    <row r="298" spans="1:11" ht="16" x14ac:dyDescent="0.2">
      <c r="A298" s="6" t="s">
        <v>634</v>
      </c>
      <c r="B298" s="6" t="s">
        <v>635</v>
      </c>
      <c r="C298" s="4" t="b">
        <v>1</v>
      </c>
      <c r="D298" s="4" t="b">
        <v>0</v>
      </c>
      <c r="E298" s="4" t="b">
        <v>1</v>
      </c>
      <c r="F298" s="4" t="s">
        <v>12</v>
      </c>
      <c r="G298" s="4" t="b">
        <f t="shared" si="4"/>
        <v>1</v>
      </c>
      <c r="H298" s="4" t="s">
        <v>2946</v>
      </c>
      <c r="I298" s="4"/>
      <c r="J298" s="4" t="s">
        <v>621</v>
      </c>
    </row>
    <row r="299" spans="1:11" ht="16" x14ac:dyDescent="0.2">
      <c r="A299" s="6" t="s">
        <v>636</v>
      </c>
      <c r="B299" s="6" t="s">
        <v>637</v>
      </c>
      <c r="C299" s="4" t="b">
        <v>1</v>
      </c>
      <c r="D299" s="4" t="b">
        <v>1</v>
      </c>
      <c r="E299" s="4" t="b">
        <v>1</v>
      </c>
      <c r="F299" s="4" t="s">
        <v>12</v>
      </c>
      <c r="G299" s="4" t="b">
        <f t="shared" si="4"/>
        <v>1</v>
      </c>
      <c r="H299" s="4" t="s">
        <v>2947</v>
      </c>
      <c r="I299" s="4"/>
      <c r="J299" s="4" t="s">
        <v>621</v>
      </c>
    </row>
    <row r="300" spans="1:11" ht="16" x14ac:dyDescent="0.2">
      <c r="A300" s="6" t="s">
        <v>638</v>
      </c>
      <c r="B300" s="6" t="s">
        <v>639</v>
      </c>
      <c r="C300" s="4" t="b">
        <v>0</v>
      </c>
      <c r="D300" s="4" t="b">
        <v>0</v>
      </c>
      <c r="E300" s="4" t="b">
        <v>0</v>
      </c>
      <c r="F300" s="4"/>
      <c r="G300" s="4" t="b">
        <f t="shared" si="4"/>
        <v>0</v>
      </c>
      <c r="H300" s="4"/>
      <c r="I300" s="4"/>
      <c r="J300" s="4" t="s">
        <v>621</v>
      </c>
      <c r="K300"/>
    </row>
    <row r="301" spans="1:11" ht="16" x14ac:dyDescent="0.2">
      <c r="A301" s="6" t="s">
        <v>640</v>
      </c>
      <c r="B301" s="6" t="s">
        <v>641</v>
      </c>
      <c r="C301" s="4" t="b">
        <v>0</v>
      </c>
      <c r="D301" s="4" t="b">
        <v>0</v>
      </c>
      <c r="E301" s="4" t="b">
        <v>0</v>
      </c>
      <c r="F301" s="4"/>
      <c r="G301" s="4" t="b">
        <f t="shared" si="4"/>
        <v>0</v>
      </c>
      <c r="H301" s="4"/>
      <c r="I301" s="4"/>
      <c r="J301" s="4" t="s">
        <v>621</v>
      </c>
      <c r="K301"/>
    </row>
    <row r="302" spans="1:11" ht="32" x14ac:dyDescent="0.2">
      <c r="A302" s="6" t="s">
        <v>642</v>
      </c>
      <c r="B302" s="6" t="s">
        <v>643</v>
      </c>
      <c r="C302" s="4" t="b">
        <v>1</v>
      </c>
      <c r="D302" s="4" t="b">
        <v>0</v>
      </c>
      <c r="E302" s="4" t="b">
        <v>1</v>
      </c>
      <c r="F302" s="4" t="s">
        <v>12</v>
      </c>
      <c r="G302" s="4" t="b">
        <f t="shared" si="4"/>
        <v>1</v>
      </c>
      <c r="H302" s="4" t="s">
        <v>2948</v>
      </c>
      <c r="I302" s="4"/>
      <c r="J302" s="4" t="s">
        <v>621</v>
      </c>
    </row>
    <row r="303" spans="1:11" ht="16" x14ac:dyDescent="0.2">
      <c r="A303" s="6" t="s">
        <v>644</v>
      </c>
      <c r="B303" s="6" t="s">
        <v>645</v>
      </c>
      <c r="C303" s="4" t="b">
        <v>0</v>
      </c>
      <c r="D303" s="4" t="b">
        <v>0</v>
      </c>
      <c r="E303" s="4" t="b">
        <v>1</v>
      </c>
      <c r="F303" s="4"/>
      <c r="G303" s="4" t="b">
        <f t="shared" si="4"/>
        <v>0</v>
      </c>
      <c r="H303" s="4"/>
      <c r="I303" s="4"/>
      <c r="J303" s="4" t="s">
        <v>621</v>
      </c>
      <c r="K303"/>
    </row>
    <row r="304" spans="1:11" ht="16" x14ac:dyDescent="0.2">
      <c r="A304" s="6" t="s">
        <v>646</v>
      </c>
      <c r="B304" s="6" t="s">
        <v>647</v>
      </c>
      <c r="C304" s="4" t="b">
        <v>0</v>
      </c>
      <c r="D304" s="4" t="b">
        <v>0</v>
      </c>
      <c r="E304" s="4" t="b">
        <v>0</v>
      </c>
      <c r="F304" s="4"/>
      <c r="G304" s="4" t="b">
        <f t="shared" si="4"/>
        <v>0</v>
      </c>
      <c r="H304" s="4"/>
      <c r="I304" s="4"/>
      <c r="J304" s="4" t="s">
        <v>621</v>
      </c>
      <c r="K304"/>
    </row>
    <row r="305" spans="1:11" ht="16" x14ac:dyDescent="0.2">
      <c r="A305" s="6" t="s">
        <v>648</v>
      </c>
      <c r="B305" s="6" t="s">
        <v>649</v>
      </c>
      <c r="C305" s="4" t="b">
        <v>0</v>
      </c>
      <c r="D305" s="4" t="b">
        <v>0</v>
      </c>
      <c r="E305" s="4" t="b">
        <v>0</v>
      </c>
      <c r="F305" s="4"/>
      <c r="G305" s="4" t="b">
        <f t="shared" si="4"/>
        <v>0</v>
      </c>
      <c r="H305" s="4"/>
      <c r="I305" s="4"/>
      <c r="J305" s="4" t="s">
        <v>621</v>
      </c>
      <c r="K305"/>
    </row>
    <row r="306" spans="1:11" ht="48" x14ac:dyDescent="0.2">
      <c r="A306" s="6" t="s">
        <v>650</v>
      </c>
      <c r="B306" s="6" t="s">
        <v>651</v>
      </c>
      <c r="C306" s="4" t="b">
        <v>1</v>
      </c>
      <c r="D306" s="4" t="b">
        <v>1</v>
      </c>
      <c r="E306" s="4" t="b">
        <v>1</v>
      </c>
      <c r="F306" s="4" t="s">
        <v>12</v>
      </c>
      <c r="G306" s="4" t="b">
        <f t="shared" si="4"/>
        <v>1</v>
      </c>
      <c r="H306" s="4" t="s">
        <v>2949</v>
      </c>
      <c r="I306" s="4"/>
      <c r="J306" s="4" t="s">
        <v>621</v>
      </c>
    </row>
    <row r="307" spans="1:11" ht="16" x14ac:dyDescent="0.2">
      <c r="A307" s="6" t="s">
        <v>652</v>
      </c>
      <c r="B307" s="6" t="s">
        <v>653</v>
      </c>
      <c r="C307" s="4" t="b">
        <v>0</v>
      </c>
      <c r="D307" s="4" t="b">
        <v>0</v>
      </c>
      <c r="E307" s="4" t="b">
        <v>0</v>
      </c>
      <c r="F307" s="4"/>
      <c r="G307" s="4" t="b">
        <f t="shared" si="4"/>
        <v>0</v>
      </c>
      <c r="H307" s="4"/>
      <c r="I307" s="4"/>
      <c r="J307" s="4" t="s">
        <v>621</v>
      </c>
      <c r="K307"/>
    </row>
    <row r="308" spans="1:11" ht="16" x14ac:dyDescent="0.2">
      <c r="A308" s="6" t="s">
        <v>654</v>
      </c>
      <c r="B308" s="6" t="s">
        <v>655</v>
      </c>
      <c r="C308" s="4" t="b">
        <v>0</v>
      </c>
      <c r="D308" s="4" t="b">
        <v>0</v>
      </c>
      <c r="E308" s="4" t="b">
        <v>0</v>
      </c>
      <c r="F308" s="4"/>
      <c r="G308" s="4" t="b">
        <f t="shared" si="4"/>
        <v>0</v>
      </c>
      <c r="H308" s="4"/>
      <c r="I308" s="4"/>
      <c r="J308" s="4" t="s">
        <v>621</v>
      </c>
      <c r="K308"/>
    </row>
    <row r="309" spans="1:11" ht="48" x14ac:dyDescent="0.2">
      <c r="A309" s="6" t="s">
        <v>656</v>
      </c>
      <c r="B309" s="6" t="s">
        <v>657</v>
      </c>
      <c r="C309" s="4" t="b">
        <v>1</v>
      </c>
      <c r="D309" s="4" t="b">
        <v>0</v>
      </c>
      <c r="E309" s="4" t="b">
        <v>1</v>
      </c>
      <c r="F309" s="4" t="s">
        <v>12</v>
      </c>
      <c r="G309" s="4" t="b">
        <f t="shared" si="4"/>
        <v>1</v>
      </c>
      <c r="H309" s="4" t="s">
        <v>3144</v>
      </c>
      <c r="I309" s="4"/>
      <c r="J309" s="4" t="s">
        <v>621</v>
      </c>
    </row>
    <row r="310" spans="1:11" ht="16" x14ac:dyDescent="0.2">
      <c r="A310" s="6" t="s">
        <v>658</v>
      </c>
      <c r="B310" s="6" t="s">
        <v>659</v>
      </c>
      <c r="C310" s="4" t="b">
        <v>1</v>
      </c>
      <c r="D310" s="4" t="b">
        <v>0</v>
      </c>
      <c r="E310" s="4" t="b">
        <v>1</v>
      </c>
      <c r="F310" s="4" t="s">
        <v>12</v>
      </c>
      <c r="G310" s="4" t="b">
        <f t="shared" si="4"/>
        <v>1</v>
      </c>
      <c r="H310" s="4" t="s">
        <v>3143</v>
      </c>
      <c r="I310" s="4"/>
      <c r="J310" s="4" t="s">
        <v>621</v>
      </c>
    </row>
    <row r="311" spans="1:11" ht="16" x14ac:dyDescent="0.2">
      <c r="A311" s="6" t="s">
        <v>660</v>
      </c>
      <c r="B311" s="6" t="s">
        <v>661</v>
      </c>
      <c r="C311" s="4" t="b">
        <v>0</v>
      </c>
      <c r="D311" s="4" t="b">
        <v>0</v>
      </c>
      <c r="E311" s="4" t="b">
        <v>0</v>
      </c>
      <c r="F311" s="4"/>
      <c r="G311" s="4" t="b">
        <f t="shared" si="4"/>
        <v>0</v>
      </c>
      <c r="H311" s="4"/>
      <c r="I311" s="4"/>
      <c r="J311" s="4" t="s">
        <v>621</v>
      </c>
      <c r="K311"/>
    </row>
    <row r="312" spans="1:11" ht="16" x14ac:dyDescent="0.2">
      <c r="A312" s="6" t="s">
        <v>662</v>
      </c>
      <c r="B312" s="6" t="s">
        <v>663</v>
      </c>
      <c r="C312" s="4" t="b">
        <v>0</v>
      </c>
      <c r="D312" s="4" t="b">
        <v>0</v>
      </c>
      <c r="E312" s="4" t="b">
        <v>1</v>
      </c>
      <c r="F312" s="4"/>
      <c r="G312" s="4" t="b">
        <f t="shared" si="4"/>
        <v>0</v>
      </c>
      <c r="H312" s="4"/>
      <c r="I312" s="4"/>
      <c r="J312" s="4" t="s">
        <v>621</v>
      </c>
      <c r="K312"/>
    </row>
    <row r="313" spans="1:11" ht="16" x14ac:dyDescent="0.2">
      <c r="A313" s="6" t="s">
        <v>664</v>
      </c>
      <c r="B313" s="6" t="s">
        <v>665</v>
      </c>
      <c r="C313" s="4" t="b">
        <v>0</v>
      </c>
      <c r="D313" s="4" t="b">
        <v>0</v>
      </c>
      <c r="E313" s="4" t="b">
        <v>0</v>
      </c>
      <c r="F313" s="4"/>
      <c r="G313" s="4" t="b">
        <f t="shared" si="4"/>
        <v>0</v>
      </c>
      <c r="H313" s="4"/>
      <c r="I313" s="4"/>
      <c r="J313" s="4" t="s">
        <v>621</v>
      </c>
      <c r="K313"/>
    </row>
    <row r="314" spans="1:11" ht="16" x14ac:dyDescent="0.2">
      <c r="A314" s="6" t="s">
        <v>666</v>
      </c>
      <c r="B314" s="6" t="s">
        <v>667</v>
      </c>
      <c r="C314" s="4" t="b">
        <v>0</v>
      </c>
      <c r="D314" s="4" t="b">
        <v>0</v>
      </c>
      <c r="E314" s="4" t="b">
        <v>0</v>
      </c>
      <c r="F314" s="4"/>
      <c r="G314" s="4" t="b">
        <f t="shared" si="4"/>
        <v>0</v>
      </c>
      <c r="H314" s="4"/>
      <c r="I314" s="4"/>
      <c r="J314" s="4" t="s">
        <v>621</v>
      </c>
      <c r="K314"/>
    </row>
    <row r="315" spans="1:11" ht="16" x14ac:dyDescent="0.2">
      <c r="A315" s="6" t="s">
        <v>668</v>
      </c>
      <c r="B315" s="6" t="s">
        <v>669</v>
      </c>
      <c r="C315" s="4" t="b">
        <v>0</v>
      </c>
      <c r="D315" s="4" t="b">
        <v>0</v>
      </c>
      <c r="E315" s="4" t="b">
        <v>0</v>
      </c>
      <c r="F315" s="4"/>
      <c r="G315" s="4" t="b">
        <f t="shared" si="4"/>
        <v>0</v>
      </c>
      <c r="H315" s="4"/>
      <c r="I315" s="4"/>
      <c r="J315" s="4" t="s">
        <v>621</v>
      </c>
      <c r="K315"/>
    </row>
    <row r="316" spans="1:11" ht="16" x14ac:dyDescent="0.2">
      <c r="A316" s="6" t="s">
        <v>670</v>
      </c>
      <c r="B316" s="6" t="s">
        <v>671</v>
      </c>
      <c r="C316" s="4" t="b">
        <v>0</v>
      </c>
      <c r="D316" s="4" t="b">
        <v>0</v>
      </c>
      <c r="E316" s="4" t="b">
        <v>0</v>
      </c>
      <c r="F316" s="4"/>
      <c r="G316" s="4" t="b">
        <f t="shared" si="4"/>
        <v>0</v>
      </c>
      <c r="H316" s="4"/>
      <c r="I316" s="4"/>
      <c r="J316" s="4" t="s">
        <v>621</v>
      </c>
      <c r="K316"/>
    </row>
    <row r="317" spans="1:11" ht="176" x14ac:dyDescent="0.2">
      <c r="A317" s="6" t="s">
        <v>672</v>
      </c>
      <c r="B317" s="6" t="s">
        <v>673</v>
      </c>
      <c r="C317" s="4" t="b">
        <v>1</v>
      </c>
      <c r="D317" s="4" t="b">
        <v>0</v>
      </c>
      <c r="E317" s="4" t="b">
        <v>1</v>
      </c>
      <c r="F317" s="4" t="s">
        <v>12</v>
      </c>
      <c r="G317" s="4" t="b">
        <f t="shared" si="4"/>
        <v>1</v>
      </c>
      <c r="H317" s="4" t="s">
        <v>3142</v>
      </c>
      <c r="I317" s="4"/>
      <c r="J317" s="4" t="s">
        <v>621</v>
      </c>
      <c r="K317" s="1" t="s">
        <v>2998</v>
      </c>
    </row>
    <row r="318" spans="1:11" ht="48" x14ac:dyDescent="0.2">
      <c r="A318" s="6" t="s">
        <v>674</v>
      </c>
      <c r="B318" s="6" t="s">
        <v>675</v>
      </c>
      <c r="C318" s="4" t="b">
        <v>1</v>
      </c>
      <c r="D318" s="4" t="b">
        <v>0</v>
      </c>
      <c r="E318" s="4" t="b">
        <v>1</v>
      </c>
      <c r="F318" s="4" t="s">
        <v>12</v>
      </c>
      <c r="G318" s="4" t="b">
        <f t="shared" si="4"/>
        <v>1</v>
      </c>
      <c r="H318" s="4" t="s">
        <v>3141</v>
      </c>
      <c r="I318" s="4"/>
      <c r="J318" s="4" t="s">
        <v>621</v>
      </c>
    </row>
    <row r="319" spans="1:11" ht="16" x14ac:dyDescent="0.2">
      <c r="A319" s="6" t="s">
        <v>676</v>
      </c>
      <c r="B319" s="6" t="s">
        <v>677</v>
      </c>
      <c r="C319" s="4" t="b">
        <v>0</v>
      </c>
      <c r="D319" s="4" t="b">
        <v>0</v>
      </c>
      <c r="E319" s="4" t="b">
        <v>0</v>
      </c>
      <c r="F319" s="4"/>
      <c r="G319" s="4" t="b">
        <f t="shared" si="4"/>
        <v>0</v>
      </c>
      <c r="H319" s="4"/>
      <c r="I319" s="4"/>
      <c r="J319" s="4" t="s">
        <v>621</v>
      </c>
      <c r="K319"/>
    </row>
    <row r="320" spans="1:11" ht="16" x14ac:dyDescent="0.2">
      <c r="A320" s="6" t="s">
        <v>678</v>
      </c>
      <c r="B320" s="6" t="s">
        <v>679</v>
      </c>
      <c r="C320" s="4" t="b">
        <v>0</v>
      </c>
      <c r="D320" s="4" t="b">
        <v>0</v>
      </c>
      <c r="E320" s="4" t="b">
        <v>1</v>
      </c>
      <c r="F320" s="4"/>
      <c r="G320" s="4" t="b">
        <f t="shared" si="4"/>
        <v>0</v>
      </c>
      <c r="H320" s="4"/>
      <c r="I320" s="4"/>
      <c r="J320" s="4" t="s">
        <v>621</v>
      </c>
      <c r="K320"/>
    </row>
    <row r="321" spans="1:11" ht="80" x14ac:dyDescent="0.2">
      <c r="A321" s="6" t="s">
        <v>680</v>
      </c>
      <c r="B321" s="6" t="s">
        <v>681</v>
      </c>
      <c r="C321" s="4" t="b">
        <v>1</v>
      </c>
      <c r="D321" s="4" t="b">
        <v>0</v>
      </c>
      <c r="E321" s="4" t="b">
        <v>1</v>
      </c>
      <c r="F321" s="4" t="s">
        <v>12</v>
      </c>
      <c r="G321" s="4" t="b">
        <f t="shared" si="4"/>
        <v>1</v>
      </c>
      <c r="H321" s="4" t="s">
        <v>3140</v>
      </c>
      <c r="I321" s="4"/>
      <c r="J321" s="4" t="s">
        <v>621</v>
      </c>
    </row>
    <row r="322" spans="1:11" ht="64" x14ac:dyDescent="0.2">
      <c r="A322" s="6" t="s">
        <v>682</v>
      </c>
      <c r="B322" s="6" t="s">
        <v>683</v>
      </c>
      <c r="C322" s="4" t="b">
        <v>1</v>
      </c>
      <c r="D322" s="4" t="b">
        <v>0</v>
      </c>
      <c r="E322" s="4" t="b">
        <v>1</v>
      </c>
      <c r="F322" s="4" t="s">
        <v>12</v>
      </c>
      <c r="G322" s="4" t="b">
        <f t="shared" ref="G322:G385" si="5">IF(F322="✔", TRUE, FALSE)</f>
        <v>1</v>
      </c>
      <c r="H322" s="4" t="s">
        <v>3139</v>
      </c>
      <c r="I322" s="4"/>
      <c r="J322" s="4" t="s">
        <v>621</v>
      </c>
    </row>
    <row r="323" spans="1:11" ht="16" x14ac:dyDescent="0.2">
      <c r="A323" s="6" t="s">
        <v>684</v>
      </c>
      <c r="B323" s="6" t="s">
        <v>685</v>
      </c>
      <c r="C323" s="4" t="b">
        <v>0</v>
      </c>
      <c r="D323" s="4" t="b">
        <v>0</v>
      </c>
      <c r="E323" s="4" t="b">
        <v>1</v>
      </c>
      <c r="F323" s="4"/>
      <c r="G323" s="4" t="b">
        <f t="shared" si="5"/>
        <v>0</v>
      </c>
      <c r="H323" s="4"/>
      <c r="I323" s="4"/>
      <c r="J323" s="4" t="s">
        <v>621</v>
      </c>
      <c r="K323"/>
    </row>
    <row r="324" spans="1:11" ht="16" x14ac:dyDescent="0.2">
      <c r="A324" s="6" t="s">
        <v>686</v>
      </c>
      <c r="B324" s="6" t="s">
        <v>687</v>
      </c>
      <c r="C324" s="4" t="b">
        <v>0</v>
      </c>
      <c r="D324" s="4" t="b">
        <v>0</v>
      </c>
      <c r="E324" s="4" t="b">
        <v>0</v>
      </c>
      <c r="F324" s="4"/>
      <c r="G324" s="4" t="b">
        <f t="shared" si="5"/>
        <v>0</v>
      </c>
      <c r="H324" s="4"/>
      <c r="I324" s="4"/>
      <c r="J324" s="4" t="s">
        <v>621</v>
      </c>
      <c r="K324"/>
    </row>
    <row r="325" spans="1:11" ht="16" x14ac:dyDescent="0.2">
      <c r="A325" s="6" t="s">
        <v>688</v>
      </c>
      <c r="B325" s="6" t="s">
        <v>689</v>
      </c>
      <c r="C325" s="4" t="b">
        <v>0</v>
      </c>
      <c r="D325" s="4" t="b">
        <v>0</v>
      </c>
      <c r="E325" s="4" t="b">
        <v>0</v>
      </c>
      <c r="F325" s="4"/>
      <c r="G325" s="4" t="b">
        <f t="shared" si="5"/>
        <v>0</v>
      </c>
      <c r="H325" s="4"/>
      <c r="I325" s="4"/>
      <c r="J325" s="4" t="s">
        <v>621</v>
      </c>
      <c r="K325"/>
    </row>
    <row r="326" spans="1:11" ht="80" x14ac:dyDescent="0.2">
      <c r="A326" s="6" t="s">
        <v>690</v>
      </c>
      <c r="B326" s="6" t="s">
        <v>691</v>
      </c>
      <c r="C326" s="4" t="b">
        <v>1</v>
      </c>
      <c r="D326" s="4" t="b">
        <v>0</v>
      </c>
      <c r="E326" s="4" t="b">
        <v>1</v>
      </c>
      <c r="F326" s="4" t="s">
        <v>12</v>
      </c>
      <c r="G326" s="4" t="b">
        <f t="shared" si="5"/>
        <v>1</v>
      </c>
      <c r="H326" s="4" t="s">
        <v>3138</v>
      </c>
      <c r="I326" s="4"/>
      <c r="J326" s="4" t="s">
        <v>621</v>
      </c>
    </row>
    <row r="327" spans="1:11" ht="32" x14ac:dyDescent="0.2">
      <c r="A327" s="6" t="s">
        <v>692</v>
      </c>
      <c r="B327" s="6" t="s">
        <v>693</v>
      </c>
      <c r="C327" s="4" t="b">
        <v>0</v>
      </c>
      <c r="D327" s="4" t="b">
        <v>0</v>
      </c>
      <c r="E327" s="4" t="b">
        <v>1</v>
      </c>
      <c r="F327" s="4" t="s">
        <v>12</v>
      </c>
      <c r="G327" s="4" t="b">
        <f t="shared" si="5"/>
        <v>1</v>
      </c>
      <c r="H327" s="4" t="s">
        <v>3137</v>
      </c>
      <c r="I327" s="4"/>
      <c r="J327" s="4" t="s">
        <v>621</v>
      </c>
    </row>
    <row r="328" spans="1:11" ht="16" x14ac:dyDescent="0.2">
      <c r="A328" s="6" t="s">
        <v>694</v>
      </c>
      <c r="B328" s="6" t="s">
        <v>695</v>
      </c>
      <c r="C328" s="4" t="b">
        <v>1</v>
      </c>
      <c r="D328" s="4" t="b">
        <v>0</v>
      </c>
      <c r="E328" s="4" t="b">
        <v>1</v>
      </c>
      <c r="F328" s="4" t="s">
        <v>12</v>
      </c>
      <c r="G328" s="4" t="b">
        <f t="shared" si="5"/>
        <v>1</v>
      </c>
      <c r="H328" s="4" t="s">
        <v>3136</v>
      </c>
      <c r="I328" s="4"/>
      <c r="J328" s="4" t="s">
        <v>621</v>
      </c>
    </row>
    <row r="329" spans="1:11" ht="16" x14ac:dyDescent="0.2">
      <c r="A329" s="6" t="s">
        <v>696</v>
      </c>
      <c r="B329" s="6" t="s">
        <v>697</v>
      </c>
      <c r="C329" s="4" t="b">
        <v>0</v>
      </c>
      <c r="D329" s="4" t="b">
        <v>0</v>
      </c>
      <c r="E329" s="4" t="b">
        <v>0</v>
      </c>
      <c r="F329" s="4"/>
      <c r="G329" s="4" t="b">
        <f t="shared" si="5"/>
        <v>0</v>
      </c>
      <c r="H329" s="4"/>
      <c r="I329" s="4"/>
      <c r="J329" s="4" t="s">
        <v>621</v>
      </c>
      <c r="K329"/>
    </row>
    <row r="330" spans="1:11" ht="32" x14ac:dyDescent="0.2">
      <c r="A330" s="6" t="s">
        <v>698</v>
      </c>
      <c r="B330" s="6" t="s">
        <v>699</v>
      </c>
      <c r="C330" s="4" t="b">
        <v>1</v>
      </c>
      <c r="D330" s="4" t="b">
        <v>0</v>
      </c>
      <c r="E330" s="4" t="b">
        <v>1</v>
      </c>
      <c r="F330" s="4" t="s">
        <v>12</v>
      </c>
      <c r="G330" s="4" t="b">
        <f t="shared" si="5"/>
        <v>1</v>
      </c>
      <c r="H330" s="4" t="s">
        <v>3135</v>
      </c>
      <c r="I330" s="4"/>
      <c r="J330" s="4" t="s">
        <v>621</v>
      </c>
    </row>
    <row r="331" spans="1:11" ht="16" x14ac:dyDescent="0.2">
      <c r="A331" s="6" t="s">
        <v>700</v>
      </c>
      <c r="B331" s="6" t="s">
        <v>701</v>
      </c>
      <c r="C331" s="4" t="b">
        <v>0</v>
      </c>
      <c r="D331" s="4" t="b">
        <v>0</v>
      </c>
      <c r="E331" s="4" t="b">
        <v>0</v>
      </c>
      <c r="F331" s="4"/>
      <c r="G331" s="4" t="b">
        <f t="shared" si="5"/>
        <v>0</v>
      </c>
      <c r="H331" s="4"/>
      <c r="I331" s="4"/>
      <c r="J331" s="4" t="s">
        <v>621</v>
      </c>
      <c r="K331"/>
    </row>
    <row r="332" spans="1:11" ht="176" x14ac:dyDescent="0.2">
      <c r="A332" s="6" t="s">
        <v>702</v>
      </c>
      <c r="B332" s="6" t="s">
        <v>703</v>
      </c>
      <c r="C332" s="4" t="b">
        <v>1</v>
      </c>
      <c r="D332" s="4" t="b">
        <v>1</v>
      </c>
      <c r="E332" s="4" t="b">
        <v>1</v>
      </c>
      <c r="F332" s="4" t="s">
        <v>12</v>
      </c>
      <c r="G332" s="4" t="b">
        <f t="shared" si="5"/>
        <v>1</v>
      </c>
      <c r="H332" s="4" t="s">
        <v>3134</v>
      </c>
      <c r="I332" s="4"/>
      <c r="J332" s="4" t="s">
        <v>621</v>
      </c>
    </row>
    <row r="333" spans="1:11" ht="16" x14ac:dyDescent="0.2">
      <c r="A333" s="6" t="s">
        <v>704</v>
      </c>
      <c r="B333" s="6" t="s">
        <v>705</v>
      </c>
      <c r="C333" s="4" t="b">
        <v>0</v>
      </c>
      <c r="D333" s="4" t="b">
        <v>0</v>
      </c>
      <c r="E333" s="4" t="b">
        <v>0</v>
      </c>
      <c r="F333" s="4"/>
      <c r="G333" s="4" t="b">
        <f t="shared" si="5"/>
        <v>0</v>
      </c>
      <c r="H333" s="4"/>
      <c r="I333" s="4"/>
      <c r="J333" s="4" t="s">
        <v>621</v>
      </c>
      <c r="K333"/>
    </row>
    <row r="334" spans="1:11" ht="16" x14ac:dyDescent="0.2">
      <c r="A334" s="6" t="s">
        <v>706</v>
      </c>
      <c r="B334" s="6" t="s">
        <v>707</v>
      </c>
      <c r="C334" s="4" t="b">
        <v>0</v>
      </c>
      <c r="D334" s="4" t="b">
        <v>0</v>
      </c>
      <c r="E334" s="4" t="b">
        <v>1</v>
      </c>
      <c r="F334" s="4"/>
      <c r="G334" s="4" t="b">
        <f t="shared" si="5"/>
        <v>0</v>
      </c>
      <c r="H334" s="4"/>
      <c r="I334" s="4"/>
      <c r="J334" s="4" t="s">
        <v>621</v>
      </c>
      <c r="K334"/>
    </row>
    <row r="335" spans="1:11" ht="16" x14ac:dyDescent="0.2">
      <c r="A335" s="6" t="s">
        <v>708</v>
      </c>
      <c r="B335" s="6" t="s">
        <v>709</v>
      </c>
      <c r="C335" s="4" t="b">
        <v>0</v>
      </c>
      <c r="D335" s="4" t="b">
        <v>0</v>
      </c>
      <c r="E335" s="4" t="b">
        <v>0</v>
      </c>
      <c r="F335" s="4"/>
      <c r="G335" s="4" t="b">
        <f t="shared" si="5"/>
        <v>0</v>
      </c>
      <c r="H335" s="4"/>
      <c r="I335" s="4"/>
      <c r="J335" s="4" t="s">
        <v>621</v>
      </c>
      <c r="K335"/>
    </row>
    <row r="336" spans="1:11" ht="32" x14ac:dyDescent="0.2">
      <c r="A336" s="6" t="s">
        <v>710</v>
      </c>
      <c r="B336" s="6" t="s">
        <v>711</v>
      </c>
      <c r="C336" s="4" t="b">
        <v>1</v>
      </c>
      <c r="D336" s="4" t="b">
        <v>0</v>
      </c>
      <c r="E336" s="4" t="b">
        <v>1</v>
      </c>
      <c r="F336" s="4" t="s">
        <v>12</v>
      </c>
      <c r="G336" s="4" t="b">
        <f t="shared" si="5"/>
        <v>1</v>
      </c>
      <c r="H336" s="4" t="s">
        <v>3133</v>
      </c>
      <c r="I336" s="4"/>
      <c r="J336" s="4" t="s">
        <v>621</v>
      </c>
    </row>
    <row r="337" spans="1:11" ht="16" x14ac:dyDescent="0.2">
      <c r="A337" s="6" t="s">
        <v>712</v>
      </c>
      <c r="B337" s="6" t="s">
        <v>713</v>
      </c>
      <c r="C337" s="4" t="b">
        <v>0</v>
      </c>
      <c r="D337" s="4" t="b">
        <v>0</v>
      </c>
      <c r="E337" s="4" t="b">
        <v>1</v>
      </c>
      <c r="F337" s="4"/>
      <c r="G337" s="4" t="b">
        <f t="shared" si="5"/>
        <v>0</v>
      </c>
      <c r="H337" s="4"/>
      <c r="I337" s="4"/>
      <c r="J337" s="4" t="s">
        <v>621</v>
      </c>
      <c r="K337"/>
    </row>
    <row r="338" spans="1:11" ht="16" x14ac:dyDescent="0.2">
      <c r="A338" s="6" t="s">
        <v>714</v>
      </c>
      <c r="B338" s="6" t="s">
        <v>715</v>
      </c>
      <c r="C338" s="4" t="b">
        <v>0</v>
      </c>
      <c r="D338" s="4" t="b">
        <v>0</v>
      </c>
      <c r="E338" s="4" t="b">
        <v>0</v>
      </c>
      <c r="F338" s="4"/>
      <c r="G338" s="4" t="b">
        <f t="shared" si="5"/>
        <v>0</v>
      </c>
      <c r="H338" s="4"/>
      <c r="I338" s="4"/>
      <c r="J338" s="4" t="s">
        <v>621</v>
      </c>
      <c r="K338"/>
    </row>
    <row r="339" spans="1:11" ht="80" x14ac:dyDescent="0.2">
      <c r="A339" s="6" t="s">
        <v>716</v>
      </c>
      <c r="B339" s="6" t="s">
        <v>717</v>
      </c>
      <c r="C339" s="4" t="b">
        <v>1</v>
      </c>
      <c r="D339" s="4" t="b">
        <v>0</v>
      </c>
      <c r="E339" s="4" t="b">
        <v>1</v>
      </c>
      <c r="F339" s="4" t="s">
        <v>12</v>
      </c>
      <c r="G339" s="4" t="b">
        <f t="shared" si="5"/>
        <v>1</v>
      </c>
      <c r="H339" s="4" t="s">
        <v>3132</v>
      </c>
      <c r="I339" s="4"/>
      <c r="J339" s="4" t="s">
        <v>621</v>
      </c>
    </row>
    <row r="340" spans="1:11" ht="16" x14ac:dyDescent="0.2">
      <c r="A340" s="6" t="s">
        <v>718</v>
      </c>
      <c r="B340" s="6" t="s">
        <v>719</v>
      </c>
      <c r="C340" s="4" t="b">
        <v>0</v>
      </c>
      <c r="D340" s="4" t="b">
        <v>0</v>
      </c>
      <c r="E340" s="4" t="b">
        <v>1</v>
      </c>
      <c r="F340" s="4"/>
      <c r="G340" s="4" t="b">
        <f t="shared" si="5"/>
        <v>0</v>
      </c>
      <c r="H340" s="4"/>
      <c r="I340" s="4"/>
      <c r="J340" s="4" t="s">
        <v>621</v>
      </c>
      <c r="K340"/>
    </row>
    <row r="341" spans="1:11" ht="176" x14ac:dyDescent="0.2">
      <c r="A341" s="6" t="s">
        <v>720</v>
      </c>
      <c r="B341" s="6" t="s">
        <v>721</v>
      </c>
      <c r="C341" s="4" t="b">
        <v>1</v>
      </c>
      <c r="D341" s="4" t="b">
        <v>1</v>
      </c>
      <c r="E341" s="4" t="b">
        <v>1</v>
      </c>
      <c r="F341" s="4" t="s">
        <v>12</v>
      </c>
      <c r="G341" s="4" t="b">
        <f t="shared" si="5"/>
        <v>1</v>
      </c>
      <c r="H341" s="4" t="s">
        <v>3131</v>
      </c>
      <c r="I341" s="4"/>
      <c r="J341" s="4" t="s">
        <v>621</v>
      </c>
    </row>
    <row r="342" spans="1:11" ht="16" x14ac:dyDescent="0.2">
      <c r="A342" s="6" t="s">
        <v>722</v>
      </c>
      <c r="B342" s="6" t="s">
        <v>723</v>
      </c>
      <c r="C342" s="4" t="b">
        <v>1</v>
      </c>
      <c r="D342" s="4" t="b">
        <v>0</v>
      </c>
      <c r="E342" s="4" t="b">
        <v>1</v>
      </c>
      <c r="F342" s="4" t="s">
        <v>12</v>
      </c>
      <c r="G342" s="4" t="b">
        <f t="shared" si="5"/>
        <v>1</v>
      </c>
      <c r="H342" s="4" t="s">
        <v>3130</v>
      </c>
      <c r="I342" s="4"/>
      <c r="J342" s="4" t="s">
        <v>621</v>
      </c>
    </row>
    <row r="343" spans="1:11" ht="16" x14ac:dyDescent="0.2">
      <c r="A343" s="6" t="s">
        <v>724</v>
      </c>
      <c r="B343" s="6" t="s">
        <v>725</v>
      </c>
      <c r="C343" s="4" t="b">
        <v>0</v>
      </c>
      <c r="D343" s="4" t="b">
        <v>0</v>
      </c>
      <c r="E343" s="4" t="b">
        <v>1</v>
      </c>
      <c r="F343" s="4"/>
      <c r="G343" s="4" t="b">
        <f t="shared" si="5"/>
        <v>0</v>
      </c>
      <c r="H343" s="4"/>
      <c r="I343" s="4"/>
      <c r="J343" s="4" t="s">
        <v>621</v>
      </c>
      <c r="K343"/>
    </row>
    <row r="344" spans="1:11" ht="16" x14ac:dyDescent="0.2">
      <c r="A344" s="6" t="s">
        <v>726</v>
      </c>
      <c r="B344" s="6" t="s">
        <v>727</v>
      </c>
      <c r="C344" s="4" t="b">
        <v>0</v>
      </c>
      <c r="D344" s="4" t="b">
        <v>0</v>
      </c>
      <c r="E344" s="4" t="b">
        <v>0</v>
      </c>
      <c r="F344" s="4"/>
      <c r="G344" s="4" t="b">
        <f t="shared" si="5"/>
        <v>0</v>
      </c>
      <c r="H344" s="4"/>
      <c r="I344" s="4"/>
      <c r="J344" s="4" t="s">
        <v>621</v>
      </c>
      <c r="K344"/>
    </row>
    <row r="345" spans="1:11" ht="16" x14ac:dyDescent="0.2">
      <c r="A345" s="6" t="s">
        <v>728</v>
      </c>
      <c r="B345" s="6" t="s">
        <v>729</v>
      </c>
      <c r="C345" s="4" t="b">
        <v>1</v>
      </c>
      <c r="D345" s="4" t="b">
        <v>0</v>
      </c>
      <c r="E345" s="4" t="b">
        <v>1</v>
      </c>
      <c r="F345" s="4" t="s">
        <v>12</v>
      </c>
      <c r="G345" s="4" t="b">
        <f t="shared" si="5"/>
        <v>1</v>
      </c>
      <c r="H345" s="4" t="s">
        <v>3129</v>
      </c>
      <c r="I345" s="4"/>
      <c r="J345" s="4" t="s">
        <v>621</v>
      </c>
    </row>
    <row r="346" spans="1:11" ht="16" x14ac:dyDescent="0.2">
      <c r="A346" s="6" t="s">
        <v>730</v>
      </c>
      <c r="B346" s="6" t="s">
        <v>731</v>
      </c>
      <c r="C346" s="4" t="b">
        <v>0</v>
      </c>
      <c r="D346" s="4" t="b">
        <v>0</v>
      </c>
      <c r="E346" s="4" t="b">
        <v>0</v>
      </c>
      <c r="F346" s="4"/>
      <c r="G346" s="4" t="b">
        <f t="shared" si="5"/>
        <v>0</v>
      </c>
      <c r="H346" s="4"/>
      <c r="I346" s="4"/>
      <c r="J346" s="4" t="s">
        <v>621</v>
      </c>
      <c r="K346"/>
    </row>
    <row r="347" spans="1:11" ht="32" x14ac:dyDescent="0.2">
      <c r="A347" s="6" t="s">
        <v>732</v>
      </c>
      <c r="B347" s="6" t="s">
        <v>733</v>
      </c>
      <c r="C347" s="4" t="b">
        <v>1</v>
      </c>
      <c r="D347" s="4" t="b">
        <v>0</v>
      </c>
      <c r="E347" s="4" t="b">
        <v>1</v>
      </c>
      <c r="F347" s="4" t="s">
        <v>12</v>
      </c>
      <c r="G347" s="4" t="b">
        <f t="shared" si="5"/>
        <v>1</v>
      </c>
      <c r="H347" s="4" t="s">
        <v>3128</v>
      </c>
      <c r="I347" s="4"/>
      <c r="J347" s="4" t="s">
        <v>621</v>
      </c>
    </row>
    <row r="348" spans="1:11" ht="16" x14ac:dyDescent="0.2">
      <c r="A348" s="6" t="s">
        <v>734</v>
      </c>
      <c r="B348" s="6" t="s">
        <v>735</v>
      </c>
      <c r="C348" s="4" t="b">
        <v>0</v>
      </c>
      <c r="D348" s="4" t="b">
        <v>0</v>
      </c>
      <c r="E348" s="4" t="b">
        <v>1</v>
      </c>
      <c r="F348" s="4"/>
      <c r="G348" s="4" t="b">
        <f t="shared" si="5"/>
        <v>0</v>
      </c>
      <c r="H348" s="4"/>
      <c r="I348" s="4"/>
      <c r="J348" s="4" t="s">
        <v>621</v>
      </c>
      <c r="K348"/>
    </row>
    <row r="349" spans="1:11" ht="335" x14ac:dyDescent="0.2">
      <c r="A349" s="6" t="s">
        <v>736</v>
      </c>
      <c r="B349" s="6" t="s">
        <v>737</v>
      </c>
      <c r="C349" s="4" t="b">
        <v>1</v>
      </c>
      <c r="D349" s="4" t="b">
        <v>1</v>
      </c>
      <c r="E349" s="4" t="b">
        <v>1</v>
      </c>
      <c r="F349" s="4" t="s">
        <v>12</v>
      </c>
      <c r="G349" s="4" t="b">
        <f t="shared" si="5"/>
        <v>1</v>
      </c>
      <c r="H349" s="4" t="s">
        <v>3127</v>
      </c>
      <c r="I349" s="4"/>
      <c r="J349" s="4" t="s">
        <v>621</v>
      </c>
    </row>
    <row r="350" spans="1:11" ht="144" x14ac:dyDescent="0.2">
      <c r="A350" s="6" t="s">
        <v>738</v>
      </c>
      <c r="B350" s="6" t="s">
        <v>739</v>
      </c>
      <c r="C350" s="4" t="b">
        <v>1</v>
      </c>
      <c r="D350" s="4" t="b">
        <v>0</v>
      </c>
      <c r="E350" s="4" t="b">
        <v>1</v>
      </c>
      <c r="F350" s="4" t="s">
        <v>12</v>
      </c>
      <c r="G350" s="4" t="b">
        <f t="shared" si="5"/>
        <v>1</v>
      </c>
      <c r="H350" s="4" t="s">
        <v>3126</v>
      </c>
      <c r="I350" s="4"/>
      <c r="J350" s="4" t="s">
        <v>621</v>
      </c>
    </row>
    <row r="351" spans="1:11" ht="16" x14ac:dyDescent="0.2">
      <c r="A351" s="6" t="s">
        <v>740</v>
      </c>
      <c r="B351" s="6" t="s">
        <v>741</v>
      </c>
      <c r="C351" s="4" t="b">
        <v>0</v>
      </c>
      <c r="D351" s="4" t="b">
        <v>0</v>
      </c>
      <c r="E351" s="4" t="b">
        <v>0</v>
      </c>
      <c r="F351" s="4"/>
      <c r="G351" s="4" t="b">
        <f t="shared" si="5"/>
        <v>0</v>
      </c>
      <c r="H351" s="4"/>
      <c r="I351" s="4"/>
      <c r="J351" s="4" t="s">
        <v>621</v>
      </c>
      <c r="K351"/>
    </row>
    <row r="352" spans="1:11" ht="16" x14ac:dyDescent="0.2">
      <c r="A352" s="6" t="s">
        <v>742</v>
      </c>
      <c r="B352" s="6" t="s">
        <v>743</v>
      </c>
      <c r="C352" s="4" t="b">
        <v>0</v>
      </c>
      <c r="D352" s="4" t="b">
        <v>0</v>
      </c>
      <c r="E352" s="4" t="b">
        <v>0</v>
      </c>
      <c r="F352" s="4"/>
      <c r="G352" s="4" t="b">
        <f t="shared" si="5"/>
        <v>0</v>
      </c>
      <c r="H352" s="4"/>
      <c r="I352" s="4"/>
      <c r="J352" s="4" t="s">
        <v>621</v>
      </c>
      <c r="K352"/>
    </row>
    <row r="353" spans="1:11" ht="16" x14ac:dyDescent="0.2">
      <c r="A353" s="6" t="s">
        <v>744</v>
      </c>
      <c r="B353" s="6" t="s">
        <v>745</v>
      </c>
      <c r="C353" s="4" t="b">
        <v>0</v>
      </c>
      <c r="D353" s="4" t="b">
        <v>0</v>
      </c>
      <c r="E353" s="4" t="b">
        <v>1</v>
      </c>
      <c r="F353" s="4"/>
      <c r="G353" s="4" t="b">
        <f t="shared" si="5"/>
        <v>0</v>
      </c>
      <c r="H353" s="4"/>
      <c r="I353" s="4"/>
      <c r="J353" s="4" t="s">
        <v>621</v>
      </c>
      <c r="K353"/>
    </row>
    <row r="354" spans="1:11" ht="16" x14ac:dyDescent="0.2">
      <c r="A354" s="6" t="s">
        <v>746</v>
      </c>
      <c r="B354" s="6" t="s">
        <v>747</v>
      </c>
      <c r="C354" s="4" t="b">
        <v>0</v>
      </c>
      <c r="D354" s="4" t="b">
        <v>0</v>
      </c>
      <c r="E354" s="4" t="b">
        <v>0</v>
      </c>
      <c r="F354" s="4"/>
      <c r="G354" s="4" t="b">
        <f t="shared" si="5"/>
        <v>0</v>
      </c>
      <c r="H354" s="4"/>
      <c r="I354" s="4"/>
      <c r="J354" s="4" t="s">
        <v>621</v>
      </c>
      <c r="K354"/>
    </row>
    <row r="355" spans="1:11" ht="16" x14ac:dyDescent="0.2">
      <c r="A355" s="6" t="s">
        <v>748</v>
      </c>
      <c r="B355" s="6" t="s">
        <v>749</v>
      </c>
      <c r="C355" s="4" t="b">
        <v>0</v>
      </c>
      <c r="D355" s="4" t="b">
        <v>0</v>
      </c>
      <c r="E355" s="4" t="b">
        <v>0</v>
      </c>
      <c r="F355" s="4"/>
      <c r="G355" s="4" t="b">
        <f t="shared" si="5"/>
        <v>0</v>
      </c>
      <c r="H355" s="4"/>
      <c r="I355" s="4"/>
      <c r="J355" s="4" t="s">
        <v>621</v>
      </c>
      <c r="K355"/>
    </row>
    <row r="356" spans="1:11" ht="16" x14ac:dyDescent="0.2">
      <c r="A356" s="6" t="s">
        <v>750</v>
      </c>
      <c r="B356" s="6" t="s">
        <v>751</v>
      </c>
      <c r="C356" s="4" t="b">
        <v>0</v>
      </c>
      <c r="D356" s="4" t="b">
        <v>0</v>
      </c>
      <c r="E356" s="4" t="b">
        <v>0</v>
      </c>
      <c r="F356" s="4"/>
      <c r="G356" s="4" t="b">
        <f t="shared" si="5"/>
        <v>0</v>
      </c>
      <c r="H356" s="4"/>
      <c r="I356" s="4"/>
      <c r="J356" s="4" t="s">
        <v>621</v>
      </c>
      <c r="K356"/>
    </row>
    <row r="357" spans="1:11" ht="32" x14ac:dyDescent="0.2">
      <c r="A357" s="6" t="s">
        <v>752</v>
      </c>
      <c r="B357" s="6" t="s">
        <v>753</v>
      </c>
      <c r="C357" s="4" t="b">
        <v>1</v>
      </c>
      <c r="D357" s="4" t="b">
        <v>0</v>
      </c>
      <c r="E357" s="4" t="b">
        <v>1</v>
      </c>
      <c r="F357" s="4" t="s">
        <v>12</v>
      </c>
      <c r="G357" s="4" t="b">
        <f t="shared" si="5"/>
        <v>1</v>
      </c>
      <c r="H357" s="4" t="s">
        <v>3125</v>
      </c>
      <c r="I357" s="4"/>
      <c r="J357" s="4" t="s">
        <v>621</v>
      </c>
    </row>
    <row r="358" spans="1:11" ht="16" x14ac:dyDescent="0.2">
      <c r="A358" s="6" t="s">
        <v>754</v>
      </c>
      <c r="B358" s="6" t="s">
        <v>755</v>
      </c>
      <c r="C358" s="4" t="b">
        <v>0</v>
      </c>
      <c r="D358" s="4" t="b">
        <v>0</v>
      </c>
      <c r="E358" s="4" t="b">
        <v>1</v>
      </c>
      <c r="F358" s="4"/>
      <c r="G358" s="4" t="b">
        <f t="shared" si="5"/>
        <v>0</v>
      </c>
      <c r="H358" s="4"/>
      <c r="I358" s="4"/>
      <c r="J358" s="4" t="s">
        <v>621</v>
      </c>
      <c r="K358"/>
    </row>
    <row r="359" spans="1:11" ht="16" x14ac:dyDescent="0.2">
      <c r="A359" s="6" t="s">
        <v>756</v>
      </c>
      <c r="B359" s="6" t="s">
        <v>757</v>
      </c>
      <c r="C359" s="4" t="b">
        <v>0</v>
      </c>
      <c r="D359" s="4" t="b">
        <v>0</v>
      </c>
      <c r="E359" s="4" t="b">
        <v>0</v>
      </c>
      <c r="F359" s="4"/>
      <c r="G359" s="4" t="b">
        <f t="shared" si="5"/>
        <v>0</v>
      </c>
      <c r="H359" s="4"/>
      <c r="I359" s="4"/>
      <c r="J359" s="4" t="s">
        <v>621</v>
      </c>
      <c r="K359"/>
    </row>
    <row r="360" spans="1:11" ht="48" x14ac:dyDescent="0.2">
      <c r="A360" s="6" t="s">
        <v>758</v>
      </c>
      <c r="B360" s="6" t="s">
        <v>759</v>
      </c>
      <c r="C360" s="4" t="b">
        <v>1</v>
      </c>
      <c r="D360" s="4" t="b">
        <v>1</v>
      </c>
      <c r="E360" s="4" t="b">
        <v>1</v>
      </c>
      <c r="F360" s="4" t="s">
        <v>12</v>
      </c>
      <c r="G360" s="4" t="b">
        <f t="shared" si="5"/>
        <v>1</v>
      </c>
      <c r="H360" s="4" t="s">
        <v>3124</v>
      </c>
      <c r="I360" s="4"/>
      <c r="J360" s="4" t="s">
        <v>621</v>
      </c>
      <c r="K360" s="1" t="s">
        <v>2998</v>
      </c>
    </row>
    <row r="361" spans="1:11" ht="16" x14ac:dyDescent="0.2">
      <c r="A361" s="6" t="s">
        <v>760</v>
      </c>
      <c r="B361" s="6" t="s">
        <v>761</v>
      </c>
      <c r="C361" s="4" t="b">
        <v>0</v>
      </c>
      <c r="D361" s="4" t="b">
        <v>0</v>
      </c>
      <c r="E361" s="4" t="b">
        <v>0</v>
      </c>
      <c r="F361" s="4"/>
      <c r="G361" s="4" t="b">
        <f t="shared" si="5"/>
        <v>0</v>
      </c>
      <c r="H361" s="4"/>
      <c r="I361" s="4"/>
      <c r="J361" s="4" t="s">
        <v>621</v>
      </c>
      <c r="K361"/>
    </row>
    <row r="362" spans="1:11" ht="16" x14ac:dyDescent="0.2">
      <c r="A362" s="6" t="s">
        <v>762</v>
      </c>
      <c r="B362" s="6" t="s">
        <v>763</v>
      </c>
      <c r="C362" s="4" t="b">
        <v>0</v>
      </c>
      <c r="D362" s="4" t="b">
        <v>0</v>
      </c>
      <c r="E362" s="4" t="b">
        <v>1</v>
      </c>
      <c r="F362" s="4"/>
      <c r="G362" s="4" t="b">
        <f t="shared" si="5"/>
        <v>0</v>
      </c>
      <c r="H362" s="4"/>
      <c r="I362" s="4"/>
      <c r="J362" s="4" t="s">
        <v>621</v>
      </c>
      <c r="K362"/>
    </row>
    <row r="363" spans="1:11" ht="16" x14ac:dyDescent="0.2">
      <c r="A363" s="6" t="s">
        <v>764</v>
      </c>
      <c r="B363" s="6" t="s">
        <v>765</v>
      </c>
      <c r="C363" s="4" t="b">
        <v>0</v>
      </c>
      <c r="D363" s="4" t="b">
        <v>0</v>
      </c>
      <c r="E363" s="4" t="b">
        <v>0</v>
      </c>
      <c r="F363" s="4"/>
      <c r="G363" s="4" t="b">
        <f t="shared" si="5"/>
        <v>0</v>
      </c>
      <c r="H363" s="4"/>
      <c r="I363" s="4"/>
      <c r="J363" s="4" t="s">
        <v>621</v>
      </c>
      <c r="K363"/>
    </row>
    <row r="364" spans="1:11" ht="16" x14ac:dyDescent="0.2">
      <c r="A364" s="6" t="s">
        <v>766</v>
      </c>
      <c r="B364" s="6" t="s">
        <v>767</v>
      </c>
      <c r="C364" s="4" t="b">
        <v>0</v>
      </c>
      <c r="D364" s="4" t="b">
        <v>0</v>
      </c>
      <c r="E364" s="4" t="b">
        <v>0</v>
      </c>
      <c r="F364" s="4"/>
      <c r="G364" s="4" t="b">
        <f t="shared" si="5"/>
        <v>0</v>
      </c>
      <c r="H364" s="4"/>
      <c r="I364" s="4"/>
      <c r="J364" s="4" t="s">
        <v>621</v>
      </c>
      <c r="K364"/>
    </row>
    <row r="365" spans="1:11" ht="16" x14ac:dyDescent="0.2">
      <c r="A365" s="6" t="s">
        <v>768</v>
      </c>
      <c r="B365" s="6" t="s">
        <v>769</v>
      </c>
      <c r="C365" s="4" t="b">
        <v>0</v>
      </c>
      <c r="D365" s="4" t="b">
        <v>0</v>
      </c>
      <c r="E365" s="4" t="b">
        <v>0</v>
      </c>
      <c r="F365" s="4" t="s">
        <v>12</v>
      </c>
      <c r="G365" s="4" t="b">
        <f t="shared" si="5"/>
        <v>1</v>
      </c>
      <c r="H365" s="4"/>
      <c r="I365" s="4"/>
      <c r="J365" s="4" t="s">
        <v>14</v>
      </c>
      <c r="K365"/>
    </row>
    <row r="366" spans="1:11" ht="32" x14ac:dyDescent="0.2">
      <c r="A366" s="6" t="s">
        <v>770</v>
      </c>
      <c r="B366" s="6" t="s">
        <v>771</v>
      </c>
      <c r="C366" s="4" t="b">
        <v>1</v>
      </c>
      <c r="D366" s="4" t="b">
        <v>0</v>
      </c>
      <c r="E366" s="4" t="b">
        <v>1</v>
      </c>
      <c r="F366" s="4" t="s">
        <v>12</v>
      </c>
      <c r="G366" s="4" t="b">
        <f t="shared" si="5"/>
        <v>1</v>
      </c>
      <c r="H366" s="4" t="s">
        <v>772</v>
      </c>
      <c r="I366" s="4"/>
      <c r="J366" s="4" t="s">
        <v>14</v>
      </c>
    </row>
    <row r="367" spans="1:11" ht="48" x14ac:dyDescent="0.2">
      <c r="A367" s="6" t="s">
        <v>773</v>
      </c>
      <c r="B367" s="6" t="s">
        <v>774</v>
      </c>
      <c r="C367" s="4" t="b">
        <v>1</v>
      </c>
      <c r="D367" s="4" t="b">
        <v>0</v>
      </c>
      <c r="E367" s="4" t="b">
        <v>1</v>
      </c>
      <c r="F367" s="4" t="s">
        <v>12</v>
      </c>
      <c r="G367" s="4" t="b">
        <f t="shared" si="5"/>
        <v>1</v>
      </c>
      <c r="H367" s="4" t="s">
        <v>775</v>
      </c>
      <c r="I367" s="4"/>
      <c r="J367" s="4" t="s">
        <v>14</v>
      </c>
    </row>
    <row r="368" spans="1:11" ht="16" x14ac:dyDescent="0.2">
      <c r="A368" s="6" t="s">
        <v>776</v>
      </c>
      <c r="B368" s="6" t="s">
        <v>777</v>
      </c>
      <c r="C368" s="4" t="b">
        <v>0</v>
      </c>
      <c r="D368" s="4" t="b">
        <v>0</v>
      </c>
      <c r="E368" s="4" t="b">
        <v>0</v>
      </c>
      <c r="F368" s="4" t="s">
        <v>12</v>
      </c>
      <c r="G368" s="4" t="b">
        <f t="shared" si="5"/>
        <v>1</v>
      </c>
      <c r="H368" s="4"/>
      <c r="I368" s="4"/>
      <c r="J368" s="4" t="s">
        <v>14</v>
      </c>
      <c r="K368"/>
    </row>
    <row r="369" spans="1:11" ht="32" x14ac:dyDescent="0.2">
      <c r="A369" s="6" t="s">
        <v>778</v>
      </c>
      <c r="B369" s="6" t="s">
        <v>779</v>
      </c>
      <c r="C369" s="4" t="b">
        <v>1</v>
      </c>
      <c r="D369" s="4" t="b">
        <v>1</v>
      </c>
      <c r="E369" s="4" t="b">
        <v>1</v>
      </c>
      <c r="F369" s="4" t="s">
        <v>12</v>
      </c>
      <c r="G369" s="4" t="b">
        <f t="shared" si="5"/>
        <v>1</v>
      </c>
      <c r="H369" s="4" t="s">
        <v>780</v>
      </c>
      <c r="I369" s="4"/>
      <c r="J369" s="4" t="s">
        <v>14</v>
      </c>
    </row>
    <row r="370" spans="1:11" ht="16" x14ac:dyDescent="0.2">
      <c r="A370" s="6" t="s">
        <v>781</v>
      </c>
      <c r="B370" s="6" t="s">
        <v>782</v>
      </c>
      <c r="C370" s="4" t="b">
        <v>0</v>
      </c>
      <c r="D370" s="4" t="b">
        <v>0</v>
      </c>
      <c r="E370" s="4" t="b">
        <v>0</v>
      </c>
      <c r="F370" s="4" t="s">
        <v>12</v>
      </c>
      <c r="G370" s="4" t="b">
        <f t="shared" si="5"/>
        <v>1</v>
      </c>
      <c r="H370" s="4"/>
      <c r="I370" s="4"/>
      <c r="J370" s="4" t="s">
        <v>14</v>
      </c>
      <c r="K370"/>
    </row>
    <row r="371" spans="1:11" ht="16" x14ac:dyDescent="0.2">
      <c r="A371" s="6" t="s">
        <v>783</v>
      </c>
      <c r="B371" s="6" t="s">
        <v>784</v>
      </c>
      <c r="C371" s="4" t="b">
        <v>0</v>
      </c>
      <c r="D371" s="4" t="b">
        <v>0</v>
      </c>
      <c r="E371" s="4" t="b">
        <v>0</v>
      </c>
      <c r="F371" s="4" t="s">
        <v>12</v>
      </c>
      <c r="G371" s="4" t="b">
        <f t="shared" si="5"/>
        <v>1</v>
      </c>
      <c r="H371" s="4"/>
      <c r="I371" s="4"/>
      <c r="J371" s="4" t="s">
        <v>98</v>
      </c>
      <c r="K371"/>
    </row>
    <row r="372" spans="1:11" ht="16" x14ac:dyDescent="0.2">
      <c r="A372" s="6" t="s">
        <v>785</v>
      </c>
      <c r="B372" s="6" t="s">
        <v>786</v>
      </c>
      <c r="C372" s="4" t="b">
        <v>0</v>
      </c>
      <c r="D372" s="4" t="b">
        <v>0</v>
      </c>
      <c r="E372" s="4" t="b">
        <v>0</v>
      </c>
      <c r="F372" s="4"/>
      <c r="G372" s="4" t="b">
        <f t="shared" si="5"/>
        <v>0</v>
      </c>
      <c r="H372" s="4"/>
      <c r="I372" s="4"/>
      <c r="J372" s="4" t="s">
        <v>26</v>
      </c>
      <c r="K372"/>
    </row>
    <row r="373" spans="1:11" ht="16" x14ac:dyDescent="0.2">
      <c r="A373" s="6" t="s">
        <v>787</v>
      </c>
      <c r="B373" s="6" t="s">
        <v>788</v>
      </c>
      <c r="C373" s="4" t="b">
        <v>0</v>
      </c>
      <c r="D373" s="4" t="b">
        <v>0</v>
      </c>
      <c r="E373" s="4" t="b">
        <v>1</v>
      </c>
      <c r="F373" s="4"/>
      <c r="G373" s="4" t="b">
        <f t="shared" si="5"/>
        <v>0</v>
      </c>
      <c r="H373" s="4"/>
      <c r="I373" s="4"/>
      <c r="J373" s="4" t="s">
        <v>26</v>
      </c>
      <c r="K373"/>
    </row>
    <row r="374" spans="1:11" ht="16" x14ac:dyDescent="0.2">
      <c r="A374" s="6" t="s">
        <v>789</v>
      </c>
      <c r="B374" s="6" t="s">
        <v>790</v>
      </c>
      <c r="C374" s="4" t="b">
        <v>0</v>
      </c>
      <c r="D374" s="4" t="b">
        <v>0</v>
      </c>
      <c r="E374" s="4" t="b">
        <v>1</v>
      </c>
      <c r="F374" s="4"/>
      <c r="G374" s="4" t="b">
        <f t="shared" si="5"/>
        <v>0</v>
      </c>
      <c r="H374" s="4"/>
      <c r="I374" s="4"/>
      <c r="J374" s="4" t="s">
        <v>26</v>
      </c>
      <c r="K374"/>
    </row>
    <row r="375" spans="1:11" ht="16" x14ac:dyDescent="0.2">
      <c r="A375" s="6" t="s">
        <v>791</v>
      </c>
      <c r="B375" s="6" t="s">
        <v>792</v>
      </c>
      <c r="C375" s="4" t="b">
        <v>0</v>
      </c>
      <c r="D375" s="4" t="b">
        <v>0</v>
      </c>
      <c r="E375" s="4" t="b">
        <v>0</v>
      </c>
      <c r="F375" s="4"/>
      <c r="G375" s="4" t="b">
        <f t="shared" si="5"/>
        <v>0</v>
      </c>
      <c r="H375" s="4"/>
      <c r="I375" s="4"/>
      <c r="J375" s="4" t="s">
        <v>26</v>
      </c>
      <c r="K375"/>
    </row>
    <row r="376" spans="1:11" ht="16" x14ac:dyDescent="0.2">
      <c r="A376" s="6" t="s">
        <v>793</v>
      </c>
      <c r="B376" s="6" t="s">
        <v>794</v>
      </c>
      <c r="C376" s="4" t="b">
        <v>0</v>
      </c>
      <c r="D376" s="4" t="b">
        <v>0</v>
      </c>
      <c r="E376" s="4" t="b">
        <v>0</v>
      </c>
      <c r="F376" s="4"/>
      <c r="G376" s="4" t="b">
        <f t="shared" si="5"/>
        <v>0</v>
      </c>
      <c r="H376" s="4"/>
      <c r="I376" s="4"/>
      <c r="J376" s="4" t="s">
        <v>26</v>
      </c>
      <c r="K376"/>
    </row>
    <row r="377" spans="1:11" ht="96" x14ac:dyDescent="0.2">
      <c r="A377" s="6" t="s">
        <v>795</v>
      </c>
      <c r="B377" s="6" t="s">
        <v>796</v>
      </c>
      <c r="C377" s="4" t="b">
        <v>1</v>
      </c>
      <c r="D377" s="4" t="b">
        <v>1</v>
      </c>
      <c r="E377" s="4" t="b">
        <v>1</v>
      </c>
      <c r="F377" s="4" t="s">
        <v>12</v>
      </c>
      <c r="G377" s="4" t="b">
        <f t="shared" si="5"/>
        <v>1</v>
      </c>
      <c r="H377" s="4" t="s">
        <v>3178</v>
      </c>
      <c r="I377" s="4"/>
      <c r="J377" s="4" t="s">
        <v>26</v>
      </c>
    </row>
    <row r="378" spans="1:11" ht="16" x14ac:dyDescent="0.2">
      <c r="A378" s="6" t="s">
        <v>797</v>
      </c>
      <c r="B378" s="6" t="s">
        <v>798</v>
      </c>
      <c r="C378" s="4" t="b">
        <v>0</v>
      </c>
      <c r="D378" s="4" t="b">
        <v>0</v>
      </c>
      <c r="E378" s="4" t="b">
        <v>1</v>
      </c>
      <c r="F378" s="4"/>
      <c r="G378" s="4" t="b">
        <f t="shared" si="5"/>
        <v>0</v>
      </c>
      <c r="H378" s="4"/>
      <c r="I378" s="4"/>
      <c r="J378" s="4" t="s">
        <v>26</v>
      </c>
      <c r="K378"/>
    </row>
    <row r="379" spans="1:11" ht="16" x14ac:dyDescent="0.2">
      <c r="A379" s="6" t="s">
        <v>799</v>
      </c>
      <c r="B379" s="6" t="s">
        <v>800</v>
      </c>
      <c r="C379" s="4" t="b">
        <v>0</v>
      </c>
      <c r="D379" s="4" t="b">
        <v>0</v>
      </c>
      <c r="E379" s="4" t="b">
        <v>0</v>
      </c>
      <c r="F379" s="4"/>
      <c r="G379" s="4" t="b">
        <f t="shared" si="5"/>
        <v>0</v>
      </c>
      <c r="H379" s="4"/>
      <c r="I379" s="4"/>
      <c r="J379" s="4" t="s">
        <v>26</v>
      </c>
      <c r="K379"/>
    </row>
    <row r="380" spans="1:11" ht="80" x14ac:dyDescent="0.2">
      <c r="A380" s="6" t="s">
        <v>801</v>
      </c>
      <c r="B380" s="6" t="s">
        <v>802</v>
      </c>
      <c r="C380" s="4" t="b">
        <v>1</v>
      </c>
      <c r="D380" s="4" t="b">
        <v>1</v>
      </c>
      <c r="E380" s="4" t="b">
        <v>1</v>
      </c>
      <c r="F380" s="4" t="s">
        <v>12</v>
      </c>
      <c r="G380" s="4" t="b">
        <f t="shared" si="5"/>
        <v>1</v>
      </c>
      <c r="H380" s="4" t="s">
        <v>3177</v>
      </c>
      <c r="I380" s="4"/>
      <c r="J380" s="4" t="s">
        <v>26</v>
      </c>
    </row>
    <row r="381" spans="1:11" ht="16" x14ac:dyDescent="0.2">
      <c r="A381" s="6" t="s">
        <v>803</v>
      </c>
      <c r="B381" s="6" t="s">
        <v>804</v>
      </c>
      <c r="C381" s="4" t="b">
        <v>0</v>
      </c>
      <c r="D381" s="4" t="b">
        <v>0</v>
      </c>
      <c r="E381" s="4" t="b">
        <v>0</v>
      </c>
      <c r="F381" s="4"/>
      <c r="G381" s="4" t="b">
        <f t="shared" si="5"/>
        <v>0</v>
      </c>
      <c r="H381" s="4"/>
      <c r="I381" s="4"/>
      <c r="J381" s="4" t="s">
        <v>26</v>
      </c>
      <c r="K381"/>
    </row>
    <row r="382" spans="1:11" ht="16" x14ac:dyDescent="0.2">
      <c r="A382" s="6" t="s">
        <v>805</v>
      </c>
      <c r="B382" s="6" t="s">
        <v>806</v>
      </c>
      <c r="C382" s="4" t="b">
        <v>0</v>
      </c>
      <c r="D382" s="4" t="b">
        <v>0</v>
      </c>
      <c r="E382" s="4" t="b">
        <v>0</v>
      </c>
      <c r="F382" s="4"/>
      <c r="G382" s="4" t="b">
        <f t="shared" si="5"/>
        <v>0</v>
      </c>
      <c r="H382" s="4"/>
      <c r="I382" s="4"/>
      <c r="J382" s="4" t="s">
        <v>26</v>
      </c>
      <c r="K382"/>
    </row>
    <row r="383" spans="1:11" ht="16" x14ac:dyDescent="0.2">
      <c r="A383" s="6" t="s">
        <v>807</v>
      </c>
      <c r="B383" s="6" t="s">
        <v>808</v>
      </c>
      <c r="C383" s="4" t="b">
        <v>0</v>
      </c>
      <c r="D383" s="4" t="b">
        <v>0</v>
      </c>
      <c r="E383" s="4" t="b">
        <v>1</v>
      </c>
      <c r="F383" s="4"/>
      <c r="G383" s="4" t="b">
        <f t="shared" si="5"/>
        <v>0</v>
      </c>
      <c r="H383" s="4"/>
      <c r="I383" s="4"/>
      <c r="J383" s="4" t="s">
        <v>26</v>
      </c>
      <c r="K383"/>
    </row>
    <row r="384" spans="1:11" ht="16" x14ac:dyDescent="0.2">
      <c r="A384" s="6" t="s">
        <v>809</v>
      </c>
      <c r="B384" s="6" t="s">
        <v>810</v>
      </c>
      <c r="C384" s="4" t="b">
        <v>0</v>
      </c>
      <c r="D384" s="4" t="b">
        <v>0</v>
      </c>
      <c r="E384" s="4" t="b">
        <v>1</v>
      </c>
      <c r="F384" s="4"/>
      <c r="G384" s="4" t="b">
        <f t="shared" si="5"/>
        <v>0</v>
      </c>
      <c r="H384" s="4"/>
      <c r="I384" s="4"/>
      <c r="J384" s="4" t="s">
        <v>26</v>
      </c>
      <c r="K384"/>
    </row>
    <row r="385" spans="1:11" ht="16" x14ac:dyDescent="0.2">
      <c r="A385" s="6" t="s">
        <v>811</v>
      </c>
      <c r="B385" s="6" t="s">
        <v>812</v>
      </c>
      <c r="C385" s="4" t="b">
        <v>0</v>
      </c>
      <c r="D385" s="4" t="b">
        <v>0</v>
      </c>
      <c r="E385" s="4" t="b">
        <v>0</v>
      </c>
      <c r="F385" s="4"/>
      <c r="G385" s="4" t="b">
        <f t="shared" si="5"/>
        <v>0</v>
      </c>
      <c r="H385" s="4"/>
      <c r="I385" s="4"/>
      <c r="J385" s="4" t="s">
        <v>26</v>
      </c>
      <c r="K385"/>
    </row>
    <row r="386" spans="1:11" ht="16" x14ac:dyDescent="0.2">
      <c r="A386" s="6" t="s">
        <v>813</v>
      </c>
      <c r="B386" s="6" t="s">
        <v>814</v>
      </c>
      <c r="C386" s="4" t="b">
        <v>0</v>
      </c>
      <c r="D386" s="4" t="b">
        <v>0</v>
      </c>
      <c r="E386" s="4" t="b">
        <v>0</v>
      </c>
      <c r="F386" s="4"/>
      <c r="G386" s="4" t="b">
        <f t="shared" ref="G386:G449" si="6">IF(F386="✔", TRUE, FALSE)</f>
        <v>0</v>
      </c>
      <c r="H386" s="4"/>
      <c r="I386" s="4"/>
      <c r="J386" s="4" t="s">
        <v>26</v>
      </c>
      <c r="K386"/>
    </row>
    <row r="387" spans="1:11" ht="16" x14ac:dyDescent="0.2">
      <c r="A387" s="6" t="s">
        <v>815</v>
      </c>
      <c r="B387" s="6" t="s">
        <v>816</v>
      </c>
      <c r="C387" s="4" t="b">
        <v>0</v>
      </c>
      <c r="D387" s="4" t="b">
        <v>0</v>
      </c>
      <c r="E387" s="4" t="b">
        <v>0</v>
      </c>
      <c r="F387" s="4"/>
      <c r="G387" s="4" t="b">
        <f t="shared" si="6"/>
        <v>0</v>
      </c>
      <c r="H387" s="4"/>
      <c r="I387" s="4"/>
      <c r="J387" s="4" t="s">
        <v>26</v>
      </c>
      <c r="K387"/>
    </row>
    <row r="388" spans="1:11" ht="32" x14ac:dyDescent="0.2">
      <c r="A388" s="6" t="s">
        <v>817</v>
      </c>
      <c r="B388" s="6" t="s">
        <v>818</v>
      </c>
      <c r="C388" s="4" t="b">
        <v>1</v>
      </c>
      <c r="D388" s="4" t="b">
        <v>0</v>
      </c>
      <c r="E388" s="4" t="b">
        <v>1</v>
      </c>
      <c r="F388" s="4" t="s">
        <v>12</v>
      </c>
      <c r="G388" s="4" t="b">
        <f t="shared" si="6"/>
        <v>1</v>
      </c>
      <c r="H388" s="4" t="s">
        <v>3176</v>
      </c>
      <c r="I388" s="4"/>
      <c r="J388" s="4" t="s">
        <v>26</v>
      </c>
      <c r="K388" s="1" t="s">
        <v>2998</v>
      </c>
    </row>
    <row r="389" spans="1:11" ht="128" x14ac:dyDescent="0.2">
      <c r="A389" s="6" t="s">
        <v>819</v>
      </c>
      <c r="B389" s="6" t="s">
        <v>820</v>
      </c>
      <c r="C389" s="4" t="b">
        <v>1</v>
      </c>
      <c r="D389" s="4" t="b">
        <v>0</v>
      </c>
      <c r="E389" s="4" t="b">
        <v>1</v>
      </c>
      <c r="F389" s="4" t="s">
        <v>12</v>
      </c>
      <c r="G389" s="4" t="b">
        <f t="shared" si="6"/>
        <v>1</v>
      </c>
      <c r="H389" s="4" t="s">
        <v>3175</v>
      </c>
      <c r="I389" s="4"/>
      <c r="J389" s="4" t="s">
        <v>26</v>
      </c>
      <c r="K389" s="1" t="s">
        <v>2998</v>
      </c>
    </row>
    <row r="390" spans="1:11" ht="112" x14ac:dyDescent="0.2">
      <c r="A390" s="6" t="s">
        <v>821</v>
      </c>
      <c r="B390" s="6" t="s">
        <v>822</v>
      </c>
      <c r="C390" s="4" t="b">
        <v>1</v>
      </c>
      <c r="D390" s="4" t="b">
        <v>1</v>
      </c>
      <c r="E390" s="4" t="b">
        <v>1</v>
      </c>
      <c r="F390" s="4" t="s">
        <v>12</v>
      </c>
      <c r="G390" s="4" t="b">
        <f t="shared" si="6"/>
        <v>1</v>
      </c>
      <c r="H390" s="4" t="s">
        <v>3174</v>
      </c>
      <c r="I390" s="4"/>
      <c r="J390" s="4" t="s">
        <v>26</v>
      </c>
    </row>
    <row r="391" spans="1:11" ht="16" x14ac:dyDescent="0.2">
      <c r="A391" s="6" t="s">
        <v>823</v>
      </c>
      <c r="B391" s="6" t="s">
        <v>824</v>
      </c>
      <c r="C391" s="4" t="b">
        <v>0</v>
      </c>
      <c r="D391" s="4" t="b">
        <v>0</v>
      </c>
      <c r="E391" s="4" t="b">
        <v>0</v>
      </c>
      <c r="F391" s="4"/>
      <c r="G391" s="4" t="b">
        <f t="shared" si="6"/>
        <v>0</v>
      </c>
      <c r="H391" s="4"/>
      <c r="I391" s="4"/>
      <c r="J391" s="4" t="s">
        <v>26</v>
      </c>
      <c r="K391"/>
    </row>
    <row r="392" spans="1:11" ht="80" x14ac:dyDescent="0.2">
      <c r="A392" s="6" t="s">
        <v>825</v>
      </c>
      <c r="B392" s="6" t="s">
        <v>826</v>
      </c>
      <c r="C392" s="4" t="b">
        <v>1</v>
      </c>
      <c r="D392" s="4" t="b">
        <v>1</v>
      </c>
      <c r="E392" s="4" t="b">
        <v>1</v>
      </c>
      <c r="F392" s="4" t="s">
        <v>12</v>
      </c>
      <c r="G392" s="4" t="b">
        <f t="shared" si="6"/>
        <v>1</v>
      </c>
      <c r="H392" s="4" t="s">
        <v>3173</v>
      </c>
      <c r="I392" s="4"/>
      <c r="J392" s="4" t="s">
        <v>26</v>
      </c>
    </row>
    <row r="393" spans="1:11" ht="16" x14ac:dyDescent="0.2">
      <c r="A393" s="6" t="s">
        <v>827</v>
      </c>
      <c r="B393" s="6" t="s">
        <v>828</v>
      </c>
      <c r="C393" s="4" t="b">
        <v>0</v>
      </c>
      <c r="D393" s="4" t="b">
        <v>0</v>
      </c>
      <c r="E393" s="4" t="b">
        <v>1</v>
      </c>
      <c r="F393" s="4"/>
      <c r="G393" s="4" t="b">
        <f t="shared" si="6"/>
        <v>0</v>
      </c>
      <c r="H393" s="4"/>
      <c r="I393" s="4"/>
      <c r="J393" s="4" t="s">
        <v>26</v>
      </c>
      <c r="K393"/>
    </row>
    <row r="394" spans="1:11" ht="16" x14ac:dyDescent="0.2">
      <c r="A394" s="6" t="s">
        <v>829</v>
      </c>
      <c r="B394" s="6" t="s">
        <v>830</v>
      </c>
      <c r="C394" s="4" t="b">
        <v>0</v>
      </c>
      <c r="D394" s="4" t="b">
        <v>0</v>
      </c>
      <c r="E394" s="4" t="b">
        <v>0</v>
      </c>
      <c r="F394" s="4"/>
      <c r="G394" s="4" t="b">
        <f t="shared" si="6"/>
        <v>0</v>
      </c>
      <c r="H394" s="4"/>
      <c r="I394" s="4"/>
      <c r="J394" s="4" t="s">
        <v>26</v>
      </c>
      <c r="K394"/>
    </row>
    <row r="395" spans="1:11" ht="16" x14ac:dyDescent="0.2">
      <c r="A395" s="6" t="s">
        <v>831</v>
      </c>
      <c r="B395" s="6" t="s">
        <v>832</v>
      </c>
      <c r="C395" s="4" t="b">
        <v>0</v>
      </c>
      <c r="D395" s="4" t="b">
        <v>0</v>
      </c>
      <c r="E395" s="4" t="b">
        <v>0</v>
      </c>
      <c r="F395" s="4"/>
      <c r="G395" s="4" t="b">
        <f t="shared" si="6"/>
        <v>0</v>
      </c>
      <c r="H395" s="4"/>
      <c r="I395" s="4"/>
      <c r="J395" s="4" t="s">
        <v>20</v>
      </c>
      <c r="K395"/>
    </row>
    <row r="396" spans="1:11" ht="16" x14ac:dyDescent="0.2">
      <c r="A396" s="6" t="s">
        <v>833</v>
      </c>
      <c r="B396" s="6" t="s">
        <v>834</v>
      </c>
      <c r="C396" s="4" t="b">
        <v>0</v>
      </c>
      <c r="D396" s="4" t="b">
        <v>0</v>
      </c>
      <c r="E396" s="4" t="b">
        <v>0</v>
      </c>
      <c r="F396" s="4"/>
      <c r="G396" s="4" t="b">
        <f t="shared" si="6"/>
        <v>0</v>
      </c>
      <c r="H396" s="4"/>
      <c r="I396" s="4"/>
      <c r="J396" s="4" t="s">
        <v>20</v>
      </c>
      <c r="K396"/>
    </row>
    <row r="397" spans="1:11" ht="16" x14ac:dyDescent="0.2">
      <c r="A397" s="6" t="s">
        <v>835</v>
      </c>
      <c r="B397" s="6" t="s">
        <v>836</v>
      </c>
      <c r="C397" s="4" t="b">
        <v>1</v>
      </c>
      <c r="D397" s="4" t="b">
        <v>0</v>
      </c>
      <c r="E397" s="4" t="b">
        <v>1</v>
      </c>
      <c r="F397" s="4" t="s">
        <v>12</v>
      </c>
      <c r="G397" s="4" t="b">
        <f t="shared" si="6"/>
        <v>1</v>
      </c>
      <c r="H397" s="4"/>
      <c r="I397" s="4"/>
      <c r="J397" s="4" t="s">
        <v>20</v>
      </c>
    </row>
    <row r="398" spans="1:11" ht="16" x14ac:dyDescent="0.2">
      <c r="A398" s="6" t="s">
        <v>837</v>
      </c>
      <c r="B398" s="6" t="s">
        <v>838</v>
      </c>
      <c r="C398" s="4" t="b">
        <v>0</v>
      </c>
      <c r="D398" s="4" t="b">
        <v>0</v>
      </c>
      <c r="E398" s="4" t="b">
        <v>0</v>
      </c>
      <c r="F398" s="4"/>
      <c r="G398" s="4" t="b">
        <f t="shared" si="6"/>
        <v>0</v>
      </c>
      <c r="H398" s="4"/>
      <c r="I398" s="4"/>
      <c r="J398" s="4" t="s">
        <v>20</v>
      </c>
      <c r="K398"/>
    </row>
    <row r="399" spans="1:11" ht="16" x14ac:dyDescent="0.2">
      <c r="A399" s="6" t="s">
        <v>839</v>
      </c>
      <c r="B399" s="6" t="s">
        <v>840</v>
      </c>
      <c r="C399" s="4" t="b">
        <v>0</v>
      </c>
      <c r="D399" s="4" t="b">
        <v>0</v>
      </c>
      <c r="E399" s="4" t="b">
        <v>0</v>
      </c>
      <c r="F399" s="4"/>
      <c r="G399" s="4" t="b">
        <f t="shared" si="6"/>
        <v>0</v>
      </c>
      <c r="H399" s="4"/>
      <c r="I399" s="4"/>
      <c r="J399" s="4" t="s">
        <v>20</v>
      </c>
      <c r="K399"/>
    </row>
    <row r="400" spans="1:11" ht="16" x14ac:dyDescent="0.2">
      <c r="A400" s="6" t="s">
        <v>841</v>
      </c>
      <c r="B400" s="6" t="s">
        <v>842</v>
      </c>
      <c r="C400" s="4" t="b">
        <v>0</v>
      </c>
      <c r="D400" s="4" t="b">
        <v>0</v>
      </c>
      <c r="E400" s="4" t="b">
        <v>0</v>
      </c>
      <c r="F400" s="4"/>
      <c r="G400" s="4" t="b">
        <f t="shared" si="6"/>
        <v>0</v>
      </c>
      <c r="H400" s="4"/>
      <c r="I400" s="4"/>
      <c r="J400" s="4" t="s">
        <v>20</v>
      </c>
      <c r="K400"/>
    </row>
    <row r="401" spans="1:11" ht="16" x14ac:dyDescent="0.2">
      <c r="A401" s="6" t="s">
        <v>843</v>
      </c>
      <c r="B401" s="6" t="s">
        <v>844</v>
      </c>
      <c r="C401" s="4" t="b">
        <v>0</v>
      </c>
      <c r="D401" s="4" t="b">
        <v>0</v>
      </c>
      <c r="E401" s="4" t="b">
        <v>0</v>
      </c>
      <c r="F401" s="4"/>
      <c r="G401" s="4" t="b">
        <f t="shared" si="6"/>
        <v>0</v>
      </c>
      <c r="H401" s="4"/>
      <c r="I401" s="4"/>
      <c r="J401" s="4" t="s">
        <v>20</v>
      </c>
      <c r="K401"/>
    </row>
    <row r="402" spans="1:11" ht="16" x14ac:dyDescent="0.2">
      <c r="A402" s="6" t="s">
        <v>845</v>
      </c>
      <c r="B402" s="6" t="s">
        <v>846</v>
      </c>
      <c r="C402" s="4" t="b">
        <v>0</v>
      </c>
      <c r="D402" s="4" t="b">
        <v>0</v>
      </c>
      <c r="E402" s="4" t="b">
        <v>0</v>
      </c>
      <c r="F402" s="4"/>
      <c r="G402" s="4" t="b">
        <f t="shared" si="6"/>
        <v>0</v>
      </c>
      <c r="H402" s="4"/>
      <c r="I402" s="4"/>
      <c r="J402" s="4" t="s">
        <v>20</v>
      </c>
      <c r="K402"/>
    </row>
    <row r="403" spans="1:11" ht="16" x14ac:dyDescent="0.2">
      <c r="A403" s="6" t="s">
        <v>847</v>
      </c>
      <c r="B403" s="6" t="s">
        <v>848</v>
      </c>
      <c r="C403" s="4" t="b">
        <v>0</v>
      </c>
      <c r="D403" s="4" t="b">
        <v>0</v>
      </c>
      <c r="E403" s="4" t="b">
        <v>0</v>
      </c>
      <c r="F403" s="4"/>
      <c r="G403" s="4" t="b">
        <f t="shared" si="6"/>
        <v>0</v>
      </c>
      <c r="H403" s="4"/>
      <c r="I403" s="4"/>
      <c r="J403" s="4" t="s">
        <v>20</v>
      </c>
      <c r="K403"/>
    </row>
    <row r="404" spans="1:11" ht="32" x14ac:dyDescent="0.2">
      <c r="A404" s="6" t="s">
        <v>849</v>
      </c>
      <c r="B404" s="6" t="s">
        <v>850</v>
      </c>
      <c r="C404" s="4" t="b">
        <v>0</v>
      </c>
      <c r="D404" s="4" t="b">
        <v>0</v>
      </c>
      <c r="E404" s="4" t="b">
        <v>0</v>
      </c>
      <c r="F404" s="4" t="s">
        <v>12</v>
      </c>
      <c r="G404" s="4" t="b">
        <f t="shared" si="6"/>
        <v>1</v>
      </c>
      <c r="H404" s="4" t="s">
        <v>3105</v>
      </c>
      <c r="I404" s="4"/>
      <c r="J404" s="4" t="s">
        <v>20</v>
      </c>
    </row>
    <row r="405" spans="1:11" ht="16" x14ac:dyDescent="0.2">
      <c r="A405" s="6" t="s">
        <v>851</v>
      </c>
      <c r="B405" s="6" t="s">
        <v>852</v>
      </c>
      <c r="C405" s="4" t="b">
        <v>0</v>
      </c>
      <c r="D405" s="4" t="b">
        <v>0</v>
      </c>
      <c r="E405" s="4" t="b">
        <v>0</v>
      </c>
      <c r="F405" s="4"/>
      <c r="G405" s="4" t="b">
        <f t="shared" si="6"/>
        <v>0</v>
      </c>
      <c r="H405" s="4"/>
      <c r="I405" s="4"/>
      <c r="J405" s="4" t="s">
        <v>20</v>
      </c>
      <c r="K405"/>
    </row>
    <row r="406" spans="1:11" ht="16" x14ac:dyDescent="0.2">
      <c r="A406" s="6" t="s">
        <v>853</v>
      </c>
      <c r="B406" s="6" t="s">
        <v>854</v>
      </c>
      <c r="C406" s="4" t="b">
        <v>1</v>
      </c>
      <c r="D406" s="4" t="b">
        <v>0</v>
      </c>
      <c r="E406" s="4" t="b">
        <v>1</v>
      </c>
      <c r="F406" s="4" t="s">
        <v>12</v>
      </c>
      <c r="G406" s="4" t="b">
        <f t="shared" si="6"/>
        <v>1</v>
      </c>
      <c r="H406" s="4" t="s">
        <v>3172</v>
      </c>
      <c r="I406" s="4"/>
      <c r="J406" s="4" t="s">
        <v>20</v>
      </c>
    </row>
    <row r="407" spans="1:11" ht="176" x14ac:dyDescent="0.2">
      <c r="A407" s="6" t="s">
        <v>855</v>
      </c>
      <c r="B407" s="6" t="s">
        <v>856</v>
      </c>
      <c r="C407" s="4" t="b">
        <v>1</v>
      </c>
      <c r="D407" s="4" t="b">
        <v>1</v>
      </c>
      <c r="E407" s="4" t="b">
        <v>1</v>
      </c>
      <c r="F407" s="4" t="s">
        <v>12</v>
      </c>
      <c r="G407" s="4" t="b">
        <f t="shared" si="6"/>
        <v>1</v>
      </c>
      <c r="H407" s="4" t="s">
        <v>3171</v>
      </c>
      <c r="I407" s="4"/>
      <c r="J407" s="4" t="s">
        <v>20</v>
      </c>
    </row>
    <row r="408" spans="1:11" ht="16" x14ac:dyDescent="0.2">
      <c r="A408" s="6" t="s">
        <v>857</v>
      </c>
      <c r="B408" s="6" t="s">
        <v>858</v>
      </c>
      <c r="C408" s="4" t="b">
        <v>0</v>
      </c>
      <c r="D408" s="4" t="b">
        <v>0</v>
      </c>
      <c r="E408" s="4" t="b">
        <v>0</v>
      </c>
      <c r="F408" s="4"/>
      <c r="G408" s="4" t="b">
        <f t="shared" si="6"/>
        <v>0</v>
      </c>
      <c r="H408" s="4"/>
      <c r="I408" s="4"/>
      <c r="J408" s="4" t="s">
        <v>20</v>
      </c>
      <c r="K408"/>
    </row>
    <row r="409" spans="1:11" ht="64" x14ac:dyDescent="0.2">
      <c r="A409" s="6" t="s">
        <v>859</v>
      </c>
      <c r="B409" s="6" t="s">
        <v>860</v>
      </c>
      <c r="C409" s="4" t="b">
        <v>1</v>
      </c>
      <c r="D409" s="4" t="b">
        <v>1</v>
      </c>
      <c r="E409" s="4" t="b">
        <v>1</v>
      </c>
      <c r="F409" s="4" t="s">
        <v>12</v>
      </c>
      <c r="G409" s="4" t="b">
        <f t="shared" si="6"/>
        <v>1</v>
      </c>
      <c r="H409" s="4" t="s">
        <v>3170</v>
      </c>
      <c r="I409" s="4"/>
      <c r="J409" s="4" t="s">
        <v>20</v>
      </c>
    </row>
    <row r="410" spans="1:11" ht="112" x14ac:dyDescent="0.2">
      <c r="A410" s="6" t="s">
        <v>861</v>
      </c>
      <c r="B410" s="6" t="s">
        <v>862</v>
      </c>
      <c r="C410" s="4" t="b">
        <v>1</v>
      </c>
      <c r="D410" s="4" t="b">
        <v>0</v>
      </c>
      <c r="E410" s="4" t="b">
        <v>1</v>
      </c>
      <c r="F410" s="4" t="s">
        <v>12</v>
      </c>
      <c r="G410" s="4" t="b">
        <f t="shared" si="6"/>
        <v>1</v>
      </c>
      <c r="H410" s="4" t="s">
        <v>3169</v>
      </c>
      <c r="I410" s="4"/>
      <c r="J410" s="4" t="s">
        <v>20</v>
      </c>
    </row>
    <row r="411" spans="1:11" ht="16" x14ac:dyDescent="0.2">
      <c r="A411" s="6" t="s">
        <v>863</v>
      </c>
      <c r="B411" s="6" t="s">
        <v>864</v>
      </c>
      <c r="C411" s="4" t="b">
        <v>0</v>
      </c>
      <c r="D411" s="4" t="b">
        <v>0</v>
      </c>
      <c r="E411" s="4" t="b">
        <v>0</v>
      </c>
      <c r="F411" s="4"/>
      <c r="G411" s="4" t="b">
        <f t="shared" si="6"/>
        <v>0</v>
      </c>
      <c r="H411" s="4"/>
      <c r="I411" s="4"/>
      <c r="J411" s="4" t="s">
        <v>20</v>
      </c>
      <c r="K411"/>
    </row>
    <row r="412" spans="1:11" ht="16" x14ac:dyDescent="0.2">
      <c r="A412" s="6" t="s">
        <v>865</v>
      </c>
      <c r="B412" s="6" t="s">
        <v>866</v>
      </c>
      <c r="C412" s="4" t="b">
        <v>0</v>
      </c>
      <c r="D412" s="4" t="b">
        <v>0</v>
      </c>
      <c r="E412" s="4" t="b">
        <v>0</v>
      </c>
      <c r="F412" s="4"/>
      <c r="G412" s="4" t="b">
        <f t="shared" si="6"/>
        <v>0</v>
      </c>
      <c r="H412" s="4"/>
      <c r="I412" s="4"/>
      <c r="J412" s="4" t="s">
        <v>20</v>
      </c>
      <c r="K412"/>
    </row>
    <row r="413" spans="1:11" ht="80" x14ac:dyDescent="0.2">
      <c r="A413" s="6" t="s">
        <v>867</v>
      </c>
      <c r="B413" s="6" t="s">
        <v>868</v>
      </c>
      <c r="C413" s="4" t="b">
        <v>1</v>
      </c>
      <c r="D413" s="4" t="b">
        <v>0</v>
      </c>
      <c r="E413" s="4" t="b">
        <v>1</v>
      </c>
      <c r="F413" s="4" t="s">
        <v>12</v>
      </c>
      <c r="G413" s="4" t="b">
        <f t="shared" si="6"/>
        <v>1</v>
      </c>
      <c r="H413" s="4" t="s">
        <v>3168</v>
      </c>
      <c r="I413" s="4"/>
      <c r="J413" s="4" t="s">
        <v>20</v>
      </c>
    </row>
    <row r="414" spans="1:11" ht="16" x14ac:dyDescent="0.2">
      <c r="A414" s="6" t="s">
        <v>869</v>
      </c>
      <c r="B414" s="6" t="s">
        <v>870</v>
      </c>
      <c r="C414" s="4" t="b">
        <v>0</v>
      </c>
      <c r="D414" s="4" t="b">
        <v>0</v>
      </c>
      <c r="E414" s="4" t="b">
        <v>1</v>
      </c>
      <c r="F414" s="4"/>
      <c r="G414" s="4" t="b">
        <f t="shared" si="6"/>
        <v>0</v>
      </c>
      <c r="H414" s="4"/>
      <c r="I414" s="4"/>
      <c r="J414" s="4" t="s">
        <v>20</v>
      </c>
      <c r="K414"/>
    </row>
    <row r="415" spans="1:11" ht="16" x14ac:dyDescent="0.2">
      <c r="A415" s="6" t="s">
        <v>871</v>
      </c>
      <c r="B415" s="6" t="s">
        <v>872</v>
      </c>
      <c r="C415" s="4" t="b">
        <v>0</v>
      </c>
      <c r="D415" s="4" t="b">
        <v>0</v>
      </c>
      <c r="E415" s="4" t="b">
        <v>0</v>
      </c>
      <c r="F415" s="4"/>
      <c r="G415" s="4" t="b">
        <f t="shared" si="6"/>
        <v>0</v>
      </c>
      <c r="H415" s="4"/>
      <c r="I415" s="4"/>
      <c r="J415" s="4" t="s">
        <v>20</v>
      </c>
      <c r="K415"/>
    </row>
    <row r="416" spans="1:11" ht="32" x14ac:dyDescent="0.2">
      <c r="A416" s="6" t="s">
        <v>873</v>
      </c>
      <c r="B416" s="6" t="s">
        <v>874</v>
      </c>
      <c r="C416" s="4" t="b">
        <v>0</v>
      </c>
      <c r="D416" s="4" t="b">
        <v>0</v>
      </c>
      <c r="E416" s="4" t="b">
        <v>1</v>
      </c>
      <c r="F416" s="4" t="s">
        <v>12</v>
      </c>
      <c r="G416" s="4" t="b">
        <f t="shared" si="6"/>
        <v>1</v>
      </c>
      <c r="H416" s="4" t="s">
        <v>3105</v>
      </c>
      <c r="I416" s="4"/>
      <c r="J416" s="4" t="s">
        <v>20</v>
      </c>
    </row>
    <row r="417" spans="1:11" ht="16" x14ac:dyDescent="0.2">
      <c r="A417" s="6" t="s">
        <v>875</v>
      </c>
      <c r="B417" s="6" t="s">
        <v>876</v>
      </c>
      <c r="C417" s="4" t="b">
        <v>0</v>
      </c>
      <c r="D417" s="4" t="b">
        <v>0</v>
      </c>
      <c r="E417" s="4" t="b">
        <v>1</v>
      </c>
      <c r="F417" s="4"/>
      <c r="G417" s="4" t="b">
        <f t="shared" si="6"/>
        <v>0</v>
      </c>
      <c r="H417" s="4"/>
      <c r="I417" s="4"/>
      <c r="J417" s="4" t="s">
        <v>20</v>
      </c>
      <c r="K417"/>
    </row>
    <row r="418" spans="1:11" ht="16" x14ac:dyDescent="0.2">
      <c r="A418" s="6" t="s">
        <v>877</v>
      </c>
      <c r="B418" s="6" t="s">
        <v>878</v>
      </c>
      <c r="C418" s="4" t="b">
        <v>0</v>
      </c>
      <c r="D418" s="4" t="b">
        <v>0</v>
      </c>
      <c r="E418" s="4" t="b">
        <v>0</v>
      </c>
      <c r="F418" s="4"/>
      <c r="G418" s="4" t="b">
        <f t="shared" si="6"/>
        <v>0</v>
      </c>
      <c r="H418" s="4"/>
      <c r="I418" s="4"/>
      <c r="J418" s="4" t="s">
        <v>20</v>
      </c>
      <c r="K418"/>
    </row>
    <row r="419" spans="1:11" ht="16" x14ac:dyDescent="0.2">
      <c r="A419" s="6" t="s">
        <v>879</v>
      </c>
      <c r="B419" s="6" t="s">
        <v>880</v>
      </c>
      <c r="C419" s="4" t="b">
        <v>0</v>
      </c>
      <c r="D419" s="4" t="b">
        <v>0</v>
      </c>
      <c r="E419" s="4" t="b">
        <v>1</v>
      </c>
      <c r="F419" s="4"/>
      <c r="G419" s="4" t="b">
        <f t="shared" si="6"/>
        <v>0</v>
      </c>
      <c r="H419" s="4"/>
      <c r="I419" s="4"/>
      <c r="J419" s="4" t="s">
        <v>20</v>
      </c>
      <c r="K419"/>
    </row>
    <row r="420" spans="1:11" ht="16" x14ac:dyDescent="0.2">
      <c r="A420" s="6" t="s">
        <v>881</v>
      </c>
      <c r="B420" s="6" t="s">
        <v>882</v>
      </c>
      <c r="C420" s="4" t="b">
        <v>0</v>
      </c>
      <c r="D420" s="4" t="b">
        <v>0</v>
      </c>
      <c r="E420" s="4" t="b">
        <v>1</v>
      </c>
      <c r="F420" s="4"/>
      <c r="G420" s="4" t="b">
        <f t="shared" si="6"/>
        <v>0</v>
      </c>
      <c r="H420" s="4"/>
      <c r="I420" s="4"/>
      <c r="J420" s="4" t="s">
        <v>20</v>
      </c>
      <c r="K420"/>
    </row>
    <row r="421" spans="1:11" ht="16" x14ac:dyDescent="0.2">
      <c r="A421" s="6" t="s">
        <v>883</v>
      </c>
      <c r="B421" s="6" t="s">
        <v>884</v>
      </c>
      <c r="C421" s="4" t="b">
        <v>0</v>
      </c>
      <c r="D421" s="4" t="b">
        <v>0</v>
      </c>
      <c r="E421" s="4" t="b">
        <v>0</v>
      </c>
      <c r="F421" s="4"/>
      <c r="G421" s="4" t="b">
        <f t="shared" si="6"/>
        <v>0</v>
      </c>
      <c r="H421" s="4"/>
      <c r="I421" s="4"/>
      <c r="J421" s="4" t="s">
        <v>20</v>
      </c>
      <c r="K421"/>
    </row>
    <row r="422" spans="1:11" ht="32" x14ac:dyDescent="0.2">
      <c r="A422" s="6" t="s">
        <v>885</v>
      </c>
      <c r="B422" s="6" t="s">
        <v>886</v>
      </c>
      <c r="C422" s="4" t="b">
        <v>1</v>
      </c>
      <c r="D422" s="4" t="b">
        <v>0</v>
      </c>
      <c r="E422" s="4" t="b">
        <v>1</v>
      </c>
      <c r="F422" s="4" t="s">
        <v>12</v>
      </c>
      <c r="G422" s="4" t="b">
        <f t="shared" si="6"/>
        <v>1</v>
      </c>
      <c r="H422" s="4" t="s">
        <v>3166</v>
      </c>
      <c r="I422" s="4"/>
      <c r="J422" s="4" t="s">
        <v>20</v>
      </c>
    </row>
    <row r="423" spans="1:11" ht="16" x14ac:dyDescent="0.2">
      <c r="A423" s="6" t="s">
        <v>887</v>
      </c>
      <c r="B423" s="6" t="s">
        <v>888</v>
      </c>
      <c r="C423" s="4" t="b">
        <v>0</v>
      </c>
      <c r="D423" s="4" t="b">
        <v>0</v>
      </c>
      <c r="E423" s="4" t="b">
        <v>1</v>
      </c>
      <c r="F423" s="4"/>
      <c r="G423" s="4" t="b">
        <f t="shared" si="6"/>
        <v>0</v>
      </c>
      <c r="H423" s="4"/>
      <c r="I423" s="4"/>
      <c r="J423" s="4" t="s">
        <v>20</v>
      </c>
      <c r="K423"/>
    </row>
    <row r="424" spans="1:11" ht="64" x14ac:dyDescent="0.2">
      <c r="A424" s="6" t="s">
        <v>889</v>
      </c>
      <c r="B424" s="6" t="s">
        <v>890</v>
      </c>
      <c r="C424" s="4" t="b">
        <v>1</v>
      </c>
      <c r="D424" s="4" t="b">
        <v>0</v>
      </c>
      <c r="E424" s="4" t="b">
        <v>1</v>
      </c>
      <c r="F424" s="4" t="s">
        <v>12</v>
      </c>
      <c r="G424" s="4" t="b">
        <f t="shared" si="6"/>
        <v>1</v>
      </c>
      <c r="H424" s="4" t="s">
        <v>3165</v>
      </c>
      <c r="I424" s="4"/>
      <c r="J424" s="4" t="s">
        <v>20</v>
      </c>
    </row>
    <row r="425" spans="1:11" ht="16" x14ac:dyDescent="0.2">
      <c r="A425" s="6" t="s">
        <v>891</v>
      </c>
      <c r="B425" s="6" t="s">
        <v>892</v>
      </c>
      <c r="C425" s="4" t="b">
        <v>0</v>
      </c>
      <c r="D425" s="4" t="b">
        <v>0</v>
      </c>
      <c r="E425" s="4" t="b">
        <v>0</v>
      </c>
      <c r="F425" s="4"/>
      <c r="G425" s="4" t="b">
        <f t="shared" si="6"/>
        <v>0</v>
      </c>
      <c r="H425" s="4"/>
      <c r="I425" s="4"/>
      <c r="J425" s="4" t="s">
        <v>20</v>
      </c>
      <c r="K425"/>
    </row>
    <row r="426" spans="1:11" ht="16" x14ac:dyDescent="0.2">
      <c r="A426" s="6" t="s">
        <v>893</v>
      </c>
      <c r="B426" s="6" t="s">
        <v>894</v>
      </c>
      <c r="C426" s="4" t="b">
        <v>0</v>
      </c>
      <c r="D426" s="4" t="b">
        <v>0</v>
      </c>
      <c r="E426" s="4" t="b">
        <v>0</v>
      </c>
      <c r="F426" s="4"/>
      <c r="G426" s="4" t="b">
        <f t="shared" si="6"/>
        <v>0</v>
      </c>
      <c r="H426" s="4"/>
      <c r="I426" s="4"/>
      <c r="J426" s="4" t="s">
        <v>20</v>
      </c>
      <c r="K426"/>
    </row>
    <row r="427" spans="1:11" ht="16" x14ac:dyDescent="0.2">
      <c r="A427" s="6" t="s">
        <v>895</v>
      </c>
      <c r="B427" s="6" t="s">
        <v>896</v>
      </c>
      <c r="C427" s="4" t="b">
        <v>0</v>
      </c>
      <c r="D427" s="4" t="b">
        <v>0</v>
      </c>
      <c r="E427" s="4" t="b">
        <v>0</v>
      </c>
      <c r="F427" s="4"/>
      <c r="G427" s="4" t="b">
        <f t="shared" si="6"/>
        <v>0</v>
      </c>
      <c r="H427" s="4"/>
      <c r="I427" s="4"/>
      <c r="J427" s="4" t="s">
        <v>20</v>
      </c>
      <c r="K427"/>
    </row>
    <row r="428" spans="1:11" ht="16" x14ac:dyDescent="0.2">
      <c r="A428" s="6" t="s">
        <v>897</v>
      </c>
      <c r="B428" s="6" t="s">
        <v>898</v>
      </c>
      <c r="C428" s="4" t="b">
        <v>0</v>
      </c>
      <c r="D428" s="4" t="b">
        <v>0</v>
      </c>
      <c r="E428" s="4" t="b">
        <v>0</v>
      </c>
      <c r="F428" s="4"/>
      <c r="G428" s="4" t="b">
        <f t="shared" si="6"/>
        <v>0</v>
      </c>
      <c r="H428" s="4"/>
      <c r="I428" s="4"/>
      <c r="J428" s="4" t="s">
        <v>20</v>
      </c>
      <c r="K428"/>
    </row>
    <row r="429" spans="1:11" ht="16" x14ac:dyDescent="0.2">
      <c r="A429" s="6" t="s">
        <v>899</v>
      </c>
      <c r="B429" s="6" t="s">
        <v>900</v>
      </c>
      <c r="C429" s="4" t="b">
        <v>0</v>
      </c>
      <c r="D429" s="4" t="b">
        <v>0</v>
      </c>
      <c r="E429" s="4" t="b">
        <v>0</v>
      </c>
      <c r="F429" s="4"/>
      <c r="G429" s="4" t="b">
        <f t="shared" si="6"/>
        <v>0</v>
      </c>
      <c r="H429" s="4"/>
      <c r="I429" s="4"/>
      <c r="J429" s="4" t="s">
        <v>20</v>
      </c>
      <c r="K429"/>
    </row>
    <row r="430" spans="1:11" ht="16" x14ac:dyDescent="0.2">
      <c r="A430" s="6" t="s">
        <v>901</v>
      </c>
      <c r="B430" s="6" t="s">
        <v>902</v>
      </c>
      <c r="C430" s="4" t="b">
        <v>0</v>
      </c>
      <c r="D430" s="4" t="b">
        <v>0</v>
      </c>
      <c r="E430" s="4" t="b">
        <v>0</v>
      </c>
      <c r="F430" s="4"/>
      <c r="G430" s="4" t="b">
        <f t="shared" si="6"/>
        <v>0</v>
      </c>
      <c r="H430" s="4"/>
      <c r="I430" s="4"/>
      <c r="J430" s="4" t="s">
        <v>20</v>
      </c>
      <c r="K430"/>
    </row>
    <row r="431" spans="1:11" ht="16" x14ac:dyDescent="0.2">
      <c r="A431" s="6" t="s">
        <v>903</v>
      </c>
      <c r="B431" s="6" t="s">
        <v>904</v>
      </c>
      <c r="C431" s="4" t="b">
        <v>0</v>
      </c>
      <c r="D431" s="4" t="b">
        <v>0</v>
      </c>
      <c r="E431" s="4" t="b">
        <v>0</v>
      </c>
      <c r="F431" s="4"/>
      <c r="G431" s="4" t="b">
        <f t="shared" si="6"/>
        <v>0</v>
      </c>
      <c r="H431" s="4"/>
      <c r="I431" s="4"/>
      <c r="J431" s="4" t="s">
        <v>20</v>
      </c>
      <c r="K431"/>
    </row>
    <row r="432" spans="1:11" ht="16" x14ac:dyDescent="0.2">
      <c r="A432" s="6" t="s">
        <v>905</v>
      </c>
      <c r="B432" s="6" t="s">
        <v>906</v>
      </c>
      <c r="C432" s="4" t="b">
        <v>0</v>
      </c>
      <c r="D432" s="4" t="b">
        <v>0</v>
      </c>
      <c r="E432" s="4" t="b">
        <v>1</v>
      </c>
      <c r="F432" s="4"/>
      <c r="G432" s="4" t="b">
        <f t="shared" si="6"/>
        <v>0</v>
      </c>
      <c r="H432" s="4"/>
      <c r="I432" s="4"/>
      <c r="J432" s="4" t="s">
        <v>20</v>
      </c>
      <c r="K432"/>
    </row>
    <row r="433" spans="1:11" ht="16" x14ac:dyDescent="0.2">
      <c r="A433" s="6" t="s">
        <v>907</v>
      </c>
      <c r="B433" s="6" t="s">
        <v>908</v>
      </c>
      <c r="C433" s="4" t="b">
        <v>0</v>
      </c>
      <c r="D433" s="4" t="b">
        <v>0</v>
      </c>
      <c r="E433" s="4" t="b">
        <v>0</v>
      </c>
      <c r="F433" s="4"/>
      <c r="G433" s="4" t="b">
        <f t="shared" si="6"/>
        <v>0</v>
      </c>
      <c r="H433" s="4"/>
      <c r="I433" s="4"/>
      <c r="J433" s="4" t="s">
        <v>20</v>
      </c>
      <c r="K433"/>
    </row>
    <row r="434" spans="1:11" ht="16" x14ac:dyDescent="0.2">
      <c r="A434" s="6" t="s">
        <v>909</v>
      </c>
      <c r="B434" s="6" t="s">
        <v>910</v>
      </c>
      <c r="C434" s="4" t="b">
        <v>0</v>
      </c>
      <c r="D434" s="4" t="b">
        <v>0</v>
      </c>
      <c r="E434" s="4" t="b">
        <v>0</v>
      </c>
      <c r="F434" s="4"/>
      <c r="G434" s="4" t="b">
        <f t="shared" si="6"/>
        <v>0</v>
      </c>
      <c r="H434" s="4"/>
      <c r="I434" s="4"/>
      <c r="J434" s="4" t="s">
        <v>20</v>
      </c>
      <c r="K434"/>
    </row>
    <row r="435" spans="1:11" ht="16" x14ac:dyDescent="0.2">
      <c r="A435" s="6" t="s">
        <v>911</v>
      </c>
      <c r="B435" s="6" t="s">
        <v>912</v>
      </c>
      <c r="C435" s="4" t="b">
        <v>0</v>
      </c>
      <c r="D435" s="4" t="b">
        <v>0</v>
      </c>
      <c r="E435" s="4" t="b">
        <v>1</v>
      </c>
      <c r="F435" s="4"/>
      <c r="G435" s="4" t="b">
        <f t="shared" si="6"/>
        <v>0</v>
      </c>
      <c r="H435" s="4"/>
      <c r="I435" s="4"/>
      <c r="J435" s="4" t="s">
        <v>20</v>
      </c>
      <c r="K435"/>
    </row>
    <row r="436" spans="1:11" ht="16" x14ac:dyDescent="0.2">
      <c r="A436" s="6" t="s">
        <v>913</v>
      </c>
      <c r="B436" s="6" t="s">
        <v>914</v>
      </c>
      <c r="C436" s="4" t="b">
        <v>0</v>
      </c>
      <c r="D436" s="4" t="b">
        <v>0</v>
      </c>
      <c r="E436" s="4" t="b">
        <v>0</v>
      </c>
      <c r="F436" s="4"/>
      <c r="G436" s="4" t="b">
        <f t="shared" si="6"/>
        <v>0</v>
      </c>
      <c r="H436" s="4"/>
      <c r="I436" s="4"/>
      <c r="J436" s="4" t="s">
        <v>20</v>
      </c>
      <c r="K436"/>
    </row>
    <row r="437" spans="1:11" ht="16" x14ac:dyDescent="0.2">
      <c r="A437" s="6" t="s">
        <v>915</v>
      </c>
      <c r="B437" s="6" t="s">
        <v>916</v>
      </c>
      <c r="C437" s="4" t="b">
        <v>0</v>
      </c>
      <c r="D437" s="4" t="b">
        <v>0</v>
      </c>
      <c r="E437" s="4" t="b">
        <v>0</v>
      </c>
      <c r="F437" s="4"/>
      <c r="G437" s="4" t="b">
        <f t="shared" si="6"/>
        <v>0</v>
      </c>
      <c r="H437" s="4"/>
      <c r="I437" s="4"/>
      <c r="J437" s="4" t="s">
        <v>20</v>
      </c>
      <c r="K437"/>
    </row>
    <row r="438" spans="1:11" ht="16" x14ac:dyDescent="0.2">
      <c r="A438" s="6" t="s">
        <v>917</v>
      </c>
      <c r="B438" s="6" t="s">
        <v>918</v>
      </c>
      <c r="C438" s="4" t="b">
        <v>0</v>
      </c>
      <c r="D438" s="4" t="b">
        <v>0</v>
      </c>
      <c r="E438" s="4" t="b">
        <v>0</v>
      </c>
      <c r="F438" s="4"/>
      <c r="G438" s="4" t="b">
        <f t="shared" si="6"/>
        <v>0</v>
      </c>
      <c r="H438" s="4"/>
      <c r="I438" s="4"/>
      <c r="J438" s="4" t="s">
        <v>20</v>
      </c>
      <c r="K438"/>
    </row>
    <row r="439" spans="1:11" ht="176" x14ac:dyDescent="0.2">
      <c r="A439" s="6" t="s">
        <v>919</v>
      </c>
      <c r="B439" s="6" t="s">
        <v>920</v>
      </c>
      <c r="C439" s="4" t="b">
        <v>1</v>
      </c>
      <c r="D439" s="4" t="b">
        <v>1</v>
      </c>
      <c r="E439" s="4" t="b">
        <v>1</v>
      </c>
      <c r="F439" s="4" t="s">
        <v>12</v>
      </c>
      <c r="G439" s="4" t="b">
        <f t="shared" si="6"/>
        <v>1</v>
      </c>
      <c r="H439" s="4" t="s">
        <v>3167</v>
      </c>
      <c r="I439" s="4"/>
      <c r="J439" s="4" t="s">
        <v>20</v>
      </c>
    </row>
    <row r="440" spans="1:11" ht="112" x14ac:dyDescent="0.2">
      <c r="A440" s="6" t="s">
        <v>921</v>
      </c>
      <c r="B440" s="6" t="s">
        <v>922</v>
      </c>
      <c r="C440" s="4" t="b">
        <v>1</v>
      </c>
      <c r="D440" s="4" t="b">
        <v>0</v>
      </c>
      <c r="E440" s="4" t="b">
        <v>1</v>
      </c>
      <c r="F440" s="4" t="s">
        <v>12</v>
      </c>
      <c r="G440" s="4" t="b">
        <f t="shared" si="6"/>
        <v>1</v>
      </c>
      <c r="H440" s="4" t="s">
        <v>3164</v>
      </c>
      <c r="I440" s="4"/>
      <c r="J440" s="4" t="s">
        <v>20</v>
      </c>
    </row>
    <row r="441" spans="1:11" ht="16" x14ac:dyDescent="0.2">
      <c r="A441" s="6" t="s">
        <v>923</v>
      </c>
      <c r="B441" s="6" t="s">
        <v>924</v>
      </c>
      <c r="C441" s="4" t="b">
        <v>0</v>
      </c>
      <c r="D441" s="4" t="b">
        <v>0</v>
      </c>
      <c r="E441" s="4" t="b">
        <v>1</v>
      </c>
      <c r="F441" s="4"/>
      <c r="G441" s="4" t="b">
        <f t="shared" si="6"/>
        <v>0</v>
      </c>
      <c r="H441" s="4"/>
      <c r="I441" s="4"/>
      <c r="J441" s="4" t="s">
        <v>20</v>
      </c>
      <c r="K441"/>
    </row>
    <row r="442" spans="1:11" ht="16" x14ac:dyDescent="0.2">
      <c r="A442" s="6" t="s">
        <v>925</v>
      </c>
      <c r="B442" s="6" t="s">
        <v>926</v>
      </c>
      <c r="C442" s="4" t="b">
        <v>0</v>
      </c>
      <c r="D442" s="4" t="b">
        <v>0</v>
      </c>
      <c r="E442" s="4" t="b">
        <v>0</v>
      </c>
      <c r="F442" s="4"/>
      <c r="G442" s="4" t="b">
        <f t="shared" si="6"/>
        <v>0</v>
      </c>
      <c r="H442" s="4"/>
      <c r="I442" s="4"/>
      <c r="J442" s="4" t="s">
        <v>20</v>
      </c>
      <c r="K442"/>
    </row>
    <row r="443" spans="1:11" ht="64" x14ac:dyDescent="0.2">
      <c r="A443" s="6" t="s">
        <v>927</v>
      </c>
      <c r="B443" s="6" t="s">
        <v>928</v>
      </c>
      <c r="C443" s="4" t="b">
        <v>1</v>
      </c>
      <c r="D443" s="4" t="b">
        <v>0</v>
      </c>
      <c r="E443" s="4" t="b">
        <v>1</v>
      </c>
      <c r="F443" s="4" t="s">
        <v>12</v>
      </c>
      <c r="G443" s="4" t="b">
        <f t="shared" si="6"/>
        <v>1</v>
      </c>
      <c r="H443" s="4" t="s">
        <v>3162</v>
      </c>
      <c r="I443" s="4"/>
      <c r="J443" s="4" t="s">
        <v>20</v>
      </c>
    </row>
    <row r="444" spans="1:11" ht="16" x14ac:dyDescent="0.2">
      <c r="A444" s="6" t="s">
        <v>929</v>
      </c>
      <c r="B444" s="6" t="s">
        <v>930</v>
      </c>
      <c r="C444" s="4" t="b">
        <v>0</v>
      </c>
      <c r="D444" s="4" t="b">
        <v>0</v>
      </c>
      <c r="E444" s="4" t="b">
        <v>1</v>
      </c>
      <c r="F444" s="4" t="s">
        <v>12</v>
      </c>
      <c r="G444" s="4" t="b">
        <f t="shared" si="6"/>
        <v>1</v>
      </c>
      <c r="H444" s="4" t="s">
        <v>3161</v>
      </c>
      <c r="I444" s="4"/>
      <c r="J444" s="4" t="s">
        <v>20</v>
      </c>
    </row>
    <row r="445" spans="1:11" ht="48" x14ac:dyDescent="0.2">
      <c r="A445" s="6" t="s">
        <v>931</v>
      </c>
      <c r="B445" s="6" t="s">
        <v>932</v>
      </c>
      <c r="C445" s="4" t="b">
        <v>1</v>
      </c>
      <c r="D445" s="4" t="b">
        <v>0</v>
      </c>
      <c r="E445" s="4" t="b">
        <v>1</v>
      </c>
      <c r="F445" s="4" t="s">
        <v>12</v>
      </c>
      <c r="G445" s="4" t="b">
        <f t="shared" si="6"/>
        <v>1</v>
      </c>
      <c r="H445" s="4" t="s">
        <v>3272</v>
      </c>
      <c r="I445" s="4"/>
      <c r="J445" s="4" t="s">
        <v>98</v>
      </c>
      <c r="K445"/>
    </row>
    <row r="446" spans="1:11" ht="16" x14ac:dyDescent="0.2">
      <c r="A446" s="6" t="s">
        <v>933</v>
      </c>
      <c r="B446" s="6" t="s">
        <v>934</v>
      </c>
      <c r="C446" s="4" t="b">
        <v>0</v>
      </c>
      <c r="D446" s="4" t="b">
        <v>0</v>
      </c>
      <c r="E446" s="4" t="b">
        <v>1</v>
      </c>
      <c r="F446" s="4"/>
      <c r="G446" s="4" t="b">
        <f t="shared" si="6"/>
        <v>0</v>
      </c>
      <c r="H446" s="4"/>
      <c r="I446" s="4"/>
      <c r="J446" s="4" t="s">
        <v>98</v>
      </c>
      <c r="K446"/>
    </row>
    <row r="447" spans="1:11" ht="16" x14ac:dyDescent="0.2">
      <c r="A447" s="6" t="s">
        <v>935</v>
      </c>
      <c r="B447" s="6" t="s">
        <v>936</v>
      </c>
      <c r="C447" s="4" t="b">
        <v>0</v>
      </c>
      <c r="D447" s="4" t="b">
        <v>0</v>
      </c>
      <c r="E447" s="4" t="b">
        <v>1</v>
      </c>
      <c r="F447" s="4"/>
      <c r="G447" s="4" t="b">
        <f t="shared" si="6"/>
        <v>0</v>
      </c>
      <c r="H447" s="4"/>
      <c r="I447" s="4"/>
      <c r="J447" s="4" t="s">
        <v>98</v>
      </c>
      <c r="K447"/>
    </row>
    <row r="448" spans="1:11" ht="16" x14ac:dyDescent="0.2">
      <c r="A448" s="6" t="s">
        <v>937</v>
      </c>
      <c r="B448" s="6" t="s">
        <v>938</v>
      </c>
      <c r="C448" s="4" t="b">
        <v>0</v>
      </c>
      <c r="D448" s="4" t="b">
        <v>0</v>
      </c>
      <c r="E448" s="4" t="b">
        <v>0</v>
      </c>
      <c r="F448" s="4"/>
      <c r="G448" s="4" t="b">
        <f t="shared" si="6"/>
        <v>0</v>
      </c>
      <c r="H448" s="4"/>
      <c r="I448" s="4"/>
      <c r="J448" s="4" t="s">
        <v>98</v>
      </c>
      <c r="K448"/>
    </row>
    <row r="449" spans="1:10" customFormat="1" ht="48" x14ac:dyDescent="0.2">
      <c r="A449" s="6" t="s">
        <v>939</v>
      </c>
      <c r="B449" s="6" t="s">
        <v>940</v>
      </c>
      <c r="C449" s="4" t="b">
        <v>1</v>
      </c>
      <c r="D449" s="4" t="b">
        <v>0</v>
      </c>
      <c r="E449" s="4" t="b">
        <v>1</v>
      </c>
      <c r="F449" s="4" t="s">
        <v>12</v>
      </c>
      <c r="G449" s="4" t="b">
        <f t="shared" si="6"/>
        <v>1</v>
      </c>
      <c r="H449" s="4" t="s">
        <v>3273</v>
      </c>
      <c r="I449" s="4"/>
      <c r="J449" s="4" t="s">
        <v>98</v>
      </c>
    </row>
    <row r="450" spans="1:10" customFormat="1" ht="16" x14ac:dyDescent="0.2">
      <c r="A450" s="6" t="s">
        <v>941</v>
      </c>
      <c r="B450" s="6" t="s">
        <v>942</v>
      </c>
      <c r="C450" s="4" t="b">
        <v>0</v>
      </c>
      <c r="D450" s="4" t="b">
        <v>0</v>
      </c>
      <c r="E450" s="4" t="b">
        <v>0</v>
      </c>
      <c r="F450" s="4"/>
      <c r="G450" s="4" t="b">
        <f t="shared" ref="G450:G513" si="7">IF(F450="✔", TRUE, FALSE)</f>
        <v>0</v>
      </c>
      <c r="H450" s="4"/>
      <c r="I450" s="4"/>
      <c r="J450" s="4" t="s">
        <v>98</v>
      </c>
    </row>
    <row r="451" spans="1:10" customFormat="1" ht="16" x14ac:dyDescent="0.2">
      <c r="A451" s="6" t="s">
        <v>943</v>
      </c>
      <c r="B451" s="6" t="s">
        <v>944</v>
      </c>
      <c r="C451" s="4" t="b">
        <v>0</v>
      </c>
      <c r="D451" s="4" t="b">
        <v>0</v>
      </c>
      <c r="E451" s="4" t="b">
        <v>0</v>
      </c>
      <c r="F451" s="4"/>
      <c r="G451" s="4" t="b">
        <f t="shared" si="7"/>
        <v>0</v>
      </c>
      <c r="H451" s="4"/>
      <c r="I451" s="4"/>
      <c r="J451" s="4" t="s">
        <v>98</v>
      </c>
    </row>
    <row r="452" spans="1:10" customFormat="1" ht="16" x14ac:dyDescent="0.2">
      <c r="A452" s="6" t="s">
        <v>945</v>
      </c>
      <c r="B452" s="6" t="s">
        <v>946</v>
      </c>
      <c r="C452" s="4" t="b">
        <v>0</v>
      </c>
      <c r="D452" s="4" t="b">
        <v>0</v>
      </c>
      <c r="E452" s="4" t="b">
        <v>0</v>
      </c>
      <c r="F452" s="4"/>
      <c r="G452" s="4" t="b">
        <f t="shared" si="7"/>
        <v>0</v>
      </c>
      <c r="H452" s="4"/>
      <c r="I452" s="4"/>
      <c r="J452" s="4" t="s">
        <v>98</v>
      </c>
    </row>
    <row r="453" spans="1:10" customFormat="1" ht="16" x14ac:dyDescent="0.2">
      <c r="A453" s="6" t="s">
        <v>947</v>
      </c>
      <c r="B453" s="6" t="s">
        <v>948</v>
      </c>
      <c r="C453" s="4" t="b">
        <v>0</v>
      </c>
      <c r="D453" s="4" t="b">
        <v>0</v>
      </c>
      <c r="E453" s="4" t="b">
        <v>0</v>
      </c>
      <c r="F453" s="4"/>
      <c r="G453" s="4" t="b">
        <f t="shared" si="7"/>
        <v>0</v>
      </c>
      <c r="H453" s="4"/>
      <c r="I453" s="4"/>
      <c r="J453" s="4" t="s">
        <v>98</v>
      </c>
    </row>
    <row r="454" spans="1:10" customFormat="1" ht="64" x14ac:dyDescent="0.2">
      <c r="A454" s="6" t="s">
        <v>949</v>
      </c>
      <c r="B454" s="6" t="s">
        <v>950</v>
      </c>
      <c r="C454" s="4" t="b">
        <v>1</v>
      </c>
      <c r="D454" s="4" t="b">
        <v>0</v>
      </c>
      <c r="E454" s="4" t="b">
        <v>1</v>
      </c>
      <c r="F454" s="4" t="s">
        <v>12</v>
      </c>
      <c r="G454" s="4" t="b">
        <f t="shared" si="7"/>
        <v>1</v>
      </c>
      <c r="H454" s="4" t="s">
        <v>3380</v>
      </c>
      <c r="I454" s="4"/>
      <c r="J454" s="4" t="s">
        <v>98</v>
      </c>
    </row>
    <row r="455" spans="1:10" customFormat="1" ht="16" x14ac:dyDescent="0.2">
      <c r="A455" s="6" t="s">
        <v>951</v>
      </c>
      <c r="B455" s="6" t="s">
        <v>952</v>
      </c>
      <c r="C455" s="4" t="b">
        <v>0</v>
      </c>
      <c r="D455" s="4" t="b">
        <v>0</v>
      </c>
      <c r="E455" s="4" t="b">
        <v>1</v>
      </c>
      <c r="F455" s="4"/>
      <c r="G455" s="4" t="b">
        <f t="shared" si="7"/>
        <v>0</v>
      </c>
      <c r="H455" s="4"/>
      <c r="I455" s="4"/>
      <c r="J455" s="4" t="s">
        <v>98</v>
      </c>
    </row>
    <row r="456" spans="1:10" customFormat="1" ht="80" x14ac:dyDescent="0.2">
      <c r="A456" s="6" t="s">
        <v>953</v>
      </c>
      <c r="B456" s="6" t="s">
        <v>954</v>
      </c>
      <c r="C456" s="4" t="b">
        <v>1</v>
      </c>
      <c r="D456" s="4" t="b">
        <v>0</v>
      </c>
      <c r="E456" s="4" t="b">
        <v>1</v>
      </c>
      <c r="F456" s="4" t="s">
        <v>12</v>
      </c>
      <c r="G456" s="4" t="b">
        <f t="shared" si="7"/>
        <v>1</v>
      </c>
      <c r="H456" s="4" t="s">
        <v>3379</v>
      </c>
      <c r="I456" s="4"/>
      <c r="J456" s="4" t="s">
        <v>98</v>
      </c>
    </row>
    <row r="457" spans="1:10" customFormat="1" ht="16" x14ac:dyDescent="0.2">
      <c r="A457" s="6" t="s">
        <v>955</v>
      </c>
      <c r="B457" s="6" t="s">
        <v>956</v>
      </c>
      <c r="C457" s="4" t="b">
        <v>0</v>
      </c>
      <c r="D457" s="4" t="b">
        <v>0</v>
      </c>
      <c r="E457" s="4" t="b">
        <v>0</v>
      </c>
      <c r="F457" s="4"/>
      <c r="G457" s="4" t="b">
        <f t="shared" si="7"/>
        <v>0</v>
      </c>
      <c r="H457" s="4"/>
      <c r="I457" s="4"/>
      <c r="J457" s="4" t="s">
        <v>98</v>
      </c>
    </row>
    <row r="458" spans="1:10" customFormat="1" ht="16" x14ac:dyDescent="0.2">
      <c r="A458" s="6" t="s">
        <v>957</v>
      </c>
      <c r="B458" s="6" t="s">
        <v>958</v>
      </c>
      <c r="C458" s="4" t="b">
        <v>0</v>
      </c>
      <c r="D458" s="4" t="b">
        <v>0</v>
      </c>
      <c r="E458" s="4" t="b">
        <v>1</v>
      </c>
      <c r="F458" s="4"/>
      <c r="G458" s="4" t="b">
        <f t="shared" si="7"/>
        <v>0</v>
      </c>
      <c r="H458" s="4"/>
      <c r="I458" s="4"/>
      <c r="J458" s="4" t="s">
        <v>98</v>
      </c>
    </row>
    <row r="459" spans="1:10" customFormat="1" ht="256" x14ac:dyDescent="0.2">
      <c r="A459" s="6" t="s">
        <v>959</v>
      </c>
      <c r="B459" s="6" t="s">
        <v>960</v>
      </c>
      <c r="C459" s="4" t="b">
        <v>1</v>
      </c>
      <c r="D459" s="4" t="b">
        <v>0</v>
      </c>
      <c r="E459" s="4" t="b">
        <v>1</v>
      </c>
      <c r="F459" s="4" t="s">
        <v>12</v>
      </c>
      <c r="G459" s="4" t="b">
        <f t="shared" si="7"/>
        <v>1</v>
      </c>
      <c r="H459" s="4" t="s">
        <v>3378</v>
      </c>
      <c r="I459" s="4"/>
      <c r="J459" s="4" t="s">
        <v>98</v>
      </c>
    </row>
    <row r="460" spans="1:10" customFormat="1" ht="16" x14ac:dyDescent="0.2">
      <c r="A460" s="6" t="s">
        <v>961</v>
      </c>
      <c r="B460" s="6" t="s">
        <v>962</v>
      </c>
      <c r="C460" s="4" t="b">
        <v>0</v>
      </c>
      <c r="D460" s="4" t="b">
        <v>0</v>
      </c>
      <c r="E460" s="4" t="b">
        <v>1</v>
      </c>
      <c r="F460" s="4"/>
      <c r="G460" s="4" t="b">
        <f t="shared" si="7"/>
        <v>0</v>
      </c>
      <c r="H460" s="4"/>
      <c r="I460" s="4"/>
      <c r="J460" s="4" t="s">
        <v>98</v>
      </c>
    </row>
    <row r="461" spans="1:10" customFormat="1" ht="16" x14ac:dyDescent="0.2">
      <c r="A461" s="6" t="s">
        <v>963</v>
      </c>
      <c r="B461" s="6" t="s">
        <v>964</v>
      </c>
      <c r="C461" s="4" t="b">
        <v>0</v>
      </c>
      <c r="D461" s="4" t="b">
        <v>0</v>
      </c>
      <c r="E461" s="4" t="b">
        <v>0</v>
      </c>
      <c r="F461" s="4"/>
      <c r="G461" s="4" t="b">
        <f t="shared" si="7"/>
        <v>0</v>
      </c>
      <c r="H461" s="4"/>
      <c r="I461" s="4"/>
      <c r="J461" s="4" t="s">
        <v>98</v>
      </c>
    </row>
    <row r="462" spans="1:10" customFormat="1" ht="32" x14ac:dyDescent="0.2">
      <c r="A462" s="6" t="s">
        <v>965</v>
      </c>
      <c r="B462" s="6" t="s">
        <v>966</v>
      </c>
      <c r="C462" s="4" t="b">
        <v>0</v>
      </c>
      <c r="D462" s="4" t="b">
        <v>0</v>
      </c>
      <c r="E462" s="4" t="b">
        <v>1</v>
      </c>
      <c r="F462" s="4" t="s">
        <v>12</v>
      </c>
      <c r="G462" s="4" t="b">
        <f t="shared" si="7"/>
        <v>1</v>
      </c>
      <c r="H462" s="4" t="s">
        <v>3377</v>
      </c>
      <c r="I462" s="4"/>
      <c r="J462" s="4" t="s">
        <v>98</v>
      </c>
    </row>
    <row r="463" spans="1:10" customFormat="1" ht="192" x14ac:dyDescent="0.2">
      <c r="A463" s="6" t="s">
        <v>967</v>
      </c>
      <c r="B463" s="6" t="s">
        <v>968</v>
      </c>
      <c r="C463" s="4" t="b">
        <v>1</v>
      </c>
      <c r="D463" s="4" t="b">
        <v>1</v>
      </c>
      <c r="E463" s="4" t="b">
        <v>1</v>
      </c>
      <c r="F463" s="4" t="s">
        <v>12</v>
      </c>
      <c r="G463" s="4" t="b">
        <f t="shared" si="7"/>
        <v>1</v>
      </c>
      <c r="H463" s="4" t="s">
        <v>3376</v>
      </c>
      <c r="I463" s="4"/>
      <c r="J463" s="4" t="s">
        <v>98</v>
      </c>
    </row>
    <row r="464" spans="1:10" customFormat="1" ht="16" x14ac:dyDescent="0.2">
      <c r="A464" s="6" t="s">
        <v>969</v>
      </c>
      <c r="B464" s="6" t="s">
        <v>970</v>
      </c>
      <c r="C464" s="4" t="b">
        <v>0</v>
      </c>
      <c r="D464" s="4" t="b">
        <v>0</v>
      </c>
      <c r="E464" s="4" t="b">
        <v>0</v>
      </c>
      <c r="F464" s="4"/>
      <c r="G464" s="4" t="b">
        <f t="shared" si="7"/>
        <v>0</v>
      </c>
      <c r="H464" s="4"/>
      <c r="I464" s="4"/>
      <c r="J464" s="4" t="s">
        <v>98</v>
      </c>
    </row>
    <row r="465" spans="1:10" customFormat="1" ht="16" x14ac:dyDescent="0.2">
      <c r="A465" s="6" t="s">
        <v>971</v>
      </c>
      <c r="B465" s="6" t="s">
        <v>972</v>
      </c>
      <c r="C465" s="4" t="b">
        <v>0</v>
      </c>
      <c r="D465" s="4" t="b">
        <v>0</v>
      </c>
      <c r="E465" s="4" t="b">
        <v>0</v>
      </c>
      <c r="F465" s="4"/>
      <c r="G465" s="4" t="b">
        <f t="shared" si="7"/>
        <v>0</v>
      </c>
      <c r="H465" s="4"/>
      <c r="I465" s="4"/>
      <c r="J465" s="4" t="s">
        <v>98</v>
      </c>
    </row>
    <row r="466" spans="1:10" customFormat="1" ht="128" x14ac:dyDescent="0.2">
      <c r="A466" s="6" t="s">
        <v>973</v>
      </c>
      <c r="B466" s="6" t="s">
        <v>974</v>
      </c>
      <c r="C466" s="4" t="b">
        <v>1</v>
      </c>
      <c r="D466" s="4" t="b">
        <v>0</v>
      </c>
      <c r="E466" s="4" t="b">
        <v>1</v>
      </c>
      <c r="F466" s="4" t="s">
        <v>12</v>
      </c>
      <c r="G466" s="4" t="b">
        <f t="shared" si="7"/>
        <v>1</v>
      </c>
      <c r="H466" s="4" t="s">
        <v>3375</v>
      </c>
      <c r="I466" s="4"/>
      <c r="J466" s="4" t="s">
        <v>98</v>
      </c>
    </row>
    <row r="467" spans="1:10" customFormat="1" ht="16" x14ac:dyDescent="0.2">
      <c r="A467" s="6" t="s">
        <v>975</v>
      </c>
      <c r="B467" s="6" t="s">
        <v>976</v>
      </c>
      <c r="C467" s="4" t="b">
        <v>0</v>
      </c>
      <c r="D467" s="4" t="b">
        <v>0</v>
      </c>
      <c r="E467" s="4" t="b">
        <v>0</v>
      </c>
      <c r="F467" s="4"/>
      <c r="G467" s="4" t="b">
        <f t="shared" si="7"/>
        <v>0</v>
      </c>
      <c r="H467" s="4"/>
      <c r="I467" s="4"/>
      <c r="J467" s="4" t="s">
        <v>98</v>
      </c>
    </row>
    <row r="468" spans="1:10" customFormat="1" ht="144" x14ac:dyDescent="0.2">
      <c r="A468" s="6" t="s">
        <v>977</v>
      </c>
      <c r="B468" s="6" t="s">
        <v>978</v>
      </c>
      <c r="C468" s="4" t="b">
        <v>1</v>
      </c>
      <c r="D468" s="4" t="b">
        <v>0</v>
      </c>
      <c r="E468" s="4" t="b">
        <v>1</v>
      </c>
      <c r="F468" s="4" t="s">
        <v>12</v>
      </c>
      <c r="G468" s="4" t="b">
        <f t="shared" si="7"/>
        <v>1</v>
      </c>
      <c r="H468" s="4" t="s">
        <v>3374</v>
      </c>
      <c r="I468" s="4"/>
      <c r="J468" s="4" t="s">
        <v>98</v>
      </c>
    </row>
    <row r="469" spans="1:10" customFormat="1" ht="80" x14ac:dyDescent="0.2">
      <c r="A469" s="6" t="s">
        <v>979</v>
      </c>
      <c r="B469" s="6" t="s">
        <v>980</v>
      </c>
      <c r="C469" s="4" t="b">
        <v>1</v>
      </c>
      <c r="D469" s="4" t="b">
        <v>0</v>
      </c>
      <c r="E469" s="4" t="b">
        <v>1</v>
      </c>
      <c r="F469" s="4" t="s">
        <v>12</v>
      </c>
      <c r="G469" s="4" t="b">
        <f t="shared" si="7"/>
        <v>1</v>
      </c>
      <c r="H469" s="4" t="s">
        <v>3373</v>
      </c>
      <c r="I469" s="4"/>
      <c r="J469" s="4" t="s">
        <v>98</v>
      </c>
    </row>
    <row r="470" spans="1:10" customFormat="1" ht="16" x14ac:dyDescent="0.2">
      <c r="A470" s="6" t="s">
        <v>981</v>
      </c>
      <c r="B470" s="6" t="s">
        <v>982</v>
      </c>
      <c r="C470" s="4" t="b">
        <v>0</v>
      </c>
      <c r="D470" s="4" t="b">
        <v>0</v>
      </c>
      <c r="E470" s="4" t="b">
        <v>0</v>
      </c>
      <c r="F470" s="4"/>
      <c r="G470" s="4" t="b">
        <f t="shared" si="7"/>
        <v>0</v>
      </c>
      <c r="H470" s="4"/>
      <c r="I470" s="4"/>
      <c r="J470" s="4" t="s">
        <v>98</v>
      </c>
    </row>
    <row r="471" spans="1:10" customFormat="1" ht="16" x14ac:dyDescent="0.2">
      <c r="A471" s="6" t="s">
        <v>983</v>
      </c>
      <c r="B471" s="6" t="s">
        <v>984</v>
      </c>
      <c r="C471" s="4" t="b">
        <v>0</v>
      </c>
      <c r="D471" s="4" t="b">
        <v>0</v>
      </c>
      <c r="E471" s="4" t="b">
        <v>0</v>
      </c>
      <c r="F471" s="4"/>
      <c r="G471" s="4" t="b">
        <f t="shared" si="7"/>
        <v>0</v>
      </c>
      <c r="H471" s="4"/>
      <c r="I471" s="4"/>
      <c r="J471" s="4" t="s">
        <v>98</v>
      </c>
    </row>
    <row r="472" spans="1:10" customFormat="1" ht="16" x14ac:dyDescent="0.2">
      <c r="A472" s="6" t="s">
        <v>985</v>
      </c>
      <c r="B472" s="6" t="s">
        <v>986</v>
      </c>
      <c r="C472" s="4" t="b">
        <v>0</v>
      </c>
      <c r="D472" s="4" t="b">
        <v>0</v>
      </c>
      <c r="E472" s="4" t="b">
        <v>1</v>
      </c>
      <c r="F472" s="4"/>
      <c r="G472" s="4" t="b">
        <f t="shared" si="7"/>
        <v>0</v>
      </c>
      <c r="H472" s="4"/>
      <c r="I472" s="4"/>
      <c r="J472" s="4" t="s">
        <v>98</v>
      </c>
    </row>
    <row r="473" spans="1:10" customFormat="1" ht="48" x14ac:dyDescent="0.2">
      <c r="A473" s="6" t="s">
        <v>987</v>
      </c>
      <c r="B473" s="6" t="s">
        <v>988</v>
      </c>
      <c r="C473" s="4" t="b">
        <v>1</v>
      </c>
      <c r="D473" s="4" t="b">
        <v>0</v>
      </c>
      <c r="E473" s="4" t="b">
        <v>1</v>
      </c>
      <c r="F473" s="4" t="s">
        <v>12</v>
      </c>
      <c r="G473" s="4" t="b">
        <f t="shared" si="7"/>
        <v>1</v>
      </c>
      <c r="H473" s="4" t="s">
        <v>3372</v>
      </c>
      <c r="I473" s="4"/>
      <c r="J473" s="4" t="s">
        <v>98</v>
      </c>
    </row>
    <row r="474" spans="1:10" customFormat="1" ht="16" x14ac:dyDescent="0.2">
      <c r="A474" s="6" t="s">
        <v>989</v>
      </c>
      <c r="B474" s="6" t="s">
        <v>990</v>
      </c>
      <c r="C474" s="4" t="b">
        <v>0</v>
      </c>
      <c r="D474" s="4" t="b">
        <v>0</v>
      </c>
      <c r="E474" s="4" t="b">
        <v>0</v>
      </c>
      <c r="F474" s="4"/>
      <c r="G474" s="4" t="b">
        <f t="shared" si="7"/>
        <v>0</v>
      </c>
      <c r="H474" s="4"/>
      <c r="I474" s="4"/>
      <c r="J474" s="4" t="s">
        <v>98</v>
      </c>
    </row>
    <row r="475" spans="1:10" customFormat="1" ht="16" x14ac:dyDescent="0.2">
      <c r="A475" s="6" t="s">
        <v>991</v>
      </c>
      <c r="B475" s="6" t="s">
        <v>992</v>
      </c>
      <c r="C475" s="4" t="b">
        <v>0</v>
      </c>
      <c r="D475" s="4" t="b">
        <v>0</v>
      </c>
      <c r="E475" s="4" t="b">
        <v>0</v>
      </c>
      <c r="F475" s="4"/>
      <c r="G475" s="4" t="b">
        <f t="shared" si="7"/>
        <v>0</v>
      </c>
      <c r="H475" s="4"/>
      <c r="I475" s="4"/>
      <c r="J475" s="4" t="s">
        <v>98</v>
      </c>
    </row>
    <row r="476" spans="1:10" customFormat="1" ht="112" x14ac:dyDescent="0.2">
      <c r="A476" s="6" t="s">
        <v>993</v>
      </c>
      <c r="B476" s="6" t="s">
        <v>994</v>
      </c>
      <c r="C476" s="4" t="b">
        <v>1</v>
      </c>
      <c r="D476" s="4" t="b">
        <v>0</v>
      </c>
      <c r="E476" s="4" t="b">
        <v>1</v>
      </c>
      <c r="F476" s="4" t="s">
        <v>12</v>
      </c>
      <c r="G476" s="4" t="b">
        <f t="shared" si="7"/>
        <v>1</v>
      </c>
      <c r="H476" s="4" t="s">
        <v>3371</v>
      </c>
      <c r="I476" s="4"/>
      <c r="J476" s="4" t="s">
        <v>98</v>
      </c>
    </row>
    <row r="477" spans="1:10" customFormat="1" ht="112" x14ac:dyDescent="0.2">
      <c r="A477" s="6" t="s">
        <v>995</v>
      </c>
      <c r="B477" s="6" t="s">
        <v>996</v>
      </c>
      <c r="C477" s="4" t="b">
        <v>1</v>
      </c>
      <c r="D477" s="4" t="b">
        <v>0</v>
      </c>
      <c r="E477" s="4" t="b">
        <v>1</v>
      </c>
      <c r="F477" s="4" t="s">
        <v>12</v>
      </c>
      <c r="G477" s="4" t="b">
        <f t="shared" si="7"/>
        <v>1</v>
      </c>
      <c r="H477" s="4" t="s">
        <v>3370</v>
      </c>
      <c r="I477" s="4"/>
      <c r="J477" s="4" t="s">
        <v>98</v>
      </c>
    </row>
    <row r="478" spans="1:10" customFormat="1" ht="16" x14ac:dyDescent="0.2">
      <c r="A478" s="6" t="s">
        <v>997</v>
      </c>
      <c r="B478" s="6" t="s">
        <v>998</v>
      </c>
      <c r="C478" s="4" t="b">
        <v>0</v>
      </c>
      <c r="D478" s="4" t="b">
        <v>0</v>
      </c>
      <c r="E478" s="4" t="b">
        <v>0</v>
      </c>
      <c r="F478" s="4"/>
      <c r="G478" s="4" t="b">
        <f t="shared" si="7"/>
        <v>0</v>
      </c>
      <c r="H478" s="4"/>
      <c r="I478" s="4"/>
      <c r="J478" s="4" t="s">
        <v>98</v>
      </c>
    </row>
    <row r="479" spans="1:10" customFormat="1" ht="48" x14ac:dyDescent="0.2">
      <c r="A479" s="6" t="s">
        <v>999</v>
      </c>
      <c r="B479" s="6" t="s">
        <v>1000</v>
      </c>
      <c r="C479" s="4" t="b">
        <v>1</v>
      </c>
      <c r="D479" s="4" t="b">
        <v>0</v>
      </c>
      <c r="E479" s="4" t="b">
        <v>1</v>
      </c>
      <c r="F479" s="4" t="s">
        <v>12</v>
      </c>
      <c r="G479" s="4" t="b">
        <f t="shared" si="7"/>
        <v>1</v>
      </c>
      <c r="H479" s="4" t="s">
        <v>3369</v>
      </c>
      <c r="I479" s="4"/>
      <c r="J479" s="4" t="s">
        <v>98</v>
      </c>
    </row>
    <row r="480" spans="1:10" customFormat="1" ht="16" x14ac:dyDescent="0.2">
      <c r="A480" s="6" t="s">
        <v>1001</v>
      </c>
      <c r="B480" s="6" t="s">
        <v>1002</v>
      </c>
      <c r="C480" s="4" t="b">
        <v>0</v>
      </c>
      <c r="D480" s="4" t="b">
        <v>0</v>
      </c>
      <c r="E480" s="4" t="b">
        <v>1</v>
      </c>
      <c r="F480" s="4"/>
      <c r="G480" s="4" t="b">
        <f t="shared" si="7"/>
        <v>0</v>
      </c>
      <c r="H480" s="4"/>
      <c r="I480" s="4"/>
      <c r="J480" s="4" t="s">
        <v>98</v>
      </c>
    </row>
    <row r="481" spans="1:11" ht="176" x14ac:dyDescent="0.2">
      <c r="A481" s="6" t="s">
        <v>1003</v>
      </c>
      <c r="B481" s="6" t="s">
        <v>1004</v>
      </c>
      <c r="C481" s="4" t="b">
        <v>1</v>
      </c>
      <c r="D481" s="4" t="b">
        <v>1</v>
      </c>
      <c r="E481" s="4" t="b">
        <v>1</v>
      </c>
      <c r="F481" s="4" t="s">
        <v>12</v>
      </c>
      <c r="G481" s="4" t="b">
        <f t="shared" si="7"/>
        <v>1</v>
      </c>
      <c r="H481" s="4" t="s">
        <v>3368</v>
      </c>
      <c r="I481" s="4"/>
      <c r="J481" s="4" t="s">
        <v>98</v>
      </c>
      <c r="K481"/>
    </row>
    <row r="482" spans="1:11" ht="16" x14ac:dyDescent="0.2">
      <c r="A482" s="6" t="s">
        <v>1005</v>
      </c>
      <c r="B482" s="6" t="s">
        <v>1006</v>
      </c>
      <c r="C482" s="4" t="b">
        <v>0</v>
      </c>
      <c r="D482" s="4" t="b">
        <v>0</v>
      </c>
      <c r="E482" s="4" t="b">
        <v>0</v>
      </c>
      <c r="F482" s="4"/>
      <c r="G482" s="4" t="b">
        <f t="shared" si="7"/>
        <v>0</v>
      </c>
      <c r="H482" s="4"/>
      <c r="I482" s="4"/>
      <c r="J482" s="4" t="s">
        <v>98</v>
      </c>
      <c r="K482"/>
    </row>
    <row r="483" spans="1:11" ht="48" x14ac:dyDescent="0.2">
      <c r="A483" s="6" t="s">
        <v>1007</v>
      </c>
      <c r="B483" s="6" t="s">
        <v>1008</v>
      </c>
      <c r="C483" s="4" t="b">
        <v>1</v>
      </c>
      <c r="D483" s="4" t="b">
        <v>0</v>
      </c>
      <c r="E483" s="4" t="b">
        <v>1</v>
      </c>
      <c r="F483" s="4" t="s">
        <v>12</v>
      </c>
      <c r="G483" s="4" t="b">
        <f t="shared" si="7"/>
        <v>1</v>
      </c>
      <c r="H483" s="4" t="s">
        <v>3367</v>
      </c>
      <c r="I483" s="4"/>
      <c r="J483" s="4" t="s">
        <v>98</v>
      </c>
      <c r="K483"/>
    </row>
    <row r="484" spans="1:11" ht="80" x14ac:dyDescent="0.2">
      <c r="A484" s="6" t="s">
        <v>1009</v>
      </c>
      <c r="B484" s="6" t="s">
        <v>1010</v>
      </c>
      <c r="C484" s="4" t="b">
        <v>1</v>
      </c>
      <c r="D484" s="4" t="b">
        <v>0</v>
      </c>
      <c r="E484" s="4" t="b">
        <v>1</v>
      </c>
      <c r="F484" s="4" t="s">
        <v>12</v>
      </c>
      <c r="G484" s="4" t="b">
        <f t="shared" si="7"/>
        <v>1</v>
      </c>
      <c r="H484" s="4" t="s">
        <v>3366</v>
      </c>
      <c r="I484" s="4"/>
      <c r="J484" s="4" t="s">
        <v>98</v>
      </c>
      <c r="K484"/>
    </row>
    <row r="485" spans="1:11" ht="80" x14ac:dyDescent="0.2">
      <c r="A485" s="6" t="s">
        <v>1011</v>
      </c>
      <c r="B485" s="6" t="s">
        <v>1012</v>
      </c>
      <c r="C485" s="4" t="b">
        <v>1</v>
      </c>
      <c r="D485" s="4" t="b">
        <v>0</v>
      </c>
      <c r="E485" s="4" t="b">
        <v>1</v>
      </c>
      <c r="F485" s="4" t="s">
        <v>12</v>
      </c>
      <c r="G485" s="4" t="b">
        <f t="shared" si="7"/>
        <v>1</v>
      </c>
      <c r="H485" s="4" t="s">
        <v>3366</v>
      </c>
      <c r="I485" s="4"/>
      <c r="J485" s="4" t="s">
        <v>98</v>
      </c>
      <c r="K485"/>
    </row>
    <row r="486" spans="1:11" ht="16" x14ac:dyDescent="0.2">
      <c r="A486" s="6" t="s">
        <v>1013</v>
      </c>
      <c r="B486" s="6" t="s">
        <v>1014</v>
      </c>
      <c r="C486" s="4" t="b">
        <v>0</v>
      </c>
      <c r="D486" s="4" t="b">
        <v>0</v>
      </c>
      <c r="E486" s="4" t="b">
        <v>0</v>
      </c>
      <c r="F486" s="4"/>
      <c r="G486" s="4" t="b">
        <f t="shared" si="7"/>
        <v>0</v>
      </c>
      <c r="H486" s="4"/>
      <c r="I486" s="4"/>
      <c r="J486" s="4" t="s">
        <v>98</v>
      </c>
      <c r="K486"/>
    </row>
    <row r="487" spans="1:11" ht="16" x14ac:dyDescent="0.2">
      <c r="A487" s="6" t="s">
        <v>1015</v>
      </c>
      <c r="B487" s="6" t="s">
        <v>1016</v>
      </c>
      <c r="C487" s="4" t="b">
        <v>0</v>
      </c>
      <c r="D487" s="4" t="b">
        <v>0</v>
      </c>
      <c r="E487" s="4" t="b">
        <v>0</v>
      </c>
      <c r="F487" s="4"/>
      <c r="G487" s="4" t="b">
        <f t="shared" si="7"/>
        <v>0</v>
      </c>
      <c r="H487" s="4"/>
      <c r="I487" s="4"/>
      <c r="J487" s="4" t="s">
        <v>98</v>
      </c>
      <c r="K487"/>
    </row>
    <row r="488" spans="1:11" ht="224" x14ac:dyDescent="0.2">
      <c r="A488" s="6" t="s">
        <v>1017</v>
      </c>
      <c r="B488" s="6" t="s">
        <v>1018</v>
      </c>
      <c r="C488" s="4" t="b">
        <v>1</v>
      </c>
      <c r="D488" s="4" t="b">
        <v>1</v>
      </c>
      <c r="E488" s="4" t="b">
        <v>1</v>
      </c>
      <c r="F488" s="4" t="s">
        <v>12</v>
      </c>
      <c r="G488" s="4" t="b">
        <f t="shared" si="7"/>
        <v>1</v>
      </c>
      <c r="H488" s="4" t="s">
        <v>3365</v>
      </c>
      <c r="I488" s="4"/>
      <c r="J488" s="4" t="s">
        <v>98</v>
      </c>
      <c r="K488" s="4" t="s">
        <v>2998</v>
      </c>
    </row>
    <row r="489" spans="1:11" ht="16" x14ac:dyDescent="0.2">
      <c r="A489" s="6" t="s">
        <v>1019</v>
      </c>
      <c r="B489" s="6" t="s">
        <v>1020</v>
      </c>
      <c r="C489" s="4" t="b">
        <v>0</v>
      </c>
      <c r="D489" s="4" t="b">
        <v>0</v>
      </c>
      <c r="E489" s="4" t="b">
        <v>1</v>
      </c>
      <c r="F489" s="4"/>
      <c r="G489" s="4" t="b">
        <f t="shared" si="7"/>
        <v>0</v>
      </c>
      <c r="H489" s="4"/>
      <c r="I489" s="4"/>
      <c r="J489" s="4" t="s">
        <v>98</v>
      </c>
      <c r="K489"/>
    </row>
    <row r="490" spans="1:11" ht="16" x14ac:dyDescent="0.2">
      <c r="A490" s="6" t="s">
        <v>1021</v>
      </c>
      <c r="B490" s="6" t="s">
        <v>1022</v>
      </c>
      <c r="C490" s="4" t="b">
        <v>0</v>
      </c>
      <c r="D490" s="4" t="b">
        <v>0</v>
      </c>
      <c r="E490" s="4" t="b">
        <v>1</v>
      </c>
      <c r="F490" s="4"/>
      <c r="G490" s="4" t="b">
        <f t="shared" si="7"/>
        <v>0</v>
      </c>
      <c r="H490" s="4"/>
      <c r="I490" s="4"/>
      <c r="J490" s="4" t="s">
        <v>98</v>
      </c>
      <c r="K490"/>
    </row>
    <row r="491" spans="1:11" ht="16" x14ac:dyDescent="0.2">
      <c r="A491" s="6" t="s">
        <v>1023</v>
      </c>
      <c r="B491" s="6" t="s">
        <v>1024</v>
      </c>
      <c r="C491" s="4" t="b">
        <v>0</v>
      </c>
      <c r="D491" s="4" t="b">
        <v>0</v>
      </c>
      <c r="E491" s="4" t="b">
        <v>1</v>
      </c>
      <c r="F491" s="4"/>
      <c r="G491" s="4" t="b">
        <f t="shared" si="7"/>
        <v>0</v>
      </c>
      <c r="H491" s="4"/>
      <c r="I491" s="4"/>
      <c r="J491" s="4" t="s">
        <v>98</v>
      </c>
      <c r="K491"/>
    </row>
    <row r="492" spans="1:11" ht="16" x14ac:dyDescent="0.2">
      <c r="A492" s="6" t="s">
        <v>1025</v>
      </c>
      <c r="B492" s="6" t="s">
        <v>1026</v>
      </c>
      <c r="C492" s="4" t="b">
        <v>0</v>
      </c>
      <c r="D492" s="4" t="b">
        <v>0</v>
      </c>
      <c r="E492" s="4" t="b">
        <v>0</v>
      </c>
      <c r="F492" s="4"/>
      <c r="G492" s="4" t="b">
        <f t="shared" si="7"/>
        <v>0</v>
      </c>
      <c r="H492" s="4"/>
      <c r="I492" s="4"/>
      <c r="J492" s="4" t="s">
        <v>98</v>
      </c>
      <c r="K492"/>
    </row>
    <row r="493" spans="1:11" ht="16" x14ac:dyDescent="0.2">
      <c r="A493" s="6" t="s">
        <v>1027</v>
      </c>
      <c r="B493" s="6" t="s">
        <v>1028</v>
      </c>
      <c r="C493" s="4" t="b">
        <v>0</v>
      </c>
      <c r="D493" s="4" t="b">
        <v>0</v>
      </c>
      <c r="E493" s="4" t="b">
        <v>0</v>
      </c>
      <c r="F493" s="4"/>
      <c r="G493" s="4" t="b">
        <f t="shared" si="7"/>
        <v>0</v>
      </c>
      <c r="H493" s="4"/>
      <c r="I493" s="4"/>
      <c r="J493" s="4" t="s">
        <v>98</v>
      </c>
      <c r="K493"/>
    </row>
    <row r="494" spans="1:11" ht="16" x14ac:dyDescent="0.2">
      <c r="A494" s="6" t="s">
        <v>1029</v>
      </c>
      <c r="B494" s="6" t="s">
        <v>1030</v>
      </c>
      <c r="C494" s="4" t="b">
        <v>0</v>
      </c>
      <c r="D494" s="4" t="b">
        <v>0</v>
      </c>
      <c r="E494" s="4" t="b">
        <v>0</v>
      </c>
      <c r="F494" s="4"/>
      <c r="G494" s="4" t="b">
        <f t="shared" si="7"/>
        <v>0</v>
      </c>
      <c r="H494" s="4"/>
      <c r="I494" s="4"/>
      <c r="J494" s="4" t="s">
        <v>98</v>
      </c>
      <c r="K494"/>
    </row>
    <row r="495" spans="1:11" ht="16" x14ac:dyDescent="0.2">
      <c r="A495" s="6" t="s">
        <v>1031</v>
      </c>
      <c r="B495" s="6" t="s">
        <v>1032</v>
      </c>
      <c r="C495" s="4" t="b">
        <v>0</v>
      </c>
      <c r="D495" s="4" t="b">
        <v>0</v>
      </c>
      <c r="E495" s="4" t="b">
        <v>0</v>
      </c>
      <c r="F495" s="4"/>
      <c r="G495" s="4" t="b">
        <f t="shared" si="7"/>
        <v>0</v>
      </c>
      <c r="H495" s="4"/>
      <c r="I495" s="4"/>
      <c r="J495" s="4" t="s">
        <v>98</v>
      </c>
      <c r="K495"/>
    </row>
    <row r="496" spans="1:11" ht="16" x14ac:dyDescent="0.2">
      <c r="A496" s="6" t="s">
        <v>1033</v>
      </c>
      <c r="B496" s="6" t="s">
        <v>1034</v>
      </c>
      <c r="C496" s="4" t="b">
        <v>0</v>
      </c>
      <c r="D496" s="4" t="b">
        <v>0</v>
      </c>
      <c r="E496" s="4" t="b">
        <v>0</v>
      </c>
      <c r="F496" s="4"/>
      <c r="G496" s="4" t="b">
        <f t="shared" si="7"/>
        <v>0</v>
      </c>
      <c r="H496" s="4"/>
      <c r="I496" s="4"/>
      <c r="J496" s="4" t="s">
        <v>98</v>
      </c>
      <c r="K496"/>
    </row>
    <row r="497" spans="1:10" customFormat="1" ht="192" x14ac:dyDescent="0.2">
      <c r="A497" s="6" t="s">
        <v>1035</v>
      </c>
      <c r="B497" s="6" t="s">
        <v>1036</v>
      </c>
      <c r="C497" s="4" t="b">
        <v>1</v>
      </c>
      <c r="D497" s="4" t="b">
        <v>0</v>
      </c>
      <c r="E497" s="4" t="b">
        <v>1</v>
      </c>
      <c r="F497" s="4" t="s">
        <v>12</v>
      </c>
      <c r="G497" s="4" t="b">
        <f t="shared" si="7"/>
        <v>1</v>
      </c>
      <c r="H497" s="4" t="s">
        <v>3364</v>
      </c>
      <c r="I497" s="4"/>
      <c r="J497" s="4" t="s">
        <v>98</v>
      </c>
    </row>
    <row r="498" spans="1:10" customFormat="1" ht="16" x14ac:dyDescent="0.2">
      <c r="A498" s="6" t="s">
        <v>1037</v>
      </c>
      <c r="B498" s="6" t="s">
        <v>1038</v>
      </c>
      <c r="C498" s="4" t="b">
        <v>0</v>
      </c>
      <c r="D498" s="4" t="b">
        <v>0</v>
      </c>
      <c r="E498" s="4" t="b">
        <v>0</v>
      </c>
      <c r="F498" s="4"/>
      <c r="G498" s="4" t="b">
        <f t="shared" si="7"/>
        <v>0</v>
      </c>
      <c r="H498" s="4"/>
      <c r="I498" s="4"/>
      <c r="J498" s="4" t="s">
        <v>98</v>
      </c>
    </row>
    <row r="499" spans="1:10" customFormat="1" ht="16" x14ac:dyDescent="0.2">
      <c r="A499" s="6" t="s">
        <v>1039</v>
      </c>
      <c r="B499" s="6" t="s">
        <v>1040</v>
      </c>
      <c r="C499" s="4" t="b">
        <v>0</v>
      </c>
      <c r="D499" s="4" t="b">
        <v>0</v>
      </c>
      <c r="E499" s="4" t="b">
        <v>1</v>
      </c>
      <c r="F499" s="4"/>
      <c r="G499" s="4" t="b">
        <f t="shared" si="7"/>
        <v>0</v>
      </c>
      <c r="H499" s="4"/>
      <c r="I499" s="4"/>
      <c r="J499" s="4" t="s">
        <v>98</v>
      </c>
    </row>
    <row r="500" spans="1:10" customFormat="1" ht="16" x14ac:dyDescent="0.2">
      <c r="A500" s="6" t="s">
        <v>1041</v>
      </c>
      <c r="B500" s="6" t="s">
        <v>1042</v>
      </c>
      <c r="C500" s="4" t="b">
        <v>0</v>
      </c>
      <c r="D500" s="4" t="b">
        <v>0</v>
      </c>
      <c r="E500" s="4" t="b">
        <v>1</v>
      </c>
      <c r="F500" s="4"/>
      <c r="G500" s="4" t="b">
        <f t="shared" si="7"/>
        <v>0</v>
      </c>
      <c r="H500" s="4"/>
      <c r="I500" s="4"/>
      <c r="J500" s="4" t="s">
        <v>98</v>
      </c>
    </row>
    <row r="501" spans="1:10" customFormat="1" ht="16" x14ac:dyDescent="0.2">
      <c r="A501" s="6" t="s">
        <v>1043</v>
      </c>
      <c r="B501" s="6" t="s">
        <v>1044</v>
      </c>
      <c r="C501" s="4" t="b">
        <v>0</v>
      </c>
      <c r="D501" s="4" t="b">
        <v>0</v>
      </c>
      <c r="E501" s="4" t="b">
        <v>0</v>
      </c>
      <c r="F501" s="4"/>
      <c r="G501" s="4" t="b">
        <f t="shared" si="7"/>
        <v>0</v>
      </c>
      <c r="H501" s="4"/>
      <c r="I501" s="4"/>
      <c r="J501" s="4" t="s">
        <v>98</v>
      </c>
    </row>
    <row r="502" spans="1:10" customFormat="1" ht="16" x14ac:dyDescent="0.2">
      <c r="A502" s="6" t="s">
        <v>1045</v>
      </c>
      <c r="B502" s="6" t="s">
        <v>1046</v>
      </c>
      <c r="C502" s="4" t="b">
        <v>0</v>
      </c>
      <c r="D502" s="4" t="b">
        <v>0</v>
      </c>
      <c r="E502" s="4" t="b">
        <v>1</v>
      </c>
      <c r="F502" s="4"/>
      <c r="G502" s="4" t="b">
        <f t="shared" si="7"/>
        <v>0</v>
      </c>
      <c r="H502" s="4"/>
      <c r="I502" s="4"/>
      <c r="J502" s="4" t="s">
        <v>98</v>
      </c>
    </row>
    <row r="503" spans="1:10" customFormat="1" ht="16" x14ac:dyDescent="0.2">
      <c r="A503" s="6" t="s">
        <v>1047</v>
      </c>
      <c r="B503" s="6" t="s">
        <v>1048</v>
      </c>
      <c r="C503" s="4" t="b">
        <v>0</v>
      </c>
      <c r="D503" s="4" t="b">
        <v>0</v>
      </c>
      <c r="E503" s="4" t="b">
        <v>0</v>
      </c>
      <c r="F503" s="4"/>
      <c r="G503" s="4" t="b">
        <f t="shared" si="7"/>
        <v>0</v>
      </c>
      <c r="H503" s="4"/>
      <c r="I503" s="4"/>
      <c r="J503" s="4" t="s">
        <v>98</v>
      </c>
    </row>
    <row r="504" spans="1:10" customFormat="1" ht="16" x14ac:dyDescent="0.2">
      <c r="A504" s="6" t="s">
        <v>1049</v>
      </c>
      <c r="B504" s="6" t="s">
        <v>1050</v>
      </c>
      <c r="C504" s="4" t="b">
        <v>0</v>
      </c>
      <c r="D504" s="4" t="b">
        <v>0</v>
      </c>
      <c r="E504" s="4" t="b">
        <v>1</v>
      </c>
      <c r="F504" s="4"/>
      <c r="G504" s="4" t="b">
        <f t="shared" si="7"/>
        <v>0</v>
      </c>
      <c r="H504" s="4"/>
      <c r="I504" s="4"/>
      <c r="J504" s="4" t="s">
        <v>98</v>
      </c>
    </row>
    <row r="505" spans="1:10" customFormat="1" ht="128" x14ac:dyDescent="0.2">
      <c r="A505" s="6" t="s">
        <v>1051</v>
      </c>
      <c r="B505" s="6" t="s">
        <v>1052</v>
      </c>
      <c r="C505" s="4" t="b">
        <v>1</v>
      </c>
      <c r="D505" s="4" t="b">
        <v>0</v>
      </c>
      <c r="E505" s="4" t="b">
        <v>1</v>
      </c>
      <c r="F505" s="4" t="s">
        <v>12</v>
      </c>
      <c r="G505" s="4" t="b">
        <f t="shared" si="7"/>
        <v>1</v>
      </c>
      <c r="H505" s="4" t="s">
        <v>3363</v>
      </c>
      <c r="I505" s="4"/>
      <c r="J505" s="4" t="s">
        <v>98</v>
      </c>
    </row>
    <row r="506" spans="1:10" customFormat="1" ht="16" x14ac:dyDescent="0.2">
      <c r="A506" s="6" t="s">
        <v>1053</v>
      </c>
      <c r="B506" s="6" t="s">
        <v>1054</v>
      </c>
      <c r="C506" s="4" t="b">
        <v>0</v>
      </c>
      <c r="D506" s="4" t="b">
        <v>0</v>
      </c>
      <c r="E506" s="4" t="b">
        <v>1</v>
      </c>
      <c r="F506" s="4"/>
      <c r="G506" s="4" t="b">
        <f t="shared" si="7"/>
        <v>0</v>
      </c>
      <c r="H506" s="4"/>
      <c r="I506" s="4"/>
      <c r="J506" s="4" t="s">
        <v>98</v>
      </c>
    </row>
    <row r="507" spans="1:10" customFormat="1" ht="112" x14ac:dyDescent="0.2">
      <c r="A507" s="6" t="s">
        <v>1055</v>
      </c>
      <c r="B507" s="6" t="s">
        <v>1056</v>
      </c>
      <c r="C507" s="4" t="b">
        <v>1</v>
      </c>
      <c r="D507" s="4" t="b">
        <v>0</v>
      </c>
      <c r="E507" s="4" t="b">
        <v>1</v>
      </c>
      <c r="F507" s="4" t="s">
        <v>12</v>
      </c>
      <c r="G507" s="4" t="b">
        <f t="shared" si="7"/>
        <v>1</v>
      </c>
      <c r="H507" s="4" t="s">
        <v>3362</v>
      </c>
      <c r="I507" s="4"/>
      <c r="J507" s="4" t="s">
        <v>98</v>
      </c>
    </row>
    <row r="508" spans="1:10" customFormat="1" ht="128" x14ac:dyDescent="0.2">
      <c r="A508" s="6" t="s">
        <v>1057</v>
      </c>
      <c r="B508" s="6" t="s">
        <v>1058</v>
      </c>
      <c r="C508" s="4" t="b">
        <v>1</v>
      </c>
      <c r="D508" s="4" t="b">
        <v>1</v>
      </c>
      <c r="E508" s="4" t="b">
        <v>1</v>
      </c>
      <c r="F508" s="4" t="s">
        <v>12</v>
      </c>
      <c r="G508" s="4" t="b">
        <f t="shared" si="7"/>
        <v>1</v>
      </c>
      <c r="H508" s="4" t="s">
        <v>3361</v>
      </c>
      <c r="I508" s="4"/>
      <c r="J508" s="4" t="s">
        <v>98</v>
      </c>
    </row>
    <row r="509" spans="1:10" customFormat="1" ht="192" x14ac:dyDescent="0.2">
      <c r="A509" s="6" t="s">
        <v>1059</v>
      </c>
      <c r="B509" s="6" t="s">
        <v>1060</v>
      </c>
      <c r="C509" s="4" t="b">
        <v>1</v>
      </c>
      <c r="D509" s="4" t="b">
        <v>0</v>
      </c>
      <c r="E509" s="4" t="b">
        <v>1</v>
      </c>
      <c r="F509" s="4" t="s">
        <v>12</v>
      </c>
      <c r="G509" s="4" t="b">
        <f t="shared" si="7"/>
        <v>1</v>
      </c>
      <c r="H509" s="4" t="s">
        <v>3360</v>
      </c>
      <c r="I509" s="4"/>
      <c r="J509" s="4" t="s">
        <v>98</v>
      </c>
    </row>
    <row r="510" spans="1:10" customFormat="1" ht="16" x14ac:dyDescent="0.2">
      <c r="A510" s="6" t="s">
        <v>1061</v>
      </c>
      <c r="B510" s="6" t="s">
        <v>1062</v>
      </c>
      <c r="C510" s="4" t="b">
        <v>0</v>
      </c>
      <c r="D510" s="4" t="b">
        <v>0</v>
      </c>
      <c r="E510" s="4" t="b">
        <v>0</v>
      </c>
      <c r="F510" s="4"/>
      <c r="G510" s="4" t="b">
        <f t="shared" si="7"/>
        <v>0</v>
      </c>
      <c r="H510" s="4"/>
      <c r="I510" s="4"/>
      <c r="J510" s="4" t="s">
        <v>98</v>
      </c>
    </row>
    <row r="511" spans="1:10" customFormat="1" ht="208" x14ac:dyDescent="0.2">
      <c r="A511" s="6" t="s">
        <v>1063</v>
      </c>
      <c r="B511" s="6" t="s">
        <v>1064</v>
      </c>
      <c r="C511" s="4" t="b">
        <v>1</v>
      </c>
      <c r="D511" s="4" t="b">
        <v>0</v>
      </c>
      <c r="E511" s="4" t="b">
        <v>1</v>
      </c>
      <c r="F511" s="4" t="s">
        <v>12</v>
      </c>
      <c r="G511" s="4" t="b">
        <f t="shared" si="7"/>
        <v>1</v>
      </c>
      <c r="H511" s="4" t="s">
        <v>3359</v>
      </c>
      <c r="I511" s="4"/>
      <c r="J511" s="4" t="s">
        <v>98</v>
      </c>
    </row>
    <row r="512" spans="1:10" customFormat="1" ht="16" x14ac:dyDescent="0.2">
      <c r="A512" s="6" t="s">
        <v>1065</v>
      </c>
      <c r="B512" s="6" t="s">
        <v>1066</v>
      </c>
      <c r="C512" s="4" t="b">
        <v>0</v>
      </c>
      <c r="D512" s="4" t="b">
        <v>0</v>
      </c>
      <c r="E512" s="4" t="b">
        <v>0</v>
      </c>
      <c r="F512" s="4"/>
      <c r="G512" s="4" t="b">
        <f t="shared" si="7"/>
        <v>0</v>
      </c>
      <c r="H512" s="4"/>
      <c r="I512" s="4"/>
      <c r="J512" s="4" t="s">
        <v>98</v>
      </c>
    </row>
    <row r="513" spans="1:10" customFormat="1" ht="16" x14ac:dyDescent="0.2">
      <c r="A513" s="6" t="s">
        <v>1067</v>
      </c>
      <c r="B513" s="6" t="s">
        <v>1068</v>
      </c>
      <c r="C513" s="4" t="b">
        <v>0</v>
      </c>
      <c r="D513" s="4" t="b">
        <v>0</v>
      </c>
      <c r="E513" s="4" t="b">
        <v>0</v>
      </c>
      <c r="F513" s="4"/>
      <c r="G513" s="4" t="b">
        <f t="shared" si="7"/>
        <v>0</v>
      </c>
      <c r="H513" s="4"/>
      <c r="I513" s="4"/>
      <c r="J513" s="4" t="s">
        <v>98</v>
      </c>
    </row>
    <row r="514" spans="1:10" customFormat="1" ht="16" x14ac:dyDescent="0.2">
      <c r="A514" s="6" t="s">
        <v>1069</v>
      </c>
      <c r="B514" s="6" t="s">
        <v>1070</v>
      </c>
      <c r="C514" s="4" t="b">
        <v>0</v>
      </c>
      <c r="D514" s="4" t="b">
        <v>0</v>
      </c>
      <c r="E514" s="4" t="b">
        <v>0</v>
      </c>
      <c r="F514" s="4"/>
      <c r="G514" s="4" t="b">
        <f t="shared" ref="G514:G577" si="8">IF(F514="✔", TRUE, FALSE)</f>
        <v>0</v>
      </c>
      <c r="H514" s="4"/>
      <c r="I514" s="4"/>
      <c r="J514" s="4" t="s">
        <v>98</v>
      </c>
    </row>
    <row r="515" spans="1:10" customFormat="1" ht="16" x14ac:dyDescent="0.2">
      <c r="A515" s="6" t="s">
        <v>1071</v>
      </c>
      <c r="B515" s="6" t="s">
        <v>1072</v>
      </c>
      <c r="C515" s="4" t="b">
        <v>0</v>
      </c>
      <c r="D515" s="4" t="b">
        <v>0</v>
      </c>
      <c r="E515" s="4" t="b">
        <v>1</v>
      </c>
      <c r="F515" s="4"/>
      <c r="G515" s="4" t="b">
        <f t="shared" si="8"/>
        <v>0</v>
      </c>
      <c r="H515" s="4"/>
      <c r="I515" s="4"/>
      <c r="J515" s="4" t="s">
        <v>98</v>
      </c>
    </row>
    <row r="516" spans="1:10" customFormat="1" ht="16" x14ac:dyDescent="0.2">
      <c r="A516" s="6" t="s">
        <v>1073</v>
      </c>
      <c r="B516" s="6" t="s">
        <v>1074</v>
      </c>
      <c r="C516" s="4" t="b">
        <v>0</v>
      </c>
      <c r="D516" s="4" t="b">
        <v>0</v>
      </c>
      <c r="E516" s="4" t="b">
        <v>0</v>
      </c>
      <c r="F516" s="4"/>
      <c r="G516" s="4" t="b">
        <f t="shared" si="8"/>
        <v>0</v>
      </c>
      <c r="H516" s="4"/>
      <c r="I516" s="4"/>
      <c r="J516" s="4" t="s">
        <v>98</v>
      </c>
    </row>
    <row r="517" spans="1:10" customFormat="1" ht="16" x14ac:dyDescent="0.2">
      <c r="A517" s="6" t="s">
        <v>1075</v>
      </c>
      <c r="B517" s="6" t="s">
        <v>1076</v>
      </c>
      <c r="C517" s="4" t="b">
        <v>0</v>
      </c>
      <c r="D517" s="4" t="b">
        <v>0</v>
      </c>
      <c r="E517" s="4" t="b">
        <v>0</v>
      </c>
      <c r="F517" s="4"/>
      <c r="G517" s="4" t="b">
        <f t="shared" si="8"/>
        <v>0</v>
      </c>
      <c r="H517" s="4"/>
      <c r="I517" s="4"/>
      <c r="J517" s="4" t="s">
        <v>98</v>
      </c>
    </row>
    <row r="518" spans="1:10" customFormat="1" ht="16" x14ac:dyDescent="0.2">
      <c r="A518" s="6" t="s">
        <v>1077</v>
      </c>
      <c r="B518" s="6" t="s">
        <v>1078</v>
      </c>
      <c r="C518" s="4" t="b">
        <v>0</v>
      </c>
      <c r="D518" s="4" t="b">
        <v>0</v>
      </c>
      <c r="E518" s="4" t="b">
        <v>0</v>
      </c>
      <c r="F518" s="4"/>
      <c r="G518" s="4" t="b">
        <f t="shared" si="8"/>
        <v>0</v>
      </c>
      <c r="H518" s="4"/>
      <c r="I518" s="4"/>
      <c r="J518" s="4" t="s">
        <v>98</v>
      </c>
    </row>
    <row r="519" spans="1:10" customFormat="1" ht="16" x14ac:dyDescent="0.2">
      <c r="A519" s="6" t="s">
        <v>1079</v>
      </c>
      <c r="B519" s="6" t="s">
        <v>1080</v>
      </c>
      <c r="C519" s="4" t="b">
        <v>0</v>
      </c>
      <c r="D519" s="4" t="b">
        <v>0</v>
      </c>
      <c r="E519" s="4" t="b">
        <v>0</v>
      </c>
      <c r="F519" s="4"/>
      <c r="G519" s="4" t="b">
        <f t="shared" si="8"/>
        <v>0</v>
      </c>
      <c r="H519" s="4"/>
      <c r="I519" s="4"/>
      <c r="J519" s="4" t="s">
        <v>98</v>
      </c>
    </row>
    <row r="520" spans="1:10" customFormat="1" ht="128" x14ac:dyDescent="0.2">
      <c r="A520" s="6" t="s">
        <v>1081</v>
      </c>
      <c r="B520" s="6" t="s">
        <v>1082</v>
      </c>
      <c r="C520" s="4" t="b">
        <v>1</v>
      </c>
      <c r="D520" s="4" t="b">
        <v>0</v>
      </c>
      <c r="E520" s="4" t="b">
        <v>1</v>
      </c>
      <c r="F520" s="4" t="s">
        <v>12</v>
      </c>
      <c r="G520" s="4" t="b">
        <f t="shared" si="8"/>
        <v>1</v>
      </c>
      <c r="H520" s="4" t="s">
        <v>3358</v>
      </c>
      <c r="I520" s="4"/>
      <c r="J520" s="4" t="s">
        <v>98</v>
      </c>
    </row>
    <row r="521" spans="1:10" customFormat="1" ht="64" x14ac:dyDescent="0.2">
      <c r="A521" s="6" t="s">
        <v>1083</v>
      </c>
      <c r="B521" s="6" t="s">
        <v>1084</v>
      </c>
      <c r="C521" s="4" t="b">
        <v>1</v>
      </c>
      <c r="D521" s="4" t="b">
        <v>0</v>
      </c>
      <c r="E521" s="4" t="b">
        <v>1</v>
      </c>
      <c r="F521" s="4" t="s">
        <v>12</v>
      </c>
      <c r="G521" s="4" t="b">
        <f t="shared" si="8"/>
        <v>1</v>
      </c>
      <c r="H521" s="4" t="s">
        <v>3357</v>
      </c>
      <c r="I521" s="4"/>
      <c r="J521" s="4" t="s">
        <v>98</v>
      </c>
    </row>
    <row r="522" spans="1:10" customFormat="1" ht="16" x14ac:dyDescent="0.2">
      <c r="A522" s="6" t="s">
        <v>1085</v>
      </c>
      <c r="B522" s="6" t="s">
        <v>1086</v>
      </c>
      <c r="C522" s="4" t="b">
        <v>0</v>
      </c>
      <c r="D522" s="4" t="b">
        <v>0</v>
      </c>
      <c r="E522" s="4" t="b">
        <v>0</v>
      </c>
      <c r="F522" s="4"/>
      <c r="G522" s="4" t="b">
        <f t="shared" si="8"/>
        <v>0</v>
      </c>
      <c r="H522" s="4"/>
      <c r="I522" s="4"/>
      <c r="J522" s="4" t="s">
        <v>98</v>
      </c>
    </row>
    <row r="523" spans="1:10" customFormat="1" ht="80" x14ac:dyDescent="0.2">
      <c r="A523" s="6" t="s">
        <v>1087</v>
      </c>
      <c r="B523" s="6" t="s">
        <v>1088</v>
      </c>
      <c r="C523" s="4" t="b">
        <v>1</v>
      </c>
      <c r="D523" s="4" t="b">
        <v>1</v>
      </c>
      <c r="E523" s="4" t="b">
        <v>1</v>
      </c>
      <c r="F523" s="4" t="s">
        <v>12</v>
      </c>
      <c r="G523" s="4" t="b">
        <f t="shared" si="8"/>
        <v>1</v>
      </c>
      <c r="H523" s="4" t="s">
        <v>3356</v>
      </c>
      <c r="I523" s="4"/>
      <c r="J523" s="4" t="s">
        <v>98</v>
      </c>
    </row>
    <row r="524" spans="1:10" customFormat="1" ht="16" x14ac:dyDescent="0.2">
      <c r="A524" s="6" t="s">
        <v>1089</v>
      </c>
      <c r="B524" s="6" t="s">
        <v>1090</v>
      </c>
      <c r="C524" s="4" t="b">
        <v>0</v>
      </c>
      <c r="D524" s="4" t="b">
        <v>0</v>
      </c>
      <c r="E524" s="4" t="b">
        <v>0</v>
      </c>
      <c r="F524" s="4"/>
      <c r="G524" s="4" t="b">
        <f t="shared" si="8"/>
        <v>0</v>
      </c>
      <c r="H524" s="4"/>
      <c r="I524" s="4"/>
      <c r="J524" s="4" t="s">
        <v>98</v>
      </c>
    </row>
    <row r="525" spans="1:10" customFormat="1" ht="112" x14ac:dyDescent="0.2">
      <c r="A525" s="6" t="s">
        <v>1091</v>
      </c>
      <c r="B525" s="6" t="s">
        <v>1092</v>
      </c>
      <c r="C525" s="4" t="b">
        <v>1</v>
      </c>
      <c r="D525" s="4" t="b">
        <v>1</v>
      </c>
      <c r="E525" s="4" t="b">
        <v>1</v>
      </c>
      <c r="F525" s="4" t="s">
        <v>12</v>
      </c>
      <c r="G525" s="4" t="b">
        <f t="shared" si="8"/>
        <v>1</v>
      </c>
      <c r="H525" s="4" t="s">
        <v>3355</v>
      </c>
      <c r="I525" s="4"/>
      <c r="J525" s="4" t="s">
        <v>98</v>
      </c>
    </row>
    <row r="526" spans="1:10" customFormat="1" ht="16" x14ac:dyDescent="0.2">
      <c r="A526" s="6" t="s">
        <v>1093</v>
      </c>
      <c r="B526" s="6" t="s">
        <v>1094</v>
      </c>
      <c r="C526" s="4" t="b">
        <v>0</v>
      </c>
      <c r="D526" s="4" t="b">
        <v>0</v>
      </c>
      <c r="E526" s="4" t="b">
        <v>0</v>
      </c>
      <c r="F526" s="4"/>
      <c r="G526" s="4" t="b">
        <f t="shared" si="8"/>
        <v>0</v>
      </c>
      <c r="H526" s="4"/>
      <c r="I526" s="4"/>
      <c r="J526" s="4" t="s">
        <v>98</v>
      </c>
    </row>
    <row r="527" spans="1:10" customFormat="1" ht="32" x14ac:dyDescent="0.2">
      <c r="A527" s="6" t="s">
        <v>1095</v>
      </c>
      <c r="B527" s="6" t="s">
        <v>1096</v>
      </c>
      <c r="C527" s="4" t="b">
        <v>1</v>
      </c>
      <c r="D527" s="4" t="b">
        <v>0</v>
      </c>
      <c r="E527" s="4" t="b">
        <v>1</v>
      </c>
      <c r="F527" s="4" t="s">
        <v>12</v>
      </c>
      <c r="G527" s="4" t="b">
        <f t="shared" si="8"/>
        <v>1</v>
      </c>
      <c r="H527" s="4" t="s">
        <v>3354</v>
      </c>
      <c r="I527" s="4"/>
      <c r="J527" s="4" t="s">
        <v>98</v>
      </c>
    </row>
    <row r="528" spans="1:10" customFormat="1" ht="16" x14ac:dyDescent="0.2">
      <c r="A528" s="6" t="s">
        <v>1097</v>
      </c>
      <c r="B528" s="6" t="s">
        <v>1098</v>
      </c>
      <c r="C528" s="4" t="b">
        <v>0</v>
      </c>
      <c r="D528" s="4" t="b">
        <v>0</v>
      </c>
      <c r="E528" s="4" t="b">
        <v>0</v>
      </c>
      <c r="F528" s="4"/>
      <c r="G528" s="4" t="b">
        <f t="shared" si="8"/>
        <v>0</v>
      </c>
      <c r="H528" s="4"/>
      <c r="I528" s="4"/>
      <c r="J528" s="4" t="s">
        <v>98</v>
      </c>
    </row>
    <row r="529" spans="1:10" customFormat="1" ht="16" x14ac:dyDescent="0.2">
      <c r="A529" s="6" t="s">
        <v>1099</v>
      </c>
      <c r="B529" s="6" t="s">
        <v>1100</v>
      </c>
      <c r="C529" s="4" t="b">
        <v>0</v>
      </c>
      <c r="D529" s="4" t="b">
        <v>0</v>
      </c>
      <c r="E529" s="4" t="b">
        <v>0</v>
      </c>
      <c r="F529" s="4"/>
      <c r="G529" s="4" t="b">
        <f t="shared" si="8"/>
        <v>0</v>
      </c>
      <c r="H529" s="4"/>
      <c r="I529" s="4"/>
      <c r="J529" s="4" t="s">
        <v>98</v>
      </c>
    </row>
    <row r="530" spans="1:10" customFormat="1" ht="16" x14ac:dyDescent="0.2">
      <c r="A530" s="6" t="s">
        <v>1101</v>
      </c>
      <c r="B530" s="6" t="s">
        <v>1102</v>
      </c>
      <c r="C530" s="4" t="b">
        <v>0</v>
      </c>
      <c r="D530" s="4" t="b">
        <v>0</v>
      </c>
      <c r="E530" s="4" t="b">
        <v>0</v>
      </c>
      <c r="F530" s="4" t="s">
        <v>12</v>
      </c>
      <c r="G530" s="4" t="b">
        <f t="shared" si="8"/>
        <v>1</v>
      </c>
      <c r="H530" s="4"/>
      <c r="I530" s="4"/>
      <c r="J530" s="4" t="s">
        <v>98</v>
      </c>
    </row>
    <row r="531" spans="1:10" customFormat="1" ht="16" x14ac:dyDescent="0.2">
      <c r="A531" s="6" t="s">
        <v>1103</v>
      </c>
      <c r="B531" s="6" t="s">
        <v>1104</v>
      </c>
      <c r="C531" s="4" t="b">
        <v>0</v>
      </c>
      <c r="D531" s="4" t="b">
        <v>0</v>
      </c>
      <c r="E531" s="4" t="b">
        <v>0</v>
      </c>
      <c r="F531" s="4"/>
      <c r="G531" s="4" t="b">
        <f t="shared" si="8"/>
        <v>0</v>
      </c>
      <c r="H531" s="4"/>
      <c r="I531" s="4"/>
      <c r="J531" s="4" t="s">
        <v>98</v>
      </c>
    </row>
    <row r="532" spans="1:10" customFormat="1" ht="16" x14ac:dyDescent="0.2">
      <c r="A532" s="6" t="s">
        <v>1105</v>
      </c>
      <c r="B532" s="6" t="s">
        <v>1106</v>
      </c>
      <c r="C532" s="4" t="b">
        <v>0</v>
      </c>
      <c r="D532" s="4" t="b">
        <v>0</v>
      </c>
      <c r="E532" s="4" t="b">
        <v>0</v>
      </c>
      <c r="F532" s="4"/>
      <c r="G532" s="4" t="b">
        <f t="shared" si="8"/>
        <v>0</v>
      </c>
      <c r="H532" s="4"/>
      <c r="I532" s="4"/>
      <c r="J532" s="4" t="s">
        <v>98</v>
      </c>
    </row>
    <row r="533" spans="1:10" customFormat="1" ht="48" x14ac:dyDescent="0.2">
      <c r="A533" s="6" t="s">
        <v>1107</v>
      </c>
      <c r="B533" s="6" t="s">
        <v>1108</v>
      </c>
      <c r="C533" s="4" t="b">
        <v>1</v>
      </c>
      <c r="D533" s="4" t="b">
        <v>0</v>
      </c>
      <c r="E533" s="4" t="b">
        <v>1</v>
      </c>
      <c r="F533" s="4" t="s">
        <v>12</v>
      </c>
      <c r="G533" s="4" t="b">
        <f t="shared" si="8"/>
        <v>1</v>
      </c>
      <c r="H533" s="4" t="s">
        <v>3353</v>
      </c>
      <c r="I533" s="4"/>
      <c r="J533" s="4" t="s">
        <v>98</v>
      </c>
    </row>
    <row r="534" spans="1:10" customFormat="1" ht="16" x14ac:dyDescent="0.2">
      <c r="A534" s="6" t="s">
        <v>1109</v>
      </c>
      <c r="B534" s="6" t="s">
        <v>1110</v>
      </c>
      <c r="C534" s="4" t="b">
        <v>0</v>
      </c>
      <c r="D534" s="4" t="b">
        <v>0</v>
      </c>
      <c r="E534" s="4" t="b">
        <v>0</v>
      </c>
      <c r="F534" s="4"/>
      <c r="G534" s="4" t="b">
        <f t="shared" si="8"/>
        <v>0</v>
      </c>
      <c r="H534" s="4"/>
      <c r="I534" s="4"/>
      <c r="J534" s="4" t="s">
        <v>98</v>
      </c>
    </row>
    <row r="535" spans="1:10" customFormat="1" ht="112" x14ac:dyDescent="0.2">
      <c r="A535" s="6" t="s">
        <v>1111</v>
      </c>
      <c r="B535" s="6" t="s">
        <v>1112</v>
      </c>
      <c r="C535" s="4" t="b">
        <v>1</v>
      </c>
      <c r="D535" s="4" t="b">
        <v>0</v>
      </c>
      <c r="E535" s="4" t="b">
        <v>1</v>
      </c>
      <c r="F535" s="4" t="s">
        <v>12</v>
      </c>
      <c r="G535" s="4" t="b">
        <f t="shared" si="8"/>
        <v>1</v>
      </c>
      <c r="H535" s="4" t="s">
        <v>3352</v>
      </c>
      <c r="I535" s="4"/>
      <c r="J535" s="4" t="s">
        <v>98</v>
      </c>
    </row>
    <row r="536" spans="1:10" customFormat="1" ht="16" x14ac:dyDescent="0.2">
      <c r="A536" s="6" t="s">
        <v>1113</v>
      </c>
      <c r="B536" s="6" t="s">
        <v>1114</v>
      </c>
      <c r="C536" s="4" t="b">
        <v>0</v>
      </c>
      <c r="D536" s="4" t="b">
        <v>0</v>
      </c>
      <c r="E536" s="4" t="b">
        <v>0</v>
      </c>
      <c r="F536" s="4"/>
      <c r="G536" s="4" t="b">
        <f t="shared" si="8"/>
        <v>0</v>
      </c>
      <c r="H536" s="4"/>
      <c r="I536" s="4"/>
      <c r="J536" s="4" t="s">
        <v>98</v>
      </c>
    </row>
    <row r="537" spans="1:10" customFormat="1" ht="16" x14ac:dyDescent="0.2">
      <c r="A537" s="6" t="s">
        <v>1115</v>
      </c>
      <c r="B537" s="6" t="s">
        <v>1116</v>
      </c>
      <c r="C537" s="4" t="b">
        <v>0</v>
      </c>
      <c r="D537" s="4" t="b">
        <v>0</v>
      </c>
      <c r="E537" s="4" t="b">
        <v>1</v>
      </c>
      <c r="F537" s="4"/>
      <c r="G537" s="4" t="b">
        <f t="shared" si="8"/>
        <v>0</v>
      </c>
      <c r="H537" s="4"/>
      <c r="I537" s="4"/>
      <c r="J537" s="4" t="s">
        <v>98</v>
      </c>
    </row>
    <row r="538" spans="1:10" customFormat="1" ht="16" x14ac:dyDescent="0.2">
      <c r="A538" s="6" t="s">
        <v>1117</v>
      </c>
      <c r="B538" s="6" t="s">
        <v>1118</v>
      </c>
      <c r="C538" s="4" t="b">
        <v>0</v>
      </c>
      <c r="D538" s="4" t="b">
        <v>0</v>
      </c>
      <c r="E538" s="4" t="b">
        <v>1</v>
      </c>
      <c r="F538" s="4"/>
      <c r="G538" s="4" t="b">
        <f t="shared" si="8"/>
        <v>0</v>
      </c>
      <c r="H538" s="4"/>
      <c r="I538" s="4"/>
      <c r="J538" s="4" t="s">
        <v>98</v>
      </c>
    </row>
    <row r="539" spans="1:10" customFormat="1" ht="96" x14ac:dyDescent="0.2">
      <c r="A539" s="6" t="s">
        <v>1119</v>
      </c>
      <c r="B539" s="6" t="s">
        <v>1120</v>
      </c>
      <c r="C539" s="4" t="b">
        <v>1</v>
      </c>
      <c r="D539" s="4" t="b">
        <v>1</v>
      </c>
      <c r="E539" s="4" t="b">
        <v>1</v>
      </c>
      <c r="F539" s="4" t="s">
        <v>12</v>
      </c>
      <c r="G539" s="4" t="b">
        <f t="shared" si="8"/>
        <v>1</v>
      </c>
      <c r="H539" s="4" t="s">
        <v>3351</v>
      </c>
      <c r="I539" s="4"/>
      <c r="J539" s="4" t="s">
        <v>98</v>
      </c>
    </row>
    <row r="540" spans="1:10" customFormat="1" ht="16" x14ac:dyDescent="0.2">
      <c r="A540" s="6" t="s">
        <v>1121</v>
      </c>
      <c r="B540" s="6" t="s">
        <v>1122</v>
      </c>
      <c r="C540" s="4" t="b">
        <v>0</v>
      </c>
      <c r="D540" s="4" t="b">
        <v>0</v>
      </c>
      <c r="E540" s="4" t="b">
        <v>1</v>
      </c>
      <c r="F540" s="4"/>
      <c r="G540" s="4" t="b">
        <f t="shared" si="8"/>
        <v>0</v>
      </c>
      <c r="H540" s="4"/>
      <c r="I540" s="4"/>
      <c r="J540" s="4" t="s">
        <v>98</v>
      </c>
    </row>
    <row r="541" spans="1:10" customFormat="1" ht="16" x14ac:dyDescent="0.2">
      <c r="A541" s="6" t="s">
        <v>1123</v>
      </c>
      <c r="B541" s="6" t="s">
        <v>1124</v>
      </c>
      <c r="C541" s="4" t="b">
        <v>0</v>
      </c>
      <c r="D541" s="4" t="b">
        <v>0</v>
      </c>
      <c r="E541" s="4" t="b">
        <v>0</v>
      </c>
      <c r="F541" s="4"/>
      <c r="G541" s="4" t="b">
        <f t="shared" si="8"/>
        <v>0</v>
      </c>
      <c r="H541" s="4"/>
      <c r="I541" s="4"/>
      <c r="J541" s="4" t="s">
        <v>98</v>
      </c>
    </row>
    <row r="542" spans="1:10" customFormat="1" ht="48" x14ac:dyDescent="0.2">
      <c r="A542" s="6" t="s">
        <v>1125</v>
      </c>
      <c r="B542" s="6" t="s">
        <v>1126</v>
      </c>
      <c r="C542" s="4" t="b">
        <v>1</v>
      </c>
      <c r="D542" s="4" t="b">
        <v>0</v>
      </c>
      <c r="E542" s="4" t="b">
        <v>1</v>
      </c>
      <c r="F542" s="4" t="s">
        <v>12</v>
      </c>
      <c r="G542" s="4" t="b">
        <f t="shared" si="8"/>
        <v>1</v>
      </c>
      <c r="H542" s="4" t="s">
        <v>3350</v>
      </c>
      <c r="I542" s="4"/>
      <c r="J542" s="4" t="s">
        <v>98</v>
      </c>
    </row>
    <row r="543" spans="1:10" customFormat="1" ht="16" x14ac:dyDescent="0.2">
      <c r="A543" s="6" t="s">
        <v>1127</v>
      </c>
      <c r="B543" s="6" t="s">
        <v>1128</v>
      </c>
      <c r="C543" s="4" t="b">
        <v>0</v>
      </c>
      <c r="D543" s="4" t="b">
        <v>0</v>
      </c>
      <c r="E543" s="4" t="b">
        <v>0</v>
      </c>
      <c r="F543" s="4"/>
      <c r="G543" s="4" t="b">
        <f t="shared" si="8"/>
        <v>0</v>
      </c>
      <c r="H543" s="4"/>
      <c r="I543" s="4"/>
      <c r="J543" s="4" t="s">
        <v>98</v>
      </c>
    </row>
    <row r="544" spans="1:10" customFormat="1" ht="48" x14ac:dyDescent="0.2">
      <c r="A544" s="6" t="s">
        <v>1129</v>
      </c>
      <c r="B544" s="6" t="s">
        <v>1130</v>
      </c>
      <c r="C544" s="4" t="b">
        <v>1</v>
      </c>
      <c r="D544" s="4" t="b">
        <v>0</v>
      </c>
      <c r="E544" s="4" t="b">
        <v>1</v>
      </c>
      <c r="F544" s="4" t="s">
        <v>12</v>
      </c>
      <c r="G544" s="4" t="b">
        <f t="shared" si="8"/>
        <v>1</v>
      </c>
      <c r="H544" s="4" t="s">
        <v>3349</v>
      </c>
      <c r="I544" s="4"/>
      <c r="J544" s="4" t="s">
        <v>98</v>
      </c>
    </row>
    <row r="545" spans="1:10" customFormat="1" ht="16" x14ac:dyDescent="0.2">
      <c r="A545" s="6" t="s">
        <v>1131</v>
      </c>
      <c r="B545" s="6" t="s">
        <v>1132</v>
      </c>
      <c r="C545" s="4" t="b">
        <v>0</v>
      </c>
      <c r="D545" s="4" t="b">
        <v>0</v>
      </c>
      <c r="E545" s="4" t="b">
        <v>1</v>
      </c>
      <c r="F545" s="4"/>
      <c r="G545" s="4" t="b">
        <f t="shared" si="8"/>
        <v>0</v>
      </c>
      <c r="H545" s="4"/>
      <c r="I545" s="4"/>
      <c r="J545" s="4" t="s">
        <v>98</v>
      </c>
    </row>
    <row r="546" spans="1:10" customFormat="1" ht="48" x14ac:dyDescent="0.2">
      <c r="A546" s="6" t="s">
        <v>1133</v>
      </c>
      <c r="B546" s="6" t="s">
        <v>1134</v>
      </c>
      <c r="C546" s="4" t="b">
        <v>1</v>
      </c>
      <c r="D546" s="4" t="b">
        <v>0</v>
      </c>
      <c r="E546" s="4" t="b">
        <v>1</v>
      </c>
      <c r="F546" s="4" t="s">
        <v>12</v>
      </c>
      <c r="G546" s="4" t="b">
        <f t="shared" si="8"/>
        <v>1</v>
      </c>
      <c r="H546" s="4" t="s">
        <v>3348</v>
      </c>
      <c r="I546" s="4"/>
      <c r="J546" s="4" t="s">
        <v>98</v>
      </c>
    </row>
    <row r="547" spans="1:10" customFormat="1" ht="16" x14ac:dyDescent="0.2">
      <c r="A547" s="6" t="s">
        <v>1135</v>
      </c>
      <c r="B547" s="6" t="s">
        <v>1136</v>
      </c>
      <c r="C547" s="4" t="b">
        <v>0</v>
      </c>
      <c r="D547" s="4" t="b">
        <v>0</v>
      </c>
      <c r="E547" s="4" t="b">
        <v>0</v>
      </c>
      <c r="F547" s="4"/>
      <c r="G547" s="4" t="b">
        <f t="shared" si="8"/>
        <v>0</v>
      </c>
      <c r="H547" s="4"/>
      <c r="I547" s="4"/>
      <c r="J547" s="4" t="s">
        <v>98</v>
      </c>
    </row>
    <row r="548" spans="1:10" customFormat="1" ht="32" x14ac:dyDescent="0.2">
      <c r="A548" s="6" t="s">
        <v>1137</v>
      </c>
      <c r="B548" s="6" t="s">
        <v>1138</v>
      </c>
      <c r="C548" s="4" t="b">
        <v>1</v>
      </c>
      <c r="D548" s="4" t="b">
        <v>0</v>
      </c>
      <c r="E548" s="4" t="b">
        <v>1</v>
      </c>
      <c r="F548" s="4" t="s">
        <v>12</v>
      </c>
      <c r="G548" s="4" t="b">
        <f t="shared" si="8"/>
        <v>1</v>
      </c>
      <c r="H548" s="4" t="s">
        <v>3347</v>
      </c>
      <c r="I548" s="4"/>
      <c r="J548" s="4" t="s">
        <v>98</v>
      </c>
    </row>
    <row r="549" spans="1:10" customFormat="1" ht="16" x14ac:dyDescent="0.2">
      <c r="A549" s="6" t="s">
        <v>1139</v>
      </c>
      <c r="B549" s="6" t="s">
        <v>1140</v>
      </c>
      <c r="C549" s="4" t="b">
        <v>0</v>
      </c>
      <c r="D549" s="4" t="b">
        <v>0</v>
      </c>
      <c r="E549" s="4" t="b">
        <v>0</v>
      </c>
      <c r="F549" s="4"/>
      <c r="G549" s="4" t="b">
        <f t="shared" si="8"/>
        <v>0</v>
      </c>
      <c r="H549" s="4"/>
      <c r="I549" s="4"/>
      <c r="J549" s="4" t="s">
        <v>98</v>
      </c>
    </row>
    <row r="550" spans="1:10" customFormat="1" ht="128" x14ac:dyDescent="0.2">
      <c r="A550" s="6" t="s">
        <v>1141</v>
      </c>
      <c r="B550" s="6" t="s">
        <v>1142</v>
      </c>
      <c r="C550" s="4" t="b">
        <v>1</v>
      </c>
      <c r="D550" s="4" t="b">
        <v>1</v>
      </c>
      <c r="E550" s="4" t="b">
        <v>1</v>
      </c>
      <c r="F550" s="4" t="s">
        <v>12</v>
      </c>
      <c r="G550" s="4" t="b">
        <f t="shared" si="8"/>
        <v>1</v>
      </c>
      <c r="H550" s="4" t="s">
        <v>3346</v>
      </c>
      <c r="I550" s="4"/>
      <c r="J550" s="4" t="s">
        <v>98</v>
      </c>
    </row>
    <row r="551" spans="1:10" customFormat="1" ht="16" x14ac:dyDescent="0.2">
      <c r="A551" s="6" t="s">
        <v>1143</v>
      </c>
      <c r="B551" s="6" t="s">
        <v>1144</v>
      </c>
      <c r="C551" s="4" t="b">
        <v>0</v>
      </c>
      <c r="D551" s="4" t="b">
        <v>0</v>
      </c>
      <c r="E551" s="4" t="b">
        <v>0</v>
      </c>
      <c r="F551" s="4"/>
      <c r="G551" s="4" t="b">
        <f t="shared" si="8"/>
        <v>0</v>
      </c>
      <c r="H551" s="4"/>
      <c r="I551" s="4"/>
      <c r="J551" s="4" t="s">
        <v>98</v>
      </c>
    </row>
    <row r="552" spans="1:10" customFormat="1" ht="16" x14ac:dyDescent="0.2">
      <c r="A552" s="6" t="s">
        <v>1145</v>
      </c>
      <c r="B552" s="6" t="s">
        <v>1146</v>
      </c>
      <c r="C552" s="4" t="b">
        <v>0</v>
      </c>
      <c r="D552" s="4" t="b">
        <v>0</v>
      </c>
      <c r="E552" s="4" t="b">
        <v>0</v>
      </c>
      <c r="F552" s="4"/>
      <c r="G552" s="4" t="b">
        <f t="shared" si="8"/>
        <v>0</v>
      </c>
      <c r="H552" s="4"/>
      <c r="I552" s="4"/>
      <c r="J552" s="4" t="s">
        <v>98</v>
      </c>
    </row>
    <row r="553" spans="1:10" customFormat="1" ht="16" x14ac:dyDescent="0.2">
      <c r="A553" s="6" t="s">
        <v>1147</v>
      </c>
      <c r="B553" s="6" t="s">
        <v>1148</v>
      </c>
      <c r="C553" s="4" t="b">
        <v>0</v>
      </c>
      <c r="D553" s="4" t="b">
        <v>0</v>
      </c>
      <c r="E553" s="4" t="b">
        <v>0</v>
      </c>
      <c r="F553" s="4"/>
      <c r="G553" s="4" t="b">
        <f t="shared" si="8"/>
        <v>0</v>
      </c>
      <c r="H553" s="4"/>
      <c r="I553" s="4"/>
      <c r="J553" s="4" t="s">
        <v>98</v>
      </c>
    </row>
    <row r="554" spans="1:10" customFormat="1" ht="16" x14ac:dyDescent="0.2">
      <c r="A554" s="6" t="s">
        <v>1149</v>
      </c>
      <c r="B554" s="6" t="s">
        <v>1150</v>
      </c>
      <c r="C554" s="4" t="b">
        <v>0</v>
      </c>
      <c r="D554" s="4" t="b">
        <v>0</v>
      </c>
      <c r="E554" s="4" t="b">
        <v>0</v>
      </c>
      <c r="F554" s="4"/>
      <c r="G554" s="4" t="b">
        <f t="shared" si="8"/>
        <v>0</v>
      </c>
      <c r="H554" s="4"/>
      <c r="I554" s="4"/>
      <c r="J554" s="4" t="s">
        <v>98</v>
      </c>
    </row>
    <row r="555" spans="1:10" customFormat="1" ht="80" x14ac:dyDescent="0.2">
      <c r="A555" s="6" t="s">
        <v>1151</v>
      </c>
      <c r="B555" s="6" t="s">
        <v>1152</v>
      </c>
      <c r="C555" s="4" t="b">
        <v>1</v>
      </c>
      <c r="D555" s="4" t="b">
        <v>0</v>
      </c>
      <c r="E555" s="4" t="b">
        <v>1</v>
      </c>
      <c r="F555" s="4" t="s">
        <v>12</v>
      </c>
      <c r="G555" s="4" t="b">
        <f t="shared" si="8"/>
        <v>1</v>
      </c>
      <c r="H555" s="4" t="s">
        <v>3345</v>
      </c>
      <c r="I555" s="4"/>
      <c r="J555" s="4" t="s">
        <v>98</v>
      </c>
    </row>
    <row r="556" spans="1:10" customFormat="1" ht="16" x14ac:dyDescent="0.2">
      <c r="A556" s="6" t="s">
        <v>1153</v>
      </c>
      <c r="B556" s="6" t="s">
        <v>1154</v>
      </c>
      <c r="C556" s="4" t="b">
        <v>0</v>
      </c>
      <c r="D556" s="4" t="b">
        <v>0</v>
      </c>
      <c r="E556" s="4" t="b">
        <v>1</v>
      </c>
      <c r="F556" s="4"/>
      <c r="G556" s="4" t="b">
        <f t="shared" si="8"/>
        <v>0</v>
      </c>
      <c r="H556" s="4"/>
      <c r="I556" s="4"/>
      <c r="J556" s="4" t="s">
        <v>98</v>
      </c>
    </row>
    <row r="557" spans="1:10" customFormat="1" ht="16" x14ac:dyDescent="0.2">
      <c r="A557" s="6" t="s">
        <v>1155</v>
      </c>
      <c r="B557" s="6" t="s">
        <v>1156</v>
      </c>
      <c r="C557" s="4" t="b">
        <v>0</v>
      </c>
      <c r="D557" s="4" t="b">
        <v>0</v>
      </c>
      <c r="E557" s="4" t="b">
        <v>0</v>
      </c>
      <c r="F557" s="4"/>
      <c r="G557" s="4" t="b">
        <f t="shared" si="8"/>
        <v>0</v>
      </c>
      <c r="H557" s="4"/>
      <c r="I557" s="4"/>
      <c r="J557" s="4" t="s">
        <v>98</v>
      </c>
    </row>
    <row r="558" spans="1:10" customFormat="1" ht="32" x14ac:dyDescent="0.2">
      <c r="A558" s="6" t="s">
        <v>1157</v>
      </c>
      <c r="B558" s="6" t="s">
        <v>1158</v>
      </c>
      <c r="C558" s="4" t="b">
        <v>1</v>
      </c>
      <c r="D558" s="4" t="b">
        <v>0</v>
      </c>
      <c r="E558" s="4" t="b">
        <v>1</v>
      </c>
      <c r="F558" s="4" t="s">
        <v>12</v>
      </c>
      <c r="G558" s="4" t="b">
        <f t="shared" si="8"/>
        <v>1</v>
      </c>
      <c r="H558" s="4" t="s">
        <v>3344</v>
      </c>
      <c r="I558" s="4"/>
      <c r="J558" s="4" t="s">
        <v>98</v>
      </c>
    </row>
    <row r="559" spans="1:10" customFormat="1" ht="112" x14ac:dyDescent="0.2">
      <c r="A559" s="6" t="s">
        <v>1159</v>
      </c>
      <c r="B559" s="6" t="s">
        <v>1160</v>
      </c>
      <c r="C559" s="4" t="b">
        <v>1</v>
      </c>
      <c r="D559" s="4" t="b">
        <v>0</v>
      </c>
      <c r="E559" s="4" t="b">
        <v>1</v>
      </c>
      <c r="F559" s="4" t="s">
        <v>12</v>
      </c>
      <c r="G559" s="4" t="b">
        <f t="shared" si="8"/>
        <v>1</v>
      </c>
      <c r="H559" s="4" t="s">
        <v>3343</v>
      </c>
      <c r="I559" s="4"/>
      <c r="J559" s="4" t="s">
        <v>98</v>
      </c>
    </row>
    <row r="560" spans="1:10" customFormat="1" ht="16" x14ac:dyDescent="0.2">
      <c r="A560" s="6" t="s">
        <v>1161</v>
      </c>
      <c r="B560" s="6" t="s">
        <v>1162</v>
      </c>
      <c r="C560" s="4" t="b">
        <v>0</v>
      </c>
      <c r="D560" s="4" t="b">
        <v>0</v>
      </c>
      <c r="E560" s="4" t="b">
        <v>0</v>
      </c>
      <c r="F560" s="4"/>
      <c r="G560" s="4" t="b">
        <f t="shared" si="8"/>
        <v>0</v>
      </c>
      <c r="H560" s="4"/>
      <c r="I560" s="4"/>
      <c r="J560" s="4" t="s">
        <v>98</v>
      </c>
    </row>
    <row r="561" spans="1:11" ht="16" x14ac:dyDescent="0.2">
      <c r="A561" s="6" t="s">
        <v>1163</v>
      </c>
      <c r="B561" s="6" t="s">
        <v>1164</v>
      </c>
      <c r="C561" s="4" t="b">
        <v>0</v>
      </c>
      <c r="D561" s="4" t="b">
        <v>0</v>
      </c>
      <c r="E561" s="4" t="b">
        <v>0</v>
      </c>
      <c r="F561" s="4"/>
      <c r="G561" s="4" t="b">
        <f t="shared" si="8"/>
        <v>0</v>
      </c>
      <c r="H561" s="4"/>
      <c r="I561" s="4"/>
      <c r="J561" s="4" t="s">
        <v>98</v>
      </c>
      <c r="K561"/>
    </row>
    <row r="562" spans="1:11" ht="16" x14ac:dyDescent="0.2">
      <c r="A562" s="6" t="s">
        <v>1165</v>
      </c>
      <c r="B562" s="6" t="s">
        <v>1166</v>
      </c>
      <c r="C562" s="4" t="b">
        <v>0</v>
      </c>
      <c r="D562" s="4" t="b">
        <v>0</v>
      </c>
      <c r="E562" s="4" t="b">
        <v>0</v>
      </c>
      <c r="F562" s="4"/>
      <c r="G562" s="4" t="b">
        <f t="shared" si="8"/>
        <v>0</v>
      </c>
      <c r="H562" s="4"/>
      <c r="I562" s="4"/>
      <c r="J562" s="4" t="s">
        <v>98</v>
      </c>
      <c r="K562"/>
    </row>
    <row r="563" spans="1:11" ht="16" x14ac:dyDescent="0.2">
      <c r="A563" s="6" t="s">
        <v>1167</v>
      </c>
      <c r="B563" s="6" t="s">
        <v>1168</v>
      </c>
      <c r="C563" s="4" t="b">
        <v>0</v>
      </c>
      <c r="D563" s="4" t="b">
        <v>0</v>
      </c>
      <c r="E563" s="4" t="b">
        <v>1</v>
      </c>
      <c r="F563" s="4"/>
      <c r="G563" s="4" t="b">
        <f t="shared" si="8"/>
        <v>0</v>
      </c>
      <c r="H563" s="4"/>
      <c r="I563" s="4"/>
      <c r="J563" s="4" t="s">
        <v>98</v>
      </c>
      <c r="K563"/>
    </row>
    <row r="564" spans="1:11" ht="176" x14ac:dyDescent="0.2">
      <c r="A564" s="6" t="s">
        <v>1169</v>
      </c>
      <c r="B564" s="6" t="s">
        <v>1170</v>
      </c>
      <c r="C564" s="4" t="b">
        <v>1</v>
      </c>
      <c r="D564" s="4" t="b">
        <v>1</v>
      </c>
      <c r="E564" s="4" t="b">
        <v>1</v>
      </c>
      <c r="F564" s="4" t="s">
        <v>12</v>
      </c>
      <c r="G564" s="4" t="b">
        <f t="shared" si="8"/>
        <v>1</v>
      </c>
      <c r="H564" s="4" t="s">
        <v>3342</v>
      </c>
      <c r="I564" s="4"/>
      <c r="J564" s="4" t="s">
        <v>98</v>
      </c>
      <c r="K564"/>
    </row>
    <row r="565" spans="1:11" ht="32" x14ac:dyDescent="0.2">
      <c r="A565" s="6" t="s">
        <v>1171</v>
      </c>
      <c r="B565" s="6" t="s">
        <v>1172</v>
      </c>
      <c r="C565" s="4" t="b">
        <v>0</v>
      </c>
      <c r="D565" s="4" t="b">
        <v>0</v>
      </c>
      <c r="E565" s="4" t="b">
        <v>1</v>
      </c>
      <c r="F565" s="4" t="s">
        <v>12</v>
      </c>
      <c r="G565" s="4" t="b">
        <f t="shared" si="8"/>
        <v>1</v>
      </c>
      <c r="H565" s="4" t="s">
        <v>3341</v>
      </c>
      <c r="I565" s="4"/>
      <c r="J565" s="4" t="s">
        <v>98</v>
      </c>
      <c r="K565"/>
    </row>
    <row r="566" spans="1:11" ht="16" x14ac:dyDescent="0.2">
      <c r="A566" s="6" t="s">
        <v>1173</v>
      </c>
      <c r="B566" s="6" t="s">
        <v>1174</v>
      </c>
      <c r="C566" s="4" t="b">
        <v>0</v>
      </c>
      <c r="D566" s="4" t="b">
        <v>0</v>
      </c>
      <c r="E566" s="4" t="b">
        <v>0</v>
      </c>
      <c r="F566" s="4"/>
      <c r="G566" s="4" t="b">
        <f t="shared" si="8"/>
        <v>0</v>
      </c>
      <c r="H566" s="4"/>
      <c r="I566" s="4"/>
      <c r="J566" s="4" t="s">
        <v>98</v>
      </c>
      <c r="K566"/>
    </row>
    <row r="567" spans="1:11" ht="16" x14ac:dyDescent="0.2">
      <c r="A567" s="6" t="s">
        <v>1175</v>
      </c>
      <c r="B567" s="6" t="s">
        <v>1176</v>
      </c>
      <c r="C567" s="4" t="b">
        <v>0</v>
      </c>
      <c r="D567" s="4" t="b">
        <v>0</v>
      </c>
      <c r="E567" s="4" t="b">
        <v>0</v>
      </c>
      <c r="F567" s="4"/>
      <c r="G567" s="4" t="b">
        <f t="shared" si="8"/>
        <v>0</v>
      </c>
      <c r="H567" s="4"/>
      <c r="I567" s="4"/>
      <c r="J567" s="4" t="s">
        <v>98</v>
      </c>
      <c r="K567"/>
    </row>
    <row r="568" spans="1:11" ht="16" x14ac:dyDescent="0.2">
      <c r="A568" s="6" t="s">
        <v>1177</v>
      </c>
      <c r="B568" s="6" t="s">
        <v>1178</v>
      </c>
      <c r="C568" s="4" t="b">
        <v>0</v>
      </c>
      <c r="D568" s="4" t="b">
        <v>0</v>
      </c>
      <c r="E568" s="4" t="b">
        <v>0</v>
      </c>
      <c r="F568" s="4"/>
      <c r="G568" s="4" t="b">
        <f t="shared" si="8"/>
        <v>0</v>
      </c>
      <c r="H568" s="4"/>
      <c r="I568" s="4"/>
      <c r="J568" s="4" t="s">
        <v>98</v>
      </c>
      <c r="K568"/>
    </row>
    <row r="569" spans="1:11" ht="16" x14ac:dyDescent="0.2">
      <c r="A569" s="6" t="s">
        <v>1179</v>
      </c>
      <c r="B569" s="6" t="s">
        <v>1180</v>
      </c>
      <c r="C569" s="4" t="b">
        <v>0</v>
      </c>
      <c r="D569" s="4" t="b">
        <v>0</v>
      </c>
      <c r="E569" s="4" t="b">
        <v>0</v>
      </c>
      <c r="F569" s="4"/>
      <c r="G569" s="4" t="b">
        <f t="shared" si="8"/>
        <v>0</v>
      </c>
      <c r="H569" s="4"/>
      <c r="I569" s="4"/>
      <c r="J569" s="4" t="s">
        <v>98</v>
      </c>
      <c r="K569"/>
    </row>
    <row r="570" spans="1:11" ht="16" x14ac:dyDescent="0.2">
      <c r="A570" s="6" t="s">
        <v>1181</v>
      </c>
      <c r="B570" s="6" t="s">
        <v>1182</v>
      </c>
      <c r="C570" s="4" t="b">
        <v>0</v>
      </c>
      <c r="D570" s="4" t="b">
        <v>0</v>
      </c>
      <c r="E570" s="4" t="b">
        <v>0</v>
      </c>
      <c r="F570" s="4"/>
      <c r="G570" s="4" t="b">
        <f t="shared" si="8"/>
        <v>0</v>
      </c>
      <c r="H570" s="4"/>
      <c r="I570" s="4"/>
      <c r="J570" s="4" t="s">
        <v>98</v>
      </c>
      <c r="K570"/>
    </row>
    <row r="571" spans="1:11" ht="16" x14ac:dyDescent="0.2">
      <c r="A571" s="6" t="s">
        <v>1183</v>
      </c>
      <c r="B571" s="6" t="s">
        <v>1184</v>
      </c>
      <c r="C571" s="4" t="b">
        <v>0</v>
      </c>
      <c r="D571" s="4" t="b">
        <v>0</v>
      </c>
      <c r="E571" s="4" t="b">
        <v>1</v>
      </c>
      <c r="F571" s="4"/>
      <c r="G571" s="4" t="b">
        <f t="shared" si="8"/>
        <v>0</v>
      </c>
      <c r="H571" s="4"/>
      <c r="I571" s="4"/>
      <c r="J571" s="4" t="s">
        <v>98</v>
      </c>
      <c r="K571"/>
    </row>
    <row r="572" spans="1:11" ht="48" x14ac:dyDescent="0.2">
      <c r="A572" s="6" t="s">
        <v>1185</v>
      </c>
      <c r="B572" s="6" t="s">
        <v>1186</v>
      </c>
      <c r="C572" s="4" t="b">
        <v>1</v>
      </c>
      <c r="D572" s="4" t="b">
        <v>0</v>
      </c>
      <c r="E572" s="4" t="b">
        <v>1</v>
      </c>
      <c r="F572" s="4" t="s">
        <v>12</v>
      </c>
      <c r="G572" s="4" t="b">
        <f t="shared" si="8"/>
        <v>1</v>
      </c>
      <c r="H572" s="4" t="s">
        <v>3163</v>
      </c>
      <c r="I572" s="4"/>
      <c r="J572" s="4" t="s">
        <v>94</v>
      </c>
    </row>
    <row r="573" spans="1:11" ht="112" x14ac:dyDescent="0.2">
      <c r="A573" s="6" t="s">
        <v>1187</v>
      </c>
      <c r="B573" s="6" t="s">
        <v>1188</v>
      </c>
      <c r="C573" s="4" t="b">
        <v>1</v>
      </c>
      <c r="D573" s="4" t="b">
        <v>1</v>
      </c>
      <c r="E573" s="4" t="b">
        <v>1</v>
      </c>
      <c r="F573" s="4" t="s">
        <v>12</v>
      </c>
      <c r="G573" s="4" t="b">
        <f t="shared" si="8"/>
        <v>1</v>
      </c>
      <c r="H573" s="4" t="s">
        <v>3160</v>
      </c>
      <c r="I573" s="4"/>
      <c r="J573" s="4" t="s">
        <v>94</v>
      </c>
    </row>
    <row r="574" spans="1:11" ht="16" x14ac:dyDescent="0.2">
      <c r="A574" s="6" t="s">
        <v>1189</v>
      </c>
      <c r="B574" s="6" t="s">
        <v>1190</v>
      </c>
      <c r="C574" s="4" t="b">
        <v>0</v>
      </c>
      <c r="D574" s="4" t="b">
        <v>0</v>
      </c>
      <c r="E574" s="4" t="b">
        <v>1</v>
      </c>
      <c r="F574" s="4"/>
      <c r="G574" s="4" t="b">
        <f t="shared" si="8"/>
        <v>0</v>
      </c>
      <c r="H574" s="4"/>
      <c r="I574" s="4"/>
      <c r="J574" s="4" t="s">
        <v>94</v>
      </c>
      <c r="K574"/>
    </row>
    <row r="575" spans="1:11" ht="16" x14ac:dyDescent="0.2">
      <c r="A575" s="6" t="s">
        <v>1191</v>
      </c>
      <c r="B575" s="6" t="s">
        <v>1192</v>
      </c>
      <c r="C575" s="4" t="b">
        <v>0</v>
      </c>
      <c r="D575" s="4" t="b">
        <v>0</v>
      </c>
      <c r="E575" s="4" t="b">
        <v>0</v>
      </c>
      <c r="F575" s="4"/>
      <c r="G575" s="4" t="b">
        <f t="shared" si="8"/>
        <v>0</v>
      </c>
      <c r="H575" s="4"/>
      <c r="I575" s="4"/>
      <c r="J575" s="4" t="s">
        <v>94</v>
      </c>
      <c r="K575"/>
    </row>
    <row r="576" spans="1:11" ht="64" x14ac:dyDescent="0.2">
      <c r="A576" s="6" t="s">
        <v>1193</v>
      </c>
      <c r="B576" s="6" t="s">
        <v>1194</v>
      </c>
      <c r="C576" s="4" t="b">
        <v>1</v>
      </c>
      <c r="D576" s="4" t="b">
        <v>0</v>
      </c>
      <c r="E576" s="4" t="b">
        <v>1</v>
      </c>
      <c r="F576" s="4" t="s">
        <v>12</v>
      </c>
      <c r="G576" s="4" t="b">
        <f t="shared" si="8"/>
        <v>1</v>
      </c>
      <c r="H576" s="4" t="s">
        <v>3159</v>
      </c>
      <c r="I576" s="4"/>
      <c r="J576" s="4" t="s">
        <v>94</v>
      </c>
    </row>
    <row r="577" spans="1:11" ht="16" x14ac:dyDescent="0.2">
      <c r="A577" s="6" t="s">
        <v>1195</v>
      </c>
      <c r="B577" s="6" t="s">
        <v>1196</v>
      </c>
      <c r="C577" s="4" t="b">
        <v>0</v>
      </c>
      <c r="D577" s="4" t="b">
        <v>0</v>
      </c>
      <c r="E577" s="4" t="b">
        <v>1</v>
      </c>
      <c r="F577" s="4"/>
      <c r="G577" s="4" t="b">
        <f t="shared" si="8"/>
        <v>0</v>
      </c>
      <c r="H577" s="4"/>
      <c r="I577" s="4"/>
      <c r="J577" s="4" t="s">
        <v>94</v>
      </c>
      <c r="K577"/>
    </row>
    <row r="578" spans="1:11" ht="16" x14ac:dyDescent="0.2">
      <c r="A578" s="6" t="s">
        <v>1197</v>
      </c>
      <c r="B578" s="6" t="s">
        <v>1198</v>
      </c>
      <c r="C578" s="4" t="b">
        <v>1</v>
      </c>
      <c r="D578" s="4" t="b">
        <v>0</v>
      </c>
      <c r="E578" s="4" t="b">
        <v>1</v>
      </c>
      <c r="F578" s="4" t="s">
        <v>12</v>
      </c>
      <c r="G578" s="4" t="b">
        <f t="shared" ref="G578:G641" si="9">IF(F578="✔", TRUE, FALSE)</f>
        <v>1</v>
      </c>
      <c r="H578" s="4"/>
      <c r="I578" s="4"/>
      <c r="J578" s="4" t="s">
        <v>94</v>
      </c>
    </row>
    <row r="579" spans="1:11" ht="16" x14ac:dyDescent="0.2">
      <c r="A579" s="6" t="s">
        <v>1199</v>
      </c>
      <c r="B579" s="6" t="s">
        <v>1200</v>
      </c>
      <c r="C579" s="4" t="b">
        <v>0</v>
      </c>
      <c r="D579" s="4" t="b">
        <v>0</v>
      </c>
      <c r="E579" s="4" t="b">
        <v>1</v>
      </c>
      <c r="F579" s="4"/>
      <c r="G579" s="4" t="b">
        <f t="shared" si="9"/>
        <v>0</v>
      </c>
      <c r="H579" s="4"/>
      <c r="I579" s="4"/>
      <c r="J579" s="4" t="s">
        <v>94</v>
      </c>
      <c r="K579"/>
    </row>
    <row r="580" spans="1:11" ht="16" x14ac:dyDescent="0.2">
      <c r="A580" s="6" t="s">
        <v>1201</v>
      </c>
      <c r="B580" s="6" t="s">
        <v>1202</v>
      </c>
      <c r="C580" s="4" t="b">
        <v>0</v>
      </c>
      <c r="D580" s="4" t="b">
        <v>0</v>
      </c>
      <c r="E580" s="4" t="b">
        <v>0</v>
      </c>
      <c r="F580" s="4"/>
      <c r="G580" s="4" t="b">
        <f t="shared" si="9"/>
        <v>0</v>
      </c>
      <c r="H580" s="4"/>
      <c r="I580" s="4"/>
      <c r="J580" s="4" t="s">
        <v>94</v>
      </c>
      <c r="K580"/>
    </row>
    <row r="581" spans="1:11" ht="16" x14ac:dyDescent="0.2">
      <c r="A581" s="6" t="s">
        <v>1203</v>
      </c>
      <c r="B581" s="6" t="s">
        <v>1204</v>
      </c>
      <c r="C581" s="4" t="b">
        <v>0</v>
      </c>
      <c r="D581" s="4" t="b">
        <v>0</v>
      </c>
      <c r="E581" s="4" t="b">
        <v>1</v>
      </c>
      <c r="F581" s="4"/>
      <c r="G581" s="4" t="b">
        <f t="shared" si="9"/>
        <v>0</v>
      </c>
      <c r="H581" s="4"/>
      <c r="I581" s="4"/>
      <c r="J581" s="4" t="s">
        <v>94</v>
      </c>
      <c r="K581"/>
    </row>
    <row r="582" spans="1:11" ht="32" x14ac:dyDescent="0.2">
      <c r="A582" s="6" t="s">
        <v>1205</v>
      </c>
      <c r="B582" s="6" t="s">
        <v>1206</v>
      </c>
      <c r="C582" s="4" t="b">
        <v>0</v>
      </c>
      <c r="D582" s="4" t="b">
        <v>0</v>
      </c>
      <c r="E582" s="4" t="b">
        <v>0</v>
      </c>
      <c r="F582" s="4" t="s">
        <v>12</v>
      </c>
      <c r="G582" s="4" t="b">
        <f t="shared" si="9"/>
        <v>1</v>
      </c>
      <c r="H582" s="4" t="s">
        <v>3105</v>
      </c>
      <c r="I582" s="4"/>
      <c r="J582" s="4" t="s">
        <v>94</v>
      </c>
    </row>
    <row r="583" spans="1:11" ht="16" x14ac:dyDescent="0.2">
      <c r="A583" s="6" t="s">
        <v>1207</v>
      </c>
      <c r="B583" s="6" t="s">
        <v>1208</v>
      </c>
      <c r="C583" s="4" t="b">
        <v>1</v>
      </c>
      <c r="D583" s="4" t="b">
        <v>0</v>
      </c>
      <c r="E583" s="4" t="b">
        <v>1</v>
      </c>
      <c r="F583" s="4" t="s">
        <v>12</v>
      </c>
      <c r="G583" s="4" t="b">
        <f t="shared" si="9"/>
        <v>1</v>
      </c>
      <c r="H583" s="4"/>
      <c r="I583" s="4"/>
      <c r="J583" s="4" t="s">
        <v>94</v>
      </c>
    </row>
    <row r="584" spans="1:11" ht="64" x14ac:dyDescent="0.2">
      <c r="A584" s="6" t="s">
        <v>1209</v>
      </c>
      <c r="B584" s="6" t="s">
        <v>1210</v>
      </c>
      <c r="C584" s="4" t="b">
        <v>1</v>
      </c>
      <c r="D584" s="4" t="b">
        <v>0</v>
      </c>
      <c r="E584" s="4" t="b">
        <v>1</v>
      </c>
      <c r="F584" s="4" t="s">
        <v>12</v>
      </c>
      <c r="G584" s="4" t="b">
        <f t="shared" si="9"/>
        <v>1</v>
      </c>
      <c r="H584" s="4" t="s">
        <v>3157</v>
      </c>
      <c r="I584" s="4"/>
      <c r="J584" s="4" t="s">
        <v>94</v>
      </c>
    </row>
    <row r="585" spans="1:11" ht="32" x14ac:dyDescent="0.2">
      <c r="A585" s="6" t="s">
        <v>1211</v>
      </c>
      <c r="B585" s="6" t="s">
        <v>1212</v>
      </c>
      <c r="C585" s="4" t="b">
        <v>1</v>
      </c>
      <c r="D585" s="4" t="b">
        <v>0</v>
      </c>
      <c r="E585" s="4" t="b">
        <v>1</v>
      </c>
      <c r="F585" s="4" t="s">
        <v>12</v>
      </c>
      <c r="G585" s="4" t="b">
        <f t="shared" si="9"/>
        <v>1</v>
      </c>
      <c r="H585" s="4" t="s">
        <v>3150</v>
      </c>
      <c r="I585" s="4"/>
      <c r="J585" s="4" t="s">
        <v>94</v>
      </c>
      <c r="K585" s="1" t="s">
        <v>2998</v>
      </c>
    </row>
    <row r="586" spans="1:11" ht="16" x14ac:dyDescent="0.2">
      <c r="A586" s="6" t="s">
        <v>1213</v>
      </c>
      <c r="B586" s="6" t="s">
        <v>1214</v>
      </c>
      <c r="C586" s="4" t="b">
        <v>0</v>
      </c>
      <c r="D586" s="4" t="b">
        <v>0</v>
      </c>
      <c r="E586" s="4" t="b">
        <v>0</v>
      </c>
      <c r="F586" s="4"/>
      <c r="G586" s="4" t="b">
        <f t="shared" si="9"/>
        <v>0</v>
      </c>
      <c r="H586" s="4"/>
      <c r="I586" s="4"/>
      <c r="J586" s="4" t="s">
        <v>94</v>
      </c>
      <c r="K586"/>
    </row>
    <row r="587" spans="1:11" ht="16" x14ac:dyDescent="0.2">
      <c r="A587" s="6" t="s">
        <v>1215</v>
      </c>
      <c r="B587" s="6" t="s">
        <v>1216</v>
      </c>
      <c r="C587" s="4" t="b">
        <v>0</v>
      </c>
      <c r="D587" s="4" t="b">
        <v>0</v>
      </c>
      <c r="E587" s="4" t="b">
        <v>0</v>
      </c>
      <c r="F587" s="4"/>
      <c r="G587" s="4" t="b">
        <f t="shared" si="9"/>
        <v>0</v>
      </c>
      <c r="H587" s="4"/>
      <c r="I587" s="4"/>
      <c r="J587" s="4" t="s">
        <v>94</v>
      </c>
      <c r="K587"/>
    </row>
    <row r="588" spans="1:11" ht="96" x14ac:dyDescent="0.2">
      <c r="A588" s="6" t="s">
        <v>1217</v>
      </c>
      <c r="B588" s="6" t="s">
        <v>1218</v>
      </c>
      <c r="C588" s="4" t="b">
        <v>1</v>
      </c>
      <c r="D588" s="4" t="b">
        <v>0</v>
      </c>
      <c r="E588" s="4" t="b">
        <v>1</v>
      </c>
      <c r="F588" s="4" t="s">
        <v>12</v>
      </c>
      <c r="G588" s="4" t="b">
        <f t="shared" si="9"/>
        <v>1</v>
      </c>
      <c r="H588" s="4" t="s">
        <v>3156</v>
      </c>
      <c r="I588" s="4"/>
      <c r="J588" s="4" t="s">
        <v>94</v>
      </c>
    </row>
    <row r="589" spans="1:11" ht="48" x14ac:dyDescent="0.2">
      <c r="A589" s="6" t="s">
        <v>1219</v>
      </c>
      <c r="B589" s="6" t="s">
        <v>1220</v>
      </c>
      <c r="C589" s="4" t="b">
        <v>1</v>
      </c>
      <c r="D589" s="4" t="b">
        <v>0</v>
      </c>
      <c r="E589" s="4" t="b">
        <v>1</v>
      </c>
      <c r="F589" s="4" t="s">
        <v>12</v>
      </c>
      <c r="G589" s="4" t="b">
        <f t="shared" si="9"/>
        <v>1</v>
      </c>
      <c r="H589" s="4" t="s">
        <v>3155</v>
      </c>
      <c r="I589" s="4"/>
      <c r="J589" s="4" t="s">
        <v>94</v>
      </c>
    </row>
    <row r="590" spans="1:11" ht="16" x14ac:dyDescent="0.2">
      <c r="A590" s="6" t="s">
        <v>1221</v>
      </c>
      <c r="B590" s="6" t="s">
        <v>1222</v>
      </c>
      <c r="C590" s="4" t="b">
        <v>1</v>
      </c>
      <c r="D590" s="4" t="b">
        <v>0</v>
      </c>
      <c r="E590" s="4" t="b">
        <v>1</v>
      </c>
      <c r="F590" s="4" t="s">
        <v>12</v>
      </c>
      <c r="G590" s="4" t="b">
        <f t="shared" si="9"/>
        <v>1</v>
      </c>
      <c r="H590" s="4"/>
      <c r="I590" s="4"/>
      <c r="J590" s="4" t="s">
        <v>94</v>
      </c>
    </row>
    <row r="591" spans="1:11" ht="16" x14ac:dyDescent="0.2">
      <c r="A591" s="6" t="s">
        <v>1223</v>
      </c>
      <c r="B591" s="6" t="s">
        <v>1224</v>
      </c>
      <c r="C591" s="4" t="b">
        <v>0</v>
      </c>
      <c r="D591" s="4" t="b">
        <v>0</v>
      </c>
      <c r="E591" s="4" t="b">
        <v>1</v>
      </c>
      <c r="F591" s="4"/>
      <c r="G591" s="4" t="b">
        <f t="shared" si="9"/>
        <v>0</v>
      </c>
      <c r="H591" s="4"/>
      <c r="I591" s="4"/>
      <c r="J591" s="4" t="s">
        <v>94</v>
      </c>
      <c r="K591"/>
    </row>
    <row r="592" spans="1:11" ht="16" x14ac:dyDescent="0.2">
      <c r="A592" s="6" t="s">
        <v>1225</v>
      </c>
      <c r="B592" s="6" t="s">
        <v>1226</v>
      </c>
      <c r="C592" s="4" t="b">
        <v>0</v>
      </c>
      <c r="D592" s="4" t="b">
        <v>0</v>
      </c>
      <c r="E592" s="4" t="b">
        <v>0</v>
      </c>
      <c r="F592" s="4" t="s">
        <v>12</v>
      </c>
      <c r="G592" s="4" t="b">
        <f t="shared" si="9"/>
        <v>1</v>
      </c>
      <c r="H592" s="4" t="s">
        <v>3154</v>
      </c>
      <c r="I592" s="4"/>
      <c r="J592" s="4" t="s">
        <v>94</v>
      </c>
    </row>
    <row r="593" spans="1:11" ht="144" x14ac:dyDescent="0.2">
      <c r="A593" s="6" t="s">
        <v>1227</v>
      </c>
      <c r="B593" s="6" t="s">
        <v>1228</v>
      </c>
      <c r="C593" s="4" t="b">
        <v>1</v>
      </c>
      <c r="D593" s="4" t="b">
        <v>1</v>
      </c>
      <c r="E593" s="4" t="b">
        <v>1</v>
      </c>
      <c r="F593" s="4" t="s">
        <v>12</v>
      </c>
      <c r="G593" s="4" t="b">
        <f t="shared" si="9"/>
        <v>1</v>
      </c>
      <c r="H593" s="4" t="s">
        <v>3153</v>
      </c>
      <c r="I593" s="4"/>
      <c r="J593" s="4" t="s">
        <v>94</v>
      </c>
    </row>
    <row r="594" spans="1:11" ht="16" x14ac:dyDescent="0.2">
      <c r="A594" s="6" t="s">
        <v>1229</v>
      </c>
      <c r="B594" s="6" t="s">
        <v>1230</v>
      </c>
      <c r="C594" s="4" t="b">
        <v>0</v>
      </c>
      <c r="D594" s="4" t="b">
        <v>0</v>
      </c>
      <c r="E594" s="4" t="b">
        <v>0</v>
      </c>
      <c r="F594" s="4"/>
      <c r="G594" s="4" t="b">
        <f t="shared" si="9"/>
        <v>0</v>
      </c>
      <c r="H594" s="4"/>
      <c r="I594" s="4"/>
      <c r="J594" s="4" t="s">
        <v>94</v>
      </c>
      <c r="K594"/>
    </row>
    <row r="595" spans="1:11" ht="96" x14ac:dyDescent="0.2">
      <c r="A595" s="6" t="s">
        <v>1231</v>
      </c>
      <c r="B595" s="6" t="s">
        <v>1232</v>
      </c>
      <c r="C595" s="4" t="b">
        <v>1</v>
      </c>
      <c r="D595" s="4" t="b">
        <v>0</v>
      </c>
      <c r="E595" s="4" t="b">
        <v>1</v>
      </c>
      <c r="F595" s="4" t="s">
        <v>12</v>
      </c>
      <c r="G595" s="4" t="b">
        <f t="shared" si="9"/>
        <v>1</v>
      </c>
      <c r="H595" s="4" t="s">
        <v>3383</v>
      </c>
      <c r="I595" s="4"/>
      <c r="J595" s="4" t="s">
        <v>94</v>
      </c>
      <c r="K595"/>
    </row>
    <row r="596" spans="1:11" ht="32" x14ac:dyDescent="0.2">
      <c r="A596" s="6" t="s">
        <v>1233</v>
      </c>
      <c r="B596" s="6" t="s">
        <v>1234</v>
      </c>
      <c r="C596" s="4" t="b">
        <v>1</v>
      </c>
      <c r="D596" s="4" t="b">
        <v>0</v>
      </c>
      <c r="E596" s="4" t="b">
        <v>1</v>
      </c>
      <c r="F596" s="4" t="s">
        <v>12</v>
      </c>
      <c r="G596" s="4" t="b">
        <f t="shared" si="9"/>
        <v>1</v>
      </c>
      <c r="H596" s="4" t="s">
        <v>3152</v>
      </c>
      <c r="I596" s="4"/>
      <c r="J596" s="4" t="s">
        <v>94</v>
      </c>
      <c r="K596" s="1" t="s">
        <v>2998</v>
      </c>
    </row>
    <row r="597" spans="1:11" ht="16" x14ac:dyDescent="0.2">
      <c r="A597" s="6" t="s">
        <v>1235</v>
      </c>
      <c r="B597" s="6" t="s">
        <v>1236</v>
      </c>
      <c r="C597" s="4" t="b">
        <v>0</v>
      </c>
      <c r="D597" s="4" t="b">
        <v>0</v>
      </c>
      <c r="E597" s="4" t="b">
        <v>0</v>
      </c>
      <c r="F597" s="4"/>
      <c r="G597" s="4" t="b">
        <f t="shared" si="9"/>
        <v>0</v>
      </c>
      <c r="H597" s="4"/>
      <c r="I597" s="4"/>
      <c r="J597" s="4" t="s">
        <v>94</v>
      </c>
      <c r="K597"/>
    </row>
    <row r="598" spans="1:11" ht="32" x14ac:dyDescent="0.2">
      <c r="A598" s="6" t="s">
        <v>1237</v>
      </c>
      <c r="B598" s="6" t="s">
        <v>1238</v>
      </c>
      <c r="C598" s="4" t="b">
        <v>1</v>
      </c>
      <c r="D598" s="4" t="b">
        <v>0</v>
      </c>
      <c r="E598" s="4" t="b">
        <v>1</v>
      </c>
      <c r="F598" s="4" t="s">
        <v>12</v>
      </c>
      <c r="G598" s="4" t="b">
        <f t="shared" si="9"/>
        <v>1</v>
      </c>
      <c r="H598" s="4" t="s">
        <v>3151</v>
      </c>
      <c r="I598" s="4"/>
      <c r="J598" s="4" t="s">
        <v>94</v>
      </c>
    </row>
    <row r="599" spans="1:11" ht="16" x14ac:dyDescent="0.2">
      <c r="A599" s="6" t="s">
        <v>1239</v>
      </c>
      <c r="B599" s="6" t="s">
        <v>1240</v>
      </c>
      <c r="C599" s="4" t="b">
        <v>0</v>
      </c>
      <c r="D599" s="4" t="b">
        <v>0</v>
      </c>
      <c r="E599" s="4" t="b">
        <v>0</v>
      </c>
      <c r="F599" s="4"/>
      <c r="G599" s="4" t="b">
        <f t="shared" si="9"/>
        <v>0</v>
      </c>
      <c r="H599" s="4"/>
      <c r="I599" s="4"/>
      <c r="J599" s="4" t="s">
        <v>94</v>
      </c>
      <c r="K599"/>
    </row>
    <row r="600" spans="1:11" ht="32" x14ac:dyDescent="0.2">
      <c r="A600" s="6" t="s">
        <v>1241</v>
      </c>
      <c r="B600" s="6" t="s">
        <v>1242</v>
      </c>
      <c r="C600" s="4" t="b">
        <v>0</v>
      </c>
      <c r="D600" s="4" t="b">
        <v>0</v>
      </c>
      <c r="E600" s="4" t="b">
        <v>1</v>
      </c>
      <c r="F600" s="4" t="s">
        <v>12</v>
      </c>
      <c r="G600" s="4" t="b">
        <f t="shared" si="9"/>
        <v>1</v>
      </c>
      <c r="H600" s="4" t="s">
        <v>3105</v>
      </c>
      <c r="I600" s="4"/>
      <c r="J600" s="4" t="s">
        <v>94</v>
      </c>
    </row>
    <row r="601" spans="1:11" ht="16" x14ac:dyDescent="0.2">
      <c r="A601" s="6" t="s">
        <v>1243</v>
      </c>
      <c r="B601" s="6" t="s">
        <v>1244</v>
      </c>
      <c r="C601" s="4" t="b">
        <v>0</v>
      </c>
      <c r="D601" s="4" t="b">
        <v>0</v>
      </c>
      <c r="E601" s="4" t="b">
        <v>1</v>
      </c>
      <c r="F601" s="4"/>
      <c r="G601" s="4" t="b">
        <f t="shared" si="9"/>
        <v>0</v>
      </c>
      <c r="H601" s="4"/>
      <c r="I601" s="4"/>
      <c r="J601" s="4" t="s">
        <v>94</v>
      </c>
      <c r="K601"/>
    </row>
    <row r="602" spans="1:11" ht="16" x14ac:dyDescent="0.2">
      <c r="A602" s="6" t="s">
        <v>1245</v>
      </c>
      <c r="B602" s="6" t="s">
        <v>1246</v>
      </c>
      <c r="C602" s="4" t="b">
        <v>1</v>
      </c>
      <c r="D602" s="4" t="b">
        <v>0</v>
      </c>
      <c r="E602" s="4" t="b">
        <v>1</v>
      </c>
      <c r="F602" s="4" t="s">
        <v>12</v>
      </c>
      <c r="G602" s="4" t="b">
        <f t="shared" si="9"/>
        <v>1</v>
      </c>
      <c r="H602" s="4"/>
      <c r="I602" s="4"/>
      <c r="J602" s="4" t="s">
        <v>94</v>
      </c>
    </row>
    <row r="603" spans="1:11" ht="16" x14ac:dyDescent="0.2">
      <c r="A603" s="6" t="s">
        <v>1247</v>
      </c>
      <c r="B603" s="6" t="s">
        <v>1248</v>
      </c>
      <c r="C603" s="4" t="b">
        <v>0</v>
      </c>
      <c r="D603" s="4" t="b">
        <v>0</v>
      </c>
      <c r="E603" s="4" t="b">
        <v>0</v>
      </c>
      <c r="F603" s="4"/>
      <c r="G603" s="4" t="b">
        <f t="shared" si="9"/>
        <v>0</v>
      </c>
      <c r="H603" s="4"/>
      <c r="I603" s="4"/>
      <c r="J603" s="4" t="s">
        <v>94</v>
      </c>
      <c r="K603"/>
    </row>
    <row r="604" spans="1:11" ht="16" x14ac:dyDescent="0.2">
      <c r="A604" s="6" t="s">
        <v>1249</v>
      </c>
      <c r="B604" s="6" t="s">
        <v>1250</v>
      </c>
      <c r="C604" s="4" t="b">
        <v>1</v>
      </c>
      <c r="D604" s="4" t="b">
        <v>0</v>
      </c>
      <c r="E604" s="4" t="b">
        <v>1</v>
      </c>
      <c r="F604" s="4" t="s">
        <v>12</v>
      </c>
      <c r="G604" s="4" t="b">
        <f t="shared" si="9"/>
        <v>1</v>
      </c>
      <c r="H604" s="4" t="s">
        <v>3150</v>
      </c>
      <c r="I604" s="4"/>
      <c r="J604" s="4" t="s">
        <v>94</v>
      </c>
    </row>
    <row r="605" spans="1:11" ht="16" x14ac:dyDescent="0.2">
      <c r="A605" s="6" t="s">
        <v>1251</v>
      </c>
      <c r="B605" s="6" t="s">
        <v>1252</v>
      </c>
      <c r="C605" s="4" t="b">
        <v>0</v>
      </c>
      <c r="D605" s="4" t="b">
        <v>0</v>
      </c>
      <c r="E605" s="4" t="b">
        <v>0</v>
      </c>
      <c r="F605" s="4"/>
      <c r="G605" s="4" t="b">
        <f t="shared" si="9"/>
        <v>0</v>
      </c>
      <c r="H605" s="4"/>
      <c r="I605" s="4"/>
      <c r="J605" s="4" t="s">
        <v>94</v>
      </c>
      <c r="K605"/>
    </row>
    <row r="606" spans="1:11" ht="16" x14ac:dyDescent="0.2">
      <c r="A606" s="6" t="s">
        <v>1253</v>
      </c>
      <c r="B606" s="6" t="s">
        <v>1254</v>
      </c>
      <c r="C606" s="4" t="b">
        <v>0</v>
      </c>
      <c r="D606" s="4" t="b">
        <v>0</v>
      </c>
      <c r="E606" s="4" t="b">
        <v>0</v>
      </c>
      <c r="F606" s="4"/>
      <c r="G606" s="4" t="b">
        <f t="shared" si="9"/>
        <v>0</v>
      </c>
      <c r="H606" s="4"/>
      <c r="I606" s="4"/>
      <c r="J606" s="4" t="s">
        <v>94</v>
      </c>
      <c r="K606"/>
    </row>
    <row r="607" spans="1:11" ht="16" x14ac:dyDescent="0.2">
      <c r="A607" s="6" t="s">
        <v>1255</v>
      </c>
      <c r="B607" s="6" t="s">
        <v>1256</v>
      </c>
      <c r="C607" s="4" t="b">
        <v>0</v>
      </c>
      <c r="D607" s="4" t="b">
        <v>0</v>
      </c>
      <c r="E607" s="4" t="b">
        <v>1</v>
      </c>
      <c r="F607" s="4"/>
      <c r="G607" s="4" t="b">
        <f t="shared" si="9"/>
        <v>0</v>
      </c>
      <c r="H607" s="4"/>
      <c r="I607" s="4"/>
      <c r="J607" s="4" t="s">
        <v>94</v>
      </c>
      <c r="K607"/>
    </row>
    <row r="608" spans="1:11" ht="16" x14ac:dyDescent="0.2">
      <c r="A608" s="6" t="s">
        <v>1257</v>
      </c>
      <c r="B608" s="6" t="s">
        <v>1258</v>
      </c>
      <c r="C608" s="4" t="b">
        <v>0</v>
      </c>
      <c r="D608" s="4" t="b">
        <v>0</v>
      </c>
      <c r="E608" s="4" t="b">
        <v>0</v>
      </c>
      <c r="F608" s="4"/>
      <c r="G608" s="4" t="b">
        <f t="shared" si="9"/>
        <v>0</v>
      </c>
      <c r="H608" s="4"/>
      <c r="I608" s="4"/>
      <c r="J608" s="4" t="s">
        <v>94</v>
      </c>
      <c r="K608"/>
    </row>
    <row r="609" spans="1:11" ht="16" x14ac:dyDescent="0.2">
      <c r="A609" s="6" t="s">
        <v>1259</v>
      </c>
      <c r="B609" s="6" t="s">
        <v>1260</v>
      </c>
      <c r="C609" s="4" t="b">
        <v>0</v>
      </c>
      <c r="D609" s="4" t="b">
        <v>0</v>
      </c>
      <c r="E609" s="4" t="b">
        <v>1</v>
      </c>
      <c r="F609" s="4"/>
      <c r="G609" s="4" t="b">
        <f t="shared" si="9"/>
        <v>0</v>
      </c>
      <c r="H609" s="4"/>
      <c r="I609" s="4"/>
      <c r="J609" s="4" t="s">
        <v>94</v>
      </c>
      <c r="K609"/>
    </row>
    <row r="610" spans="1:11" ht="16" x14ac:dyDescent="0.2">
      <c r="A610" s="6" t="s">
        <v>1261</v>
      </c>
      <c r="B610" s="6" t="s">
        <v>1262</v>
      </c>
      <c r="C610" s="4" t="b">
        <v>0</v>
      </c>
      <c r="D610" s="4" t="b">
        <v>0</v>
      </c>
      <c r="E610" s="4" t="b">
        <v>0</v>
      </c>
      <c r="F610" s="4"/>
      <c r="G610" s="4" t="b">
        <f t="shared" si="9"/>
        <v>0</v>
      </c>
      <c r="H610" s="4"/>
      <c r="I610" s="4"/>
      <c r="J610" s="4" t="s">
        <v>94</v>
      </c>
      <c r="K610"/>
    </row>
    <row r="611" spans="1:11" ht="16" x14ac:dyDescent="0.2">
      <c r="A611" s="6" t="s">
        <v>1263</v>
      </c>
      <c r="B611" s="6" t="s">
        <v>1264</v>
      </c>
      <c r="C611" s="4" t="b">
        <v>0</v>
      </c>
      <c r="D611" s="4" t="b">
        <v>0</v>
      </c>
      <c r="E611" s="4" t="b">
        <v>1</v>
      </c>
      <c r="F611" s="4"/>
      <c r="G611" s="4" t="b">
        <f t="shared" si="9"/>
        <v>0</v>
      </c>
      <c r="H611" s="4"/>
      <c r="I611" s="4"/>
      <c r="J611" s="4" t="s">
        <v>94</v>
      </c>
      <c r="K611"/>
    </row>
    <row r="612" spans="1:11" ht="16" x14ac:dyDescent="0.2">
      <c r="A612" s="6" t="s">
        <v>1265</v>
      </c>
      <c r="B612" s="6" t="s">
        <v>1266</v>
      </c>
      <c r="C612" s="4" t="b">
        <v>0</v>
      </c>
      <c r="D612" s="4" t="b">
        <v>0</v>
      </c>
      <c r="E612" s="4" t="b">
        <v>0</v>
      </c>
      <c r="F612" s="4"/>
      <c r="G612" s="4" t="b">
        <f t="shared" si="9"/>
        <v>0</v>
      </c>
      <c r="H612" s="4"/>
      <c r="I612" s="4"/>
      <c r="J612" s="4" t="s">
        <v>94</v>
      </c>
      <c r="K612"/>
    </row>
    <row r="613" spans="1:11" ht="48" x14ac:dyDescent="0.2">
      <c r="A613" s="6" t="s">
        <v>1267</v>
      </c>
      <c r="B613" s="6" t="s">
        <v>1268</v>
      </c>
      <c r="C613" s="4" t="b">
        <v>1</v>
      </c>
      <c r="D613" s="4" t="b">
        <v>0</v>
      </c>
      <c r="E613" s="4" t="b">
        <v>1</v>
      </c>
      <c r="F613" s="4" t="s">
        <v>12</v>
      </c>
      <c r="G613" s="4" t="b">
        <f t="shared" si="9"/>
        <v>1</v>
      </c>
      <c r="H613" s="4" t="s">
        <v>3149</v>
      </c>
      <c r="I613" s="4"/>
      <c r="J613" s="4" t="s">
        <v>94</v>
      </c>
    </row>
    <row r="614" spans="1:11" ht="16" x14ac:dyDescent="0.2">
      <c r="A614" s="6" t="s">
        <v>1269</v>
      </c>
      <c r="B614" s="6" t="s">
        <v>1270</v>
      </c>
      <c r="C614" s="4" t="b">
        <v>0</v>
      </c>
      <c r="D614" s="4" t="b">
        <v>0</v>
      </c>
      <c r="E614" s="4" t="b">
        <v>1</v>
      </c>
      <c r="F614" s="4"/>
      <c r="G614" s="4" t="b">
        <f t="shared" si="9"/>
        <v>0</v>
      </c>
      <c r="H614" s="4"/>
      <c r="I614" s="4"/>
      <c r="J614" s="4" t="s">
        <v>94</v>
      </c>
      <c r="K614"/>
    </row>
    <row r="615" spans="1:11" ht="16" x14ac:dyDescent="0.2">
      <c r="A615" s="6" t="s">
        <v>1271</v>
      </c>
      <c r="B615" s="6" t="s">
        <v>1272</v>
      </c>
      <c r="C615" s="4" t="b">
        <v>0</v>
      </c>
      <c r="D615" s="4" t="b">
        <v>0</v>
      </c>
      <c r="E615" s="4" t="b">
        <v>0</v>
      </c>
      <c r="F615" s="4"/>
      <c r="G615" s="4" t="b">
        <f t="shared" si="9"/>
        <v>0</v>
      </c>
      <c r="H615" s="4"/>
      <c r="I615" s="4"/>
      <c r="J615" s="4" t="s">
        <v>94</v>
      </c>
      <c r="K615"/>
    </row>
    <row r="616" spans="1:11" ht="16" x14ac:dyDescent="0.2">
      <c r="A616" s="6" t="s">
        <v>1273</v>
      </c>
      <c r="B616" s="6" t="s">
        <v>1274</v>
      </c>
      <c r="C616" s="4" t="b">
        <v>0</v>
      </c>
      <c r="D616" s="4" t="b">
        <v>0</v>
      </c>
      <c r="E616" s="4" t="b">
        <v>0</v>
      </c>
      <c r="F616" s="4"/>
      <c r="G616" s="4" t="b">
        <f t="shared" si="9"/>
        <v>0</v>
      </c>
      <c r="H616" s="4"/>
      <c r="I616" s="4"/>
      <c r="J616" s="4" t="s">
        <v>94</v>
      </c>
      <c r="K616"/>
    </row>
    <row r="617" spans="1:11" ht="16" x14ac:dyDescent="0.2">
      <c r="A617" s="6" t="s">
        <v>1275</v>
      </c>
      <c r="B617" s="6" t="s">
        <v>1276</v>
      </c>
      <c r="C617" s="4" t="b">
        <v>0</v>
      </c>
      <c r="D617" s="4" t="b">
        <v>0</v>
      </c>
      <c r="E617" s="4" t="b">
        <v>1</v>
      </c>
      <c r="F617" s="4"/>
      <c r="G617" s="4" t="b">
        <f t="shared" si="9"/>
        <v>0</v>
      </c>
      <c r="H617" s="4"/>
      <c r="I617" s="4"/>
      <c r="J617" s="4" t="s">
        <v>94</v>
      </c>
      <c r="K617"/>
    </row>
    <row r="618" spans="1:11" ht="48" x14ac:dyDescent="0.2">
      <c r="A618" s="6" t="s">
        <v>1277</v>
      </c>
      <c r="B618" s="6" t="s">
        <v>1278</v>
      </c>
      <c r="C618" s="4" t="b">
        <v>1</v>
      </c>
      <c r="D618" s="4" t="b">
        <v>0</v>
      </c>
      <c r="E618" s="4" t="b">
        <v>1</v>
      </c>
      <c r="F618" s="4" t="s">
        <v>12</v>
      </c>
      <c r="G618" s="4" t="b">
        <f t="shared" si="9"/>
        <v>1</v>
      </c>
      <c r="H618" s="4" t="s">
        <v>3148</v>
      </c>
      <c r="I618" s="4"/>
      <c r="J618" s="4" t="s">
        <v>94</v>
      </c>
    </row>
    <row r="619" spans="1:11" ht="16" x14ac:dyDescent="0.2">
      <c r="A619" s="6" t="s">
        <v>1279</v>
      </c>
      <c r="B619" s="6" t="s">
        <v>1280</v>
      </c>
      <c r="C619" s="4" t="b">
        <v>0</v>
      </c>
      <c r="D619" s="4" t="b">
        <v>0</v>
      </c>
      <c r="E619" s="4" t="b">
        <v>0</v>
      </c>
      <c r="F619" s="4" t="s">
        <v>12</v>
      </c>
      <c r="G619" s="4" t="b">
        <f t="shared" si="9"/>
        <v>1</v>
      </c>
      <c r="H619" s="4"/>
      <c r="I619" s="4"/>
      <c r="J619" s="4" t="s">
        <v>94</v>
      </c>
    </row>
    <row r="620" spans="1:11" ht="160" x14ac:dyDescent="0.2">
      <c r="A620" s="6" t="s">
        <v>1281</v>
      </c>
      <c r="B620" s="6" t="s">
        <v>1282</v>
      </c>
      <c r="C620" s="4" t="b">
        <v>1</v>
      </c>
      <c r="D620" s="4" t="b">
        <v>1</v>
      </c>
      <c r="E620" s="4" t="b">
        <v>1</v>
      </c>
      <c r="F620" s="4" t="s">
        <v>12</v>
      </c>
      <c r="G620" s="4" t="b">
        <f t="shared" si="9"/>
        <v>1</v>
      </c>
      <c r="H620" s="4" t="s">
        <v>3158</v>
      </c>
      <c r="I620" s="4"/>
      <c r="J620" s="4" t="s">
        <v>94</v>
      </c>
    </row>
    <row r="621" spans="1:11" ht="48" x14ac:dyDescent="0.2">
      <c r="A621" s="6" t="s">
        <v>1283</v>
      </c>
      <c r="B621" s="6" t="s">
        <v>1284</v>
      </c>
      <c r="C621" s="4" t="b">
        <v>1</v>
      </c>
      <c r="D621" s="4" t="b">
        <v>1</v>
      </c>
      <c r="E621" s="4" t="b">
        <v>1</v>
      </c>
      <c r="F621" s="4" t="s">
        <v>12</v>
      </c>
      <c r="G621" s="4" t="b">
        <f t="shared" si="9"/>
        <v>1</v>
      </c>
      <c r="H621" s="4" t="s">
        <v>3147</v>
      </c>
      <c r="I621" s="4"/>
      <c r="J621" s="4" t="s">
        <v>94</v>
      </c>
    </row>
    <row r="622" spans="1:11" ht="16" x14ac:dyDescent="0.2">
      <c r="A622" s="6" t="s">
        <v>1285</v>
      </c>
      <c r="B622" s="6" t="s">
        <v>1286</v>
      </c>
      <c r="C622" s="4" t="b">
        <v>0</v>
      </c>
      <c r="D622" s="4" t="b">
        <v>0</v>
      </c>
      <c r="E622" s="4" t="b">
        <v>1</v>
      </c>
      <c r="F622" s="4"/>
      <c r="G622" s="4" t="b">
        <f t="shared" si="9"/>
        <v>0</v>
      </c>
      <c r="H622" s="4"/>
      <c r="I622" s="4"/>
      <c r="J622" s="4" t="s">
        <v>94</v>
      </c>
      <c r="K622"/>
    </row>
    <row r="623" spans="1:11" ht="16" x14ac:dyDescent="0.2">
      <c r="A623" s="6" t="s">
        <v>1287</v>
      </c>
      <c r="B623" s="6" t="s">
        <v>1288</v>
      </c>
      <c r="C623" s="4" t="b">
        <v>0</v>
      </c>
      <c r="D623" s="4" t="b">
        <v>0</v>
      </c>
      <c r="E623" s="4" t="b">
        <v>0</v>
      </c>
      <c r="F623" s="4"/>
      <c r="G623" s="4" t="b">
        <f t="shared" si="9"/>
        <v>0</v>
      </c>
      <c r="H623" s="4"/>
      <c r="I623" s="4"/>
      <c r="J623" s="4" t="s">
        <v>94</v>
      </c>
      <c r="K623"/>
    </row>
    <row r="624" spans="1:11" ht="16" x14ac:dyDescent="0.2">
      <c r="A624" s="6" t="s">
        <v>1289</v>
      </c>
      <c r="B624" s="6" t="s">
        <v>1290</v>
      </c>
      <c r="C624" s="4" t="b">
        <v>0</v>
      </c>
      <c r="D624" s="4" t="b">
        <v>0</v>
      </c>
      <c r="E624" s="4" t="b">
        <v>1</v>
      </c>
      <c r="F624" s="4" t="s">
        <v>12</v>
      </c>
      <c r="G624" s="4" t="b">
        <f t="shared" si="9"/>
        <v>1</v>
      </c>
      <c r="H624" s="4"/>
      <c r="I624" s="4"/>
      <c r="J624" s="4" t="s">
        <v>94</v>
      </c>
    </row>
    <row r="625" spans="1:11" ht="64" x14ac:dyDescent="0.2">
      <c r="A625" s="6" t="s">
        <v>1291</v>
      </c>
      <c r="B625" s="6" t="s">
        <v>1292</v>
      </c>
      <c r="C625" s="4" t="b">
        <v>1</v>
      </c>
      <c r="D625" s="4" t="b">
        <v>0</v>
      </c>
      <c r="E625" s="4" t="b">
        <v>1</v>
      </c>
      <c r="F625" s="4" t="s">
        <v>12</v>
      </c>
      <c r="G625" s="4" t="b">
        <f t="shared" si="9"/>
        <v>1</v>
      </c>
      <c r="H625" s="4" t="s">
        <v>3146</v>
      </c>
      <c r="I625" s="4"/>
      <c r="J625" s="4" t="s">
        <v>94</v>
      </c>
    </row>
    <row r="626" spans="1:11" ht="16" x14ac:dyDescent="0.2">
      <c r="A626" s="6" t="s">
        <v>1293</v>
      </c>
      <c r="B626" s="6" t="s">
        <v>1294</v>
      </c>
      <c r="C626" s="4" t="b">
        <v>0</v>
      </c>
      <c r="D626" s="4" t="b">
        <v>0</v>
      </c>
      <c r="E626" s="4" t="b">
        <v>1</v>
      </c>
      <c r="F626" s="4"/>
      <c r="G626" s="4" t="b">
        <f t="shared" si="9"/>
        <v>0</v>
      </c>
      <c r="H626" s="4"/>
      <c r="I626" s="4"/>
      <c r="J626" s="4" t="s">
        <v>94</v>
      </c>
      <c r="K626"/>
    </row>
    <row r="627" spans="1:11" ht="16" x14ac:dyDescent="0.2">
      <c r="A627" s="6" t="s">
        <v>1295</v>
      </c>
      <c r="B627" s="6" t="s">
        <v>1296</v>
      </c>
      <c r="C627" s="4" t="b">
        <v>0</v>
      </c>
      <c r="D627" s="4" t="b">
        <v>0</v>
      </c>
      <c r="E627" s="4" t="b">
        <v>1</v>
      </c>
      <c r="F627" s="4"/>
      <c r="G627" s="4" t="b">
        <f t="shared" si="9"/>
        <v>0</v>
      </c>
      <c r="H627" s="4"/>
      <c r="I627" s="4"/>
      <c r="J627" s="4" t="s">
        <v>94</v>
      </c>
      <c r="K627"/>
    </row>
    <row r="628" spans="1:11" ht="64" x14ac:dyDescent="0.2">
      <c r="A628" s="6" t="s">
        <v>1297</v>
      </c>
      <c r="B628" s="6" t="s">
        <v>1298</v>
      </c>
      <c r="C628" s="4" t="b">
        <v>0</v>
      </c>
      <c r="D628" s="4" t="b">
        <v>0</v>
      </c>
      <c r="E628" s="4" t="b">
        <v>1</v>
      </c>
      <c r="F628" s="4" t="s">
        <v>12</v>
      </c>
      <c r="G628" s="4" t="b">
        <f t="shared" si="9"/>
        <v>1</v>
      </c>
      <c r="H628" s="4" t="s">
        <v>3021</v>
      </c>
      <c r="I628" s="4"/>
      <c r="J628" s="4" t="s">
        <v>94</v>
      </c>
    </row>
    <row r="629" spans="1:11" ht="16" x14ac:dyDescent="0.2">
      <c r="A629" s="6" t="s">
        <v>1299</v>
      </c>
      <c r="B629" s="6" t="s">
        <v>1300</v>
      </c>
      <c r="C629" s="4" t="b">
        <v>0</v>
      </c>
      <c r="D629" s="4" t="b">
        <v>0</v>
      </c>
      <c r="E629" s="4" t="b">
        <v>1</v>
      </c>
      <c r="F629" s="4"/>
      <c r="G629" s="4" t="b">
        <f t="shared" si="9"/>
        <v>0</v>
      </c>
      <c r="H629" s="4"/>
      <c r="I629" s="4"/>
      <c r="J629" s="4" t="s">
        <v>94</v>
      </c>
      <c r="K629"/>
    </row>
    <row r="630" spans="1:11" ht="16" x14ac:dyDescent="0.2">
      <c r="A630" s="6" t="s">
        <v>1301</v>
      </c>
      <c r="B630" s="6" t="s">
        <v>1302</v>
      </c>
      <c r="C630" s="4" t="b">
        <v>0</v>
      </c>
      <c r="D630" s="4" t="b">
        <v>0</v>
      </c>
      <c r="E630" s="4" t="b">
        <v>0</v>
      </c>
      <c r="F630" s="4"/>
      <c r="G630" s="4" t="b">
        <f t="shared" si="9"/>
        <v>0</v>
      </c>
      <c r="H630" s="4"/>
      <c r="I630" s="4"/>
      <c r="J630" s="4" t="s">
        <v>94</v>
      </c>
      <c r="K630"/>
    </row>
    <row r="631" spans="1:11" ht="16" x14ac:dyDescent="0.2">
      <c r="A631" s="6" t="s">
        <v>1303</v>
      </c>
      <c r="B631" s="6" t="s">
        <v>1304</v>
      </c>
      <c r="C631" s="4" t="b">
        <v>0</v>
      </c>
      <c r="D631" s="4" t="b">
        <v>0</v>
      </c>
      <c r="E631" s="4" t="b">
        <v>1</v>
      </c>
      <c r="F631" s="4"/>
      <c r="G631" s="4" t="b">
        <f t="shared" si="9"/>
        <v>0</v>
      </c>
      <c r="H631" s="4"/>
      <c r="I631" s="4"/>
      <c r="J631" s="4" t="s">
        <v>94</v>
      </c>
      <c r="K631"/>
    </row>
    <row r="632" spans="1:11" ht="16" x14ac:dyDescent="0.2">
      <c r="A632" s="6" t="s">
        <v>1305</v>
      </c>
      <c r="B632" s="6" t="s">
        <v>1306</v>
      </c>
      <c r="C632" s="4" t="b">
        <v>0</v>
      </c>
      <c r="D632" s="4" t="b">
        <v>0</v>
      </c>
      <c r="E632" s="4" t="b">
        <v>0</v>
      </c>
      <c r="F632" s="4"/>
      <c r="G632" s="4" t="b">
        <f t="shared" si="9"/>
        <v>0</v>
      </c>
      <c r="H632" s="4"/>
      <c r="I632" s="4"/>
      <c r="J632" s="4" t="s">
        <v>94</v>
      </c>
      <c r="K632"/>
    </row>
    <row r="633" spans="1:11" ht="16" x14ac:dyDescent="0.2">
      <c r="A633" s="6" t="s">
        <v>1307</v>
      </c>
      <c r="B633" s="6" t="s">
        <v>1308</v>
      </c>
      <c r="C633" s="4" t="b">
        <v>0</v>
      </c>
      <c r="D633" s="4" t="b">
        <v>0</v>
      </c>
      <c r="E633" s="4" t="b">
        <v>0</v>
      </c>
      <c r="F633" s="4"/>
      <c r="G633" s="4" t="b">
        <f t="shared" si="9"/>
        <v>0</v>
      </c>
      <c r="H633" s="4"/>
      <c r="I633" s="4"/>
      <c r="J633" s="4" t="s">
        <v>1309</v>
      </c>
      <c r="K633"/>
    </row>
    <row r="634" spans="1:11" ht="16" x14ac:dyDescent="0.2">
      <c r="A634" s="6" t="s">
        <v>1310</v>
      </c>
      <c r="B634" s="6" t="s">
        <v>1311</v>
      </c>
      <c r="C634" s="4" t="b">
        <v>0</v>
      </c>
      <c r="D634" s="4" t="b">
        <v>0</v>
      </c>
      <c r="E634" s="4" t="b">
        <v>0</v>
      </c>
      <c r="F634" s="4"/>
      <c r="G634" s="4" t="b">
        <f t="shared" si="9"/>
        <v>0</v>
      </c>
      <c r="H634" s="4"/>
      <c r="I634" s="4"/>
      <c r="J634" s="4" t="s">
        <v>1309</v>
      </c>
      <c r="K634"/>
    </row>
    <row r="635" spans="1:11" ht="112" x14ac:dyDescent="0.2">
      <c r="A635" s="6" t="s">
        <v>1312</v>
      </c>
      <c r="B635" s="6" t="s">
        <v>1313</v>
      </c>
      <c r="C635" s="4" t="b">
        <v>1</v>
      </c>
      <c r="D635" s="4" t="b">
        <v>1</v>
      </c>
      <c r="E635" s="4" t="b">
        <v>1</v>
      </c>
      <c r="F635" s="4" t="s">
        <v>12</v>
      </c>
      <c r="G635" s="4" t="b">
        <f t="shared" si="9"/>
        <v>1</v>
      </c>
      <c r="H635" s="4" t="s">
        <v>3096</v>
      </c>
      <c r="I635" s="4"/>
      <c r="J635" s="4" t="s">
        <v>1309</v>
      </c>
    </row>
    <row r="636" spans="1:11" ht="16" x14ac:dyDescent="0.2">
      <c r="A636" s="6" t="s">
        <v>1314</v>
      </c>
      <c r="B636" s="6" t="s">
        <v>1315</v>
      </c>
      <c r="C636" s="4" t="b">
        <v>0</v>
      </c>
      <c r="D636" s="4" t="b">
        <v>0</v>
      </c>
      <c r="E636" s="4" t="b">
        <v>0</v>
      </c>
      <c r="F636" s="4"/>
      <c r="G636" s="4" t="b">
        <f t="shared" si="9"/>
        <v>0</v>
      </c>
      <c r="H636" s="4"/>
      <c r="I636" s="4"/>
      <c r="J636" s="4" t="s">
        <v>1309</v>
      </c>
      <c r="K636"/>
    </row>
    <row r="637" spans="1:11" ht="32" x14ac:dyDescent="0.2">
      <c r="A637" s="6" t="s">
        <v>1316</v>
      </c>
      <c r="B637" s="6" t="s">
        <v>1317</v>
      </c>
      <c r="C637" s="4" t="b">
        <v>1</v>
      </c>
      <c r="D637" s="4" t="b">
        <v>0</v>
      </c>
      <c r="E637" s="4" t="b">
        <v>1</v>
      </c>
      <c r="F637" s="4" t="s">
        <v>12</v>
      </c>
      <c r="G637" s="4" t="b">
        <f t="shared" si="9"/>
        <v>1</v>
      </c>
      <c r="H637" s="4" t="s">
        <v>3095</v>
      </c>
      <c r="I637" s="4"/>
      <c r="J637" s="4" t="s">
        <v>1309</v>
      </c>
    </row>
    <row r="638" spans="1:11" ht="80" x14ac:dyDescent="0.2">
      <c r="A638" s="6" t="s">
        <v>1318</v>
      </c>
      <c r="B638" s="6" t="s">
        <v>1319</v>
      </c>
      <c r="C638" s="4" t="b">
        <v>1</v>
      </c>
      <c r="D638" s="4" t="b">
        <v>0</v>
      </c>
      <c r="E638" s="4" t="b">
        <v>0</v>
      </c>
      <c r="F638" s="4" t="s">
        <v>12</v>
      </c>
      <c r="G638" s="4" t="b">
        <f t="shared" si="9"/>
        <v>1</v>
      </c>
      <c r="H638" s="4" t="s">
        <v>3094</v>
      </c>
      <c r="I638" s="4"/>
      <c r="J638" s="4" t="s">
        <v>1309</v>
      </c>
    </row>
    <row r="639" spans="1:11" ht="160" x14ac:dyDescent="0.2">
      <c r="A639" s="6" t="s">
        <v>1320</v>
      </c>
      <c r="B639" s="6" t="s">
        <v>1321</v>
      </c>
      <c r="C639" s="4" t="b">
        <v>1</v>
      </c>
      <c r="D639" s="4" t="b">
        <v>0</v>
      </c>
      <c r="E639" s="4" t="b">
        <v>1</v>
      </c>
      <c r="F639" s="4" t="s">
        <v>12</v>
      </c>
      <c r="G639" s="4" t="b">
        <f t="shared" si="9"/>
        <v>1</v>
      </c>
      <c r="H639" s="4" t="s">
        <v>3093</v>
      </c>
      <c r="I639" s="4"/>
      <c r="J639" s="4" t="s">
        <v>1309</v>
      </c>
    </row>
    <row r="640" spans="1:11" ht="64" x14ac:dyDescent="0.2">
      <c r="A640" s="6" t="s">
        <v>1322</v>
      </c>
      <c r="B640" s="6" t="s">
        <v>1323</v>
      </c>
      <c r="C640" s="4" t="b">
        <v>1</v>
      </c>
      <c r="D640" s="4" t="b">
        <v>1</v>
      </c>
      <c r="E640" s="4" t="b">
        <v>1</v>
      </c>
      <c r="F640" s="4" t="s">
        <v>12</v>
      </c>
      <c r="G640" s="4" t="b">
        <f t="shared" si="9"/>
        <v>1</v>
      </c>
      <c r="H640" s="4" t="s">
        <v>3092</v>
      </c>
      <c r="I640" s="4"/>
      <c r="J640" s="4" t="s">
        <v>1309</v>
      </c>
    </row>
    <row r="641" spans="1:11" ht="16" x14ac:dyDescent="0.2">
      <c r="A641" s="6" t="s">
        <v>1324</v>
      </c>
      <c r="B641" s="6" t="s">
        <v>1325</v>
      </c>
      <c r="C641" s="4" t="b">
        <v>0</v>
      </c>
      <c r="D641" s="4" t="b">
        <v>0</v>
      </c>
      <c r="E641" s="4" t="b">
        <v>0</v>
      </c>
      <c r="F641" s="4"/>
      <c r="G641" s="4" t="b">
        <f t="shared" si="9"/>
        <v>0</v>
      </c>
      <c r="H641" s="4"/>
      <c r="I641" s="4"/>
      <c r="J641" s="4" t="s">
        <v>1309</v>
      </c>
      <c r="K641"/>
    </row>
    <row r="642" spans="1:11" ht="16" x14ac:dyDescent="0.2">
      <c r="A642" s="6" t="s">
        <v>1326</v>
      </c>
      <c r="B642" s="6" t="s">
        <v>1327</v>
      </c>
      <c r="C642" s="4" t="b">
        <v>0</v>
      </c>
      <c r="D642" s="4" t="b">
        <v>0</v>
      </c>
      <c r="E642" s="4" t="b">
        <v>0</v>
      </c>
      <c r="F642" s="4"/>
      <c r="G642" s="4" t="b">
        <f t="shared" ref="G642:G705" si="10">IF(F642="✔", TRUE, FALSE)</f>
        <v>0</v>
      </c>
      <c r="H642" s="4"/>
      <c r="I642" s="4"/>
      <c r="J642" s="4" t="s">
        <v>1309</v>
      </c>
      <c r="K642"/>
    </row>
    <row r="643" spans="1:11" ht="16" x14ac:dyDescent="0.2">
      <c r="A643" s="6" t="s">
        <v>1328</v>
      </c>
      <c r="B643" s="6" t="s">
        <v>1329</v>
      </c>
      <c r="C643" s="4" t="b">
        <v>0</v>
      </c>
      <c r="D643" s="4" t="b">
        <v>0</v>
      </c>
      <c r="E643" s="4" t="b">
        <v>0</v>
      </c>
      <c r="F643" s="4"/>
      <c r="G643" s="4" t="b">
        <f t="shared" si="10"/>
        <v>0</v>
      </c>
      <c r="H643" s="4"/>
      <c r="I643" s="4"/>
      <c r="J643" s="4" t="s">
        <v>1309</v>
      </c>
      <c r="K643"/>
    </row>
    <row r="644" spans="1:11" ht="16" x14ac:dyDescent="0.2">
      <c r="A644" s="6" t="s">
        <v>1330</v>
      </c>
      <c r="B644" s="6" t="s">
        <v>1331</v>
      </c>
      <c r="C644" s="4" t="b">
        <v>0</v>
      </c>
      <c r="D644" s="4" t="b">
        <v>0</v>
      </c>
      <c r="E644" s="4" t="b">
        <v>0</v>
      </c>
      <c r="F644" s="4"/>
      <c r="G644" s="4" t="b">
        <f t="shared" si="10"/>
        <v>0</v>
      </c>
      <c r="H644" s="4"/>
      <c r="I644" s="4"/>
      <c r="J644" s="4" t="s">
        <v>1309</v>
      </c>
      <c r="K644"/>
    </row>
    <row r="645" spans="1:11" ht="16" x14ac:dyDescent="0.2">
      <c r="A645" s="6" t="s">
        <v>1332</v>
      </c>
      <c r="B645" s="6" t="s">
        <v>1333</v>
      </c>
      <c r="C645" s="4" t="b">
        <v>0</v>
      </c>
      <c r="D645" s="4" t="b">
        <v>0</v>
      </c>
      <c r="E645" s="4" t="b">
        <v>0</v>
      </c>
      <c r="F645" s="4"/>
      <c r="G645" s="4" t="b">
        <f t="shared" si="10"/>
        <v>0</v>
      </c>
      <c r="H645" s="4"/>
      <c r="I645" s="4"/>
      <c r="J645" s="4" t="s">
        <v>1309</v>
      </c>
      <c r="K645"/>
    </row>
    <row r="646" spans="1:11" ht="32" x14ac:dyDescent="0.2">
      <c r="A646" s="6" t="s">
        <v>1334</v>
      </c>
      <c r="B646" s="6" t="s">
        <v>1335</v>
      </c>
      <c r="C646" s="4" t="b">
        <v>0</v>
      </c>
      <c r="D646" s="4" t="b">
        <v>0</v>
      </c>
      <c r="E646" s="4" t="b">
        <v>0</v>
      </c>
      <c r="F646" s="4"/>
      <c r="G646" s="4" t="b">
        <f t="shared" si="10"/>
        <v>0</v>
      </c>
      <c r="H646" s="4"/>
      <c r="I646" s="4"/>
      <c r="J646" s="4" t="s">
        <v>1336</v>
      </c>
      <c r="K646"/>
    </row>
    <row r="647" spans="1:11" ht="32" x14ac:dyDescent="0.2">
      <c r="A647" s="6" t="s">
        <v>1337</v>
      </c>
      <c r="B647" s="6" t="s">
        <v>1338</v>
      </c>
      <c r="C647" s="4" t="b">
        <v>0</v>
      </c>
      <c r="D647" s="4" t="b">
        <v>0</v>
      </c>
      <c r="E647" s="4" t="b">
        <v>1</v>
      </c>
      <c r="F647" s="4" t="s">
        <v>12</v>
      </c>
      <c r="G647" s="4" t="b">
        <f t="shared" si="10"/>
        <v>1</v>
      </c>
      <c r="H647" s="4" t="s">
        <v>34</v>
      </c>
      <c r="I647" s="4"/>
      <c r="J647" s="4" t="s">
        <v>1336</v>
      </c>
    </row>
    <row r="648" spans="1:11" ht="32" x14ac:dyDescent="0.2">
      <c r="A648" s="6" t="s">
        <v>1339</v>
      </c>
      <c r="B648" s="6" t="s">
        <v>1340</v>
      </c>
      <c r="C648" s="4" t="b">
        <v>1</v>
      </c>
      <c r="D648" s="4" t="b">
        <v>0</v>
      </c>
      <c r="E648" s="4" t="b">
        <v>1</v>
      </c>
      <c r="F648" s="4" t="s">
        <v>12</v>
      </c>
      <c r="G648" s="4" t="b">
        <f t="shared" si="10"/>
        <v>1</v>
      </c>
      <c r="H648" s="4" t="s">
        <v>3091</v>
      </c>
      <c r="I648" s="4"/>
      <c r="J648" s="4" t="s">
        <v>1336</v>
      </c>
    </row>
    <row r="649" spans="1:11" ht="16" x14ac:dyDescent="0.2">
      <c r="A649" s="6" t="s">
        <v>1341</v>
      </c>
      <c r="B649" s="6" t="s">
        <v>1342</v>
      </c>
      <c r="C649" s="4" t="b">
        <v>0</v>
      </c>
      <c r="D649" s="4" t="b">
        <v>0</v>
      </c>
      <c r="E649" s="4" t="b">
        <v>1</v>
      </c>
      <c r="F649" s="4"/>
      <c r="G649" s="4" t="b">
        <f t="shared" si="10"/>
        <v>0</v>
      </c>
      <c r="H649" s="4"/>
      <c r="I649" s="4"/>
      <c r="J649" s="4" t="s">
        <v>621</v>
      </c>
      <c r="K649"/>
    </row>
    <row r="650" spans="1:11" ht="112" x14ac:dyDescent="0.2">
      <c r="A650" s="6" t="s">
        <v>1343</v>
      </c>
      <c r="B650" s="6" t="s">
        <v>1344</v>
      </c>
      <c r="C650" s="4" t="b">
        <v>1</v>
      </c>
      <c r="D650" s="4" t="b">
        <v>0</v>
      </c>
      <c r="E650" s="4" t="b">
        <v>1</v>
      </c>
      <c r="F650" s="4" t="s">
        <v>12</v>
      </c>
      <c r="G650" s="4" t="b">
        <f t="shared" si="10"/>
        <v>1</v>
      </c>
      <c r="H650" s="4" t="s">
        <v>3090</v>
      </c>
      <c r="I650" s="4"/>
      <c r="J650" s="4" t="s">
        <v>621</v>
      </c>
    </row>
    <row r="651" spans="1:11" ht="16" x14ac:dyDescent="0.2">
      <c r="A651" s="6" t="s">
        <v>1345</v>
      </c>
      <c r="B651" s="6" t="s">
        <v>1346</v>
      </c>
      <c r="C651" s="4" t="b">
        <v>0</v>
      </c>
      <c r="D651" s="4" t="b">
        <v>0</v>
      </c>
      <c r="E651" s="4" t="b">
        <v>0</v>
      </c>
      <c r="F651" s="4"/>
      <c r="G651" s="4" t="b">
        <f t="shared" si="10"/>
        <v>0</v>
      </c>
      <c r="H651" s="4"/>
      <c r="I651" s="4"/>
      <c r="J651" s="4" t="s">
        <v>621</v>
      </c>
      <c r="K651"/>
    </row>
    <row r="652" spans="1:11" ht="96" x14ac:dyDescent="0.2">
      <c r="A652" s="6" t="s">
        <v>1347</v>
      </c>
      <c r="B652" s="6" t="s">
        <v>1348</v>
      </c>
      <c r="C652" s="4" t="b">
        <v>1</v>
      </c>
      <c r="D652" s="4" t="b">
        <v>1</v>
      </c>
      <c r="E652" s="4" t="b">
        <v>1</v>
      </c>
      <c r="F652" s="4" t="s">
        <v>12</v>
      </c>
      <c r="G652" s="4" t="b">
        <f t="shared" si="10"/>
        <v>1</v>
      </c>
      <c r="H652" s="4" t="s">
        <v>3089</v>
      </c>
      <c r="I652" s="4"/>
      <c r="J652" s="4" t="s">
        <v>621</v>
      </c>
    </row>
    <row r="653" spans="1:11" ht="16" x14ac:dyDescent="0.2">
      <c r="A653" s="6" t="s">
        <v>1349</v>
      </c>
      <c r="B653" s="6" t="s">
        <v>1350</v>
      </c>
      <c r="C653" s="4" t="b">
        <v>0</v>
      </c>
      <c r="D653" s="4" t="b">
        <v>0</v>
      </c>
      <c r="E653" s="4" t="b">
        <v>0</v>
      </c>
      <c r="F653" s="4"/>
      <c r="G653" s="4" t="b">
        <f t="shared" si="10"/>
        <v>0</v>
      </c>
      <c r="H653" s="4"/>
      <c r="I653" s="4"/>
      <c r="J653" s="4" t="s">
        <v>621</v>
      </c>
      <c r="K653"/>
    </row>
    <row r="654" spans="1:11" ht="16" x14ac:dyDescent="0.2">
      <c r="A654" s="6" t="s">
        <v>1351</v>
      </c>
      <c r="B654" s="6" t="s">
        <v>1352</v>
      </c>
      <c r="C654" s="4" t="b">
        <v>0</v>
      </c>
      <c r="D654" s="4" t="b">
        <v>0</v>
      </c>
      <c r="E654" s="4" t="b">
        <v>1</v>
      </c>
      <c r="F654" s="4"/>
      <c r="G654" s="4" t="b">
        <f t="shared" si="10"/>
        <v>0</v>
      </c>
      <c r="H654" s="4"/>
      <c r="I654" s="4"/>
      <c r="J654" s="4" t="s">
        <v>621</v>
      </c>
      <c r="K654"/>
    </row>
    <row r="655" spans="1:11" ht="96" x14ac:dyDescent="0.2">
      <c r="A655" s="6" t="s">
        <v>1353</v>
      </c>
      <c r="B655" s="6" t="s">
        <v>1354</v>
      </c>
      <c r="C655" s="4" t="b">
        <v>1</v>
      </c>
      <c r="D655" s="4" t="b">
        <v>0</v>
      </c>
      <c r="E655" s="4" t="b">
        <v>1</v>
      </c>
      <c r="F655" s="4" t="s">
        <v>12</v>
      </c>
      <c r="G655" s="4" t="b">
        <f t="shared" si="10"/>
        <v>1</v>
      </c>
      <c r="H655" s="4" t="s">
        <v>3088</v>
      </c>
      <c r="I655" s="4"/>
      <c r="J655" s="4" t="s">
        <v>621</v>
      </c>
    </row>
    <row r="656" spans="1:11" ht="16" x14ac:dyDescent="0.2">
      <c r="A656" s="6" t="s">
        <v>1355</v>
      </c>
      <c r="B656" s="6" t="s">
        <v>1356</v>
      </c>
      <c r="C656" s="4" t="b">
        <v>0</v>
      </c>
      <c r="D656" s="4" t="b">
        <v>0</v>
      </c>
      <c r="E656" s="4" t="b">
        <v>1</v>
      </c>
      <c r="F656" s="4"/>
      <c r="G656" s="4" t="b">
        <f t="shared" si="10"/>
        <v>0</v>
      </c>
      <c r="H656" s="4"/>
      <c r="I656" s="4"/>
      <c r="J656" s="4" t="s">
        <v>621</v>
      </c>
      <c r="K656"/>
    </row>
    <row r="657" spans="1:11" ht="16" x14ac:dyDescent="0.2">
      <c r="A657" s="6" t="s">
        <v>1357</v>
      </c>
      <c r="B657" s="6" t="s">
        <v>1358</v>
      </c>
      <c r="C657" s="4" t="b">
        <v>0</v>
      </c>
      <c r="D657" s="4" t="b">
        <v>0</v>
      </c>
      <c r="E657" s="4" t="b">
        <v>0</v>
      </c>
      <c r="F657" s="4"/>
      <c r="G657" s="4" t="b">
        <f t="shared" si="10"/>
        <v>0</v>
      </c>
      <c r="H657" s="4"/>
      <c r="I657" s="4"/>
      <c r="J657" s="4" t="s">
        <v>621</v>
      </c>
      <c r="K657"/>
    </row>
    <row r="658" spans="1:11" ht="16" x14ac:dyDescent="0.2">
      <c r="A658" s="6" t="s">
        <v>1359</v>
      </c>
      <c r="B658" s="6" t="s">
        <v>1360</v>
      </c>
      <c r="C658" s="4" t="b">
        <v>0</v>
      </c>
      <c r="D658" s="4" t="b">
        <v>0</v>
      </c>
      <c r="E658" s="4" t="b">
        <v>1</v>
      </c>
      <c r="F658" s="4"/>
      <c r="G658" s="4" t="b">
        <f t="shared" si="10"/>
        <v>0</v>
      </c>
      <c r="H658" s="4"/>
      <c r="I658" s="4"/>
      <c r="J658" s="4" t="s">
        <v>621</v>
      </c>
      <c r="K658"/>
    </row>
    <row r="659" spans="1:11" ht="48" x14ac:dyDescent="0.2">
      <c r="A659" s="6" t="s">
        <v>1361</v>
      </c>
      <c r="B659" s="6" t="s">
        <v>1362</v>
      </c>
      <c r="C659" s="4" t="b">
        <v>1</v>
      </c>
      <c r="D659" s="4" t="b">
        <v>1</v>
      </c>
      <c r="E659" s="4" t="b">
        <v>1</v>
      </c>
      <c r="F659" s="4" t="s">
        <v>12</v>
      </c>
      <c r="G659" s="4" t="b">
        <f t="shared" si="10"/>
        <v>1</v>
      </c>
      <c r="H659" s="4" t="s">
        <v>3087</v>
      </c>
      <c r="I659" s="4"/>
      <c r="J659" s="4" t="s">
        <v>621</v>
      </c>
    </row>
    <row r="660" spans="1:11" ht="128" x14ac:dyDescent="0.2">
      <c r="A660" s="6" t="s">
        <v>1363</v>
      </c>
      <c r="B660" s="6" t="s">
        <v>1364</v>
      </c>
      <c r="C660" s="4" t="b">
        <v>1</v>
      </c>
      <c r="D660" s="4" t="b">
        <v>1</v>
      </c>
      <c r="E660" s="4" t="b">
        <v>1</v>
      </c>
      <c r="F660" s="4" t="s">
        <v>12</v>
      </c>
      <c r="G660" s="4" t="b">
        <f t="shared" si="10"/>
        <v>1</v>
      </c>
      <c r="H660" s="4" t="s">
        <v>3086</v>
      </c>
      <c r="I660" s="4"/>
      <c r="J660" s="4" t="s">
        <v>621</v>
      </c>
    </row>
    <row r="661" spans="1:11" ht="64" x14ac:dyDescent="0.2">
      <c r="A661" s="6" t="s">
        <v>1365</v>
      </c>
      <c r="B661" s="6" t="s">
        <v>1366</v>
      </c>
      <c r="C661" s="4" t="b">
        <v>1</v>
      </c>
      <c r="D661" s="4" t="b">
        <v>0</v>
      </c>
      <c r="E661" s="4" t="b">
        <v>1</v>
      </c>
      <c r="F661" s="4" t="s">
        <v>12</v>
      </c>
      <c r="G661" s="4" t="b">
        <f t="shared" si="10"/>
        <v>1</v>
      </c>
      <c r="H661" s="4" t="s">
        <v>3145</v>
      </c>
      <c r="I661" s="4"/>
      <c r="J661" s="4" t="s">
        <v>621</v>
      </c>
    </row>
    <row r="662" spans="1:11" ht="64" x14ac:dyDescent="0.2">
      <c r="A662" s="6" t="s">
        <v>1367</v>
      </c>
      <c r="B662" s="6" t="s">
        <v>1368</v>
      </c>
      <c r="C662" s="4" t="b">
        <v>1</v>
      </c>
      <c r="D662" s="4" t="b">
        <v>1</v>
      </c>
      <c r="E662" s="4" t="b">
        <v>1</v>
      </c>
      <c r="F662" s="4" t="s">
        <v>12</v>
      </c>
      <c r="G662" s="4" t="b">
        <f t="shared" si="10"/>
        <v>1</v>
      </c>
      <c r="H662" s="4" t="s">
        <v>3085</v>
      </c>
      <c r="I662" s="4"/>
      <c r="J662" s="4" t="s">
        <v>621</v>
      </c>
    </row>
    <row r="663" spans="1:11" ht="48" x14ac:dyDescent="0.2">
      <c r="A663" s="6" t="s">
        <v>1369</v>
      </c>
      <c r="B663" s="6" t="s">
        <v>1370</v>
      </c>
      <c r="C663" s="4" t="b">
        <v>1</v>
      </c>
      <c r="D663" s="4" t="b">
        <v>0</v>
      </c>
      <c r="E663" s="4" t="b">
        <v>1</v>
      </c>
      <c r="F663" s="4" t="s">
        <v>12</v>
      </c>
      <c r="G663" s="4" t="b">
        <f t="shared" si="10"/>
        <v>1</v>
      </c>
      <c r="H663" s="4" t="s">
        <v>3084</v>
      </c>
      <c r="I663" s="4"/>
      <c r="J663" s="4" t="s">
        <v>621</v>
      </c>
    </row>
    <row r="664" spans="1:11" ht="16" x14ac:dyDescent="0.2">
      <c r="A664" s="6" t="s">
        <v>1371</v>
      </c>
      <c r="B664" s="6" t="s">
        <v>1372</v>
      </c>
      <c r="C664" s="4" t="b">
        <v>0</v>
      </c>
      <c r="D664" s="4" t="b">
        <v>0</v>
      </c>
      <c r="E664" s="4" t="b">
        <v>1</v>
      </c>
      <c r="F664" s="4"/>
      <c r="G664" s="4" t="b">
        <f t="shared" si="10"/>
        <v>0</v>
      </c>
      <c r="H664" s="4"/>
      <c r="I664" s="4"/>
      <c r="J664" s="4" t="s">
        <v>621</v>
      </c>
      <c r="K664"/>
    </row>
    <row r="665" spans="1:11" ht="16" x14ac:dyDescent="0.2">
      <c r="A665" s="6" t="s">
        <v>1373</v>
      </c>
      <c r="B665" s="6" t="s">
        <v>1374</v>
      </c>
      <c r="C665" s="4" t="b">
        <v>0</v>
      </c>
      <c r="D665" s="4" t="b">
        <v>0</v>
      </c>
      <c r="E665" s="4" t="b">
        <v>1</v>
      </c>
      <c r="F665" s="4"/>
      <c r="G665" s="4" t="b">
        <f t="shared" si="10"/>
        <v>0</v>
      </c>
      <c r="H665" s="4"/>
      <c r="I665" s="4"/>
      <c r="J665" s="4" t="s">
        <v>621</v>
      </c>
      <c r="K665"/>
    </row>
    <row r="666" spans="1:11" ht="16" x14ac:dyDescent="0.2">
      <c r="A666" s="6" t="s">
        <v>1375</v>
      </c>
      <c r="B666" s="6" t="s">
        <v>1376</v>
      </c>
      <c r="C666" s="4" t="b">
        <v>0</v>
      </c>
      <c r="D666" s="4" t="b">
        <v>0</v>
      </c>
      <c r="E666" s="4" t="b">
        <v>0</v>
      </c>
      <c r="F666" s="4"/>
      <c r="G666" s="4" t="b">
        <f t="shared" si="10"/>
        <v>0</v>
      </c>
      <c r="H666" s="4"/>
      <c r="I666" s="4"/>
      <c r="J666" s="4" t="s">
        <v>621</v>
      </c>
      <c r="K666"/>
    </row>
    <row r="667" spans="1:11" ht="16" x14ac:dyDescent="0.2">
      <c r="A667" s="6" t="s">
        <v>1377</v>
      </c>
      <c r="B667" s="6" t="s">
        <v>1378</v>
      </c>
      <c r="C667" s="4" t="b">
        <v>1</v>
      </c>
      <c r="D667" s="4" t="b">
        <v>0</v>
      </c>
      <c r="E667" s="4" t="b">
        <v>1</v>
      </c>
      <c r="F667" s="4" t="s">
        <v>12</v>
      </c>
      <c r="G667" s="4" t="b">
        <f t="shared" si="10"/>
        <v>1</v>
      </c>
      <c r="H667" s="4"/>
      <c r="I667" s="4"/>
      <c r="J667" s="4" t="s">
        <v>621</v>
      </c>
    </row>
    <row r="668" spans="1:11" ht="48" x14ac:dyDescent="0.2">
      <c r="A668" s="6" t="s">
        <v>1379</v>
      </c>
      <c r="B668" s="6" t="s">
        <v>1380</v>
      </c>
      <c r="C668" s="4" t="b">
        <v>1</v>
      </c>
      <c r="D668" s="4" t="b">
        <v>0</v>
      </c>
      <c r="E668" s="4" t="b">
        <v>1</v>
      </c>
      <c r="F668" s="4" t="s">
        <v>12</v>
      </c>
      <c r="G668" s="4" t="b">
        <f t="shared" si="10"/>
        <v>1</v>
      </c>
      <c r="H668" s="4" t="s">
        <v>3083</v>
      </c>
      <c r="I668" s="4"/>
      <c r="J668" s="4" t="s">
        <v>621</v>
      </c>
    </row>
    <row r="669" spans="1:11" ht="16" x14ac:dyDescent="0.2">
      <c r="A669" s="6" t="s">
        <v>1381</v>
      </c>
      <c r="B669" s="6" t="s">
        <v>1382</v>
      </c>
      <c r="C669" s="4" t="b">
        <v>1</v>
      </c>
      <c r="D669" s="4" t="b">
        <v>0</v>
      </c>
      <c r="E669" s="4" t="b">
        <v>1</v>
      </c>
      <c r="F669" s="4" t="s">
        <v>12</v>
      </c>
      <c r="G669" s="4" t="b">
        <f t="shared" si="10"/>
        <v>1</v>
      </c>
      <c r="H669" s="4" t="s">
        <v>3082</v>
      </c>
      <c r="I669" s="4"/>
      <c r="J669" s="4" t="s">
        <v>621</v>
      </c>
    </row>
    <row r="670" spans="1:11" ht="16" x14ac:dyDescent="0.2">
      <c r="A670" s="6" t="s">
        <v>1383</v>
      </c>
      <c r="B670" s="6" t="s">
        <v>1384</v>
      </c>
      <c r="C670" s="4" t="b">
        <v>0</v>
      </c>
      <c r="D670" s="4" t="b">
        <v>0</v>
      </c>
      <c r="E670" s="4" t="b">
        <v>0</v>
      </c>
      <c r="F670" s="4"/>
      <c r="G670" s="4" t="b">
        <f t="shared" si="10"/>
        <v>0</v>
      </c>
      <c r="H670" s="4"/>
      <c r="I670" s="4"/>
      <c r="J670" s="4" t="s">
        <v>621</v>
      </c>
      <c r="K670"/>
    </row>
    <row r="671" spans="1:11" ht="16" x14ac:dyDescent="0.2">
      <c r="A671" s="6" t="s">
        <v>1385</v>
      </c>
      <c r="B671" s="6" t="s">
        <v>1386</v>
      </c>
      <c r="C671" s="4" t="b">
        <v>0</v>
      </c>
      <c r="D671" s="4" t="b">
        <v>0</v>
      </c>
      <c r="E671" s="4" t="b">
        <v>1</v>
      </c>
      <c r="F671" s="4"/>
      <c r="G671" s="4" t="b">
        <f t="shared" si="10"/>
        <v>0</v>
      </c>
      <c r="H671" s="4"/>
      <c r="I671" s="4"/>
      <c r="J671" s="4" t="s">
        <v>621</v>
      </c>
      <c r="K671"/>
    </row>
    <row r="672" spans="1:11" ht="16" x14ac:dyDescent="0.2">
      <c r="A672" s="6" t="s">
        <v>1387</v>
      </c>
      <c r="B672" s="6" t="s">
        <v>1388</v>
      </c>
      <c r="C672" s="4" t="b">
        <v>0</v>
      </c>
      <c r="D672" s="4" t="b">
        <v>0</v>
      </c>
      <c r="E672" s="4" t="b">
        <v>0</v>
      </c>
      <c r="F672" s="4"/>
      <c r="G672" s="4" t="b">
        <f t="shared" si="10"/>
        <v>0</v>
      </c>
      <c r="H672" s="4"/>
      <c r="I672" s="4"/>
      <c r="J672" s="4" t="s">
        <v>621</v>
      </c>
      <c r="K672"/>
    </row>
    <row r="673" spans="1:11" ht="16" x14ac:dyDescent="0.2">
      <c r="A673" s="6" t="s">
        <v>1389</v>
      </c>
      <c r="B673" s="6" t="s">
        <v>1390</v>
      </c>
      <c r="C673" s="4" t="b">
        <v>1</v>
      </c>
      <c r="D673" s="4" t="b">
        <v>0</v>
      </c>
      <c r="E673" s="4" t="b">
        <v>1</v>
      </c>
      <c r="F673" s="4" t="s">
        <v>12</v>
      </c>
      <c r="G673" s="4" t="b">
        <f t="shared" si="10"/>
        <v>1</v>
      </c>
      <c r="I673" s="4"/>
      <c r="J673" s="4" t="s">
        <v>621</v>
      </c>
    </row>
    <row r="674" spans="1:11" ht="16" x14ac:dyDescent="0.2">
      <c r="A674" s="6" t="s">
        <v>1391</v>
      </c>
      <c r="B674" s="6" t="s">
        <v>1392</v>
      </c>
      <c r="C674" s="4" t="b">
        <v>0</v>
      </c>
      <c r="D674" s="4" t="b">
        <v>0</v>
      </c>
      <c r="E674" s="4" t="b">
        <v>1</v>
      </c>
      <c r="F674" s="4"/>
      <c r="G674" s="4" t="b">
        <f t="shared" si="10"/>
        <v>0</v>
      </c>
      <c r="H674" s="4"/>
      <c r="I674" s="4"/>
      <c r="J674" s="4" t="s">
        <v>621</v>
      </c>
      <c r="K674"/>
    </row>
    <row r="675" spans="1:11" ht="16" x14ac:dyDescent="0.2">
      <c r="A675" s="6" t="s">
        <v>1393</v>
      </c>
      <c r="B675" s="6" t="s">
        <v>1394</v>
      </c>
      <c r="C675" s="4" t="b">
        <v>0</v>
      </c>
      <c r="D675" s="4" t="b">
        <v>0</v>
      </c>
      <c r="E675" s="4" t="b">
        <v>1</v>
      </c>
      <c r="F675" s="4"/>
      <c r="G675" s="4" t="b">
        <f t="shared" si="10"/>
        <v>0</v>
      </c>
      <c r="H675" s="4"/>
      <c r="I675" s="4"/>
      <c r="J675" s="4" t="s">
        <v>621</v>
      </c>
      <c r="K675"/>
    </row>
    <row r="676" spans="1:11" ht="48" x14ac:dyDescent="0.2">
      <c r="A676" s="6" t="s">
        <v>1395</v>
      </c>
      <c r="B676" s="6" t="s">
        <v>1396</v>
      </c>
      <c r="C676" s="4" t="b">
        <v>1</v>
      </c>
      <c r="D676" s="4" t="b">
        <v>0</v>
      </c>
      <c r="E676" s="4" t="b">
        <v>1</v>
      </c>
      <c r="F676" s="4" t="s">
        <v>12</v>
      </c>
      <c r="G676" s="4" t="b">
        <f t="shared" si="10"/>
        <v>1</v>
      </c>
      <c r="H676" s="4" t="s">
        <v>3081</v>
      </c>
      <c r="I676" s="4"/>
      <c r="J676" s="4" t="s">
        <v>621</v>
      </c>
    </row>
    <row r="677" spans="1:11" ht="32" x14ac:dyDescent="0.2">
      <c r="A677" s="6" t="s">
        <v>1397</v>
      </c>
      <c r="B677" s="6" t="s">
        <v>1398</v>
      </c>
      <c r="C677" s="4" t="b">
        <v>0</v>
      </c>
      <c r="D677" s="4" t="b">
        <v>0</v>
      </c>
      <c r="E677" s="4" t="b">
        <v>1</v>
      </c>
      <c r="F677" s="4" t="s">
        <v>12</v>
      </c>
      <c r="G677" s="4" t="b">
        <f t="shared" si="10"/>
        <v>1</v>
      </c>
      <c r="H677" s="4" t="s">
        <v>3079</v>
      </c>
      <c r="I677" s="4"/>
      <c r="J677" s="4" t="s">
        <v>621</v>
      </c>
    </row>
    <row r="678" spans="1:11" ht="16" x14ac:dyDescent="0.2">
      <c r="A678" s="6" t="s">
        <v>1399</v>
      </c>
      <c r="B678" s="6" t="s">
        <v>1400</v>
      </c>
      <c r="C678" s="4" t="b">
        <v>0</v>
      </c>
      <c r="D678" s="4" t="b">
        <v>0</v>
      </c>
      <c r="E678" s="4" t="b">
        <v>0</v>
      </c>
      <c r="F678" s="4"/>
      <c r="G678" s="4" t="b">
        <f t="shared" si="10"/>
        <v>0</v>
      </c>
      <c r="H678" s="4"/>
      <c r="I678" s="4"/>
      <c r="J678" s="4" t="s">
        <v>621</v>
      </c>
      <c r="K678"/>
    </row>
    <row r="679" spans="1:11" ht="16" x14ac:dyDescent="0.2">
      <c r="A679" s="6" t="s">
        <v>1401</v>
      </c>
      <c r="B679" s="6" t="s">
        <v>1402</v>
      </c>
      <c r="C679" s="4" t="b">
        <v>1</v>
      </c>
      <c r="D679" s="4" t="b">
        <v>0</v>
      </c>
      <c r="E679" s="4" t="b">
        <v>1</v>
      </c>
      <c r="F679" s="4" t="s">
        <v>12</v>
      </c>
      <c r="G679" s="4" t="b">
        <f t="shared" si="10"/>
        <v>1</v>
      </c>
      <c r="H679" s="4" t="s">
        <v>3080</v>
      </c>
      <c r="I679" s="4"/>
      <c r="J679" s="4" t="s">
        <v>621</v>
      </c>
    </row>
    <row r="680" spans="1:11" ht="16" x14ac:dyDescent="0.2">
      <c r="A680" s="6" t="s">
        <v>1403</v>
      </c>
      <c r="B680" s="6" t="s">
        <v>1404</v>
      </c>
      <c r="C680" s="4" t="b">
        <v>0</v>
      </c>
      <c r="D680" s="4" t="b">
        <v>0</v>
      </c>
      <c r="E680" s="4" t="b">
        <v>0</v>
      </c>
      <c r="F680" s="4"/>
      <c r="G680" s="4" t="b">
        <f t="shared" si="10"/>
        <v>0</v>
      </c>
      <c r="H680" s="4"/>
      <c r="I680" s="4"/>
      <c r="J680" s="4" t="s">
        <v>621</v>
      </c>
      <c r="K680"/>
    </row>
    <row r="681" spans="1:11" ht="16" x14ac:dyDescent="0.2">
      <c r="A681" s="6" t="s">
        <v>1405</v>
      </c>
      <c r="B681" s="6" t="s">
        <v>1406</v>
      </c>
      <c r="C681" s="4" t="b">
        <v>0</v>
      </c>
      <c r="D681" s="4" t="b">
        <v>0</v>
      </c>
      <c r="E681" s="4" t="b">
        <v>0</v>
      </c>
      <c r="F681" s="4"/>
      <c r="G681" s="4" t="b">
        <f t="shared" si="10"/>
        <v>0</v>
      </c>
      <c r="H681" s="4"/>
      <c r="I681" s="4"/>
      <c r="J681" s="4" t="s">
        <v>621</v>
      </c>
      <c r="K681"/>
    </row>
    <row r="682" spans="1:11" ht="16" x14ac:dyDescent="0.2">
      <c r="A682" s="6" t="s">
        <v>1407</v>
      </c>
      <c r="B682" s="6" t="s">
        <v>1408</v>
      </c>
      <c r="C682" s="4" t="b">
        <v>0</v>
      </c>
      <c r="D682" s="4" t="b">
        <v>0</v>
      </c>
      <c r="E682" s="4" t="b">
        <v>1</v>
      </c>
      <c r="F682" s="4"/>
      <c r="G682" s="4" t="b">
        <f t="shared" si="10"/>
        <v>0</v>
      </c>
      <c r="H682" s="4"/>
      <c r="I682" s="4"/>
      <c r="J682" s="4" t="s">
        <v>621</v>
      </c>
      <c r="K682"/>
    </row>
    <row r="683" spans="1:11" ht="16" x14ac:dyDescent="0.2">
      <c r="A683" s="6" t="s">
        <v>1409</v>
      </c>
      <c r="B683" s="6" t="s">
        <v>1410</v>
      </c>
      <c r="C683" s="4" t="b">
        <v>0</v>
      </c>
      <c r="D683" s="4" t="b">
        <v>0</v>
      </c>
      <c r="E683" s="4" t="b">
        <v>1</v>
      </c>
      <c r="F683" s="4"/>
      <c r="G683" s="4" t="b">
        <f t="shared" si="10"/>
        <v>0</v>
      </c>
      <c r="H683" s="4"/>
      <c r="I683" s="4"/>
      <c r="J683" s="4" t="s">
        <v>621</v>
      </c>
      <c r="K683"/>
    </row>
    <row r="684" spans="1:11" ht="16" x14ac:dyDescent="0.2">
      <c r="A684" s="6" t="s">
        <v>1411</v>
      </c>
      <c r="B684" s="6" t="s">
        <v>1412</v>
      </c>
      <c r="C684" s="4" t="b">
        <v>0</v>
      </c>
      <c r="D684" s="4" t="b">
        <v>0</v>
      </c>
      <c r="E684" s="4" t="b">
        <v>0</v>
      </c>
      <c r="F684" s="4"/>
      <c r="G684" s="4" t="b">
        <f t="shared" si="10"/>
        <v>0</v>
      </c>
      <c r="H684" s="4"/>
      <c r="I684" s="4"/>
      <c r="J684" s="4" t="s">
        <v>621</v>
      </c>
      <c r="K684"/>
    </row>
    <row r="685" spans="1:11" ht="16" x14ac:dyDescent="0.2">
      <c r="A685" s="6" t="s">
        <v>1413</v>
      </c>
      <c r="B685" s="6" t="s">
        <v>1414</v>
      </c>
      <c r="C685" s="4" t="b">
        <v>0</v>
      </c>
      <c r="D685" s="4" t="b">
        <v>0</v>
      </c>
      <c r="E685" s="4" t="b">
        <v>1</v>
      </c>
      <c r="F685" s="4"/>
      <c r="G685" s="4" t="b">
        <f t="shared" si="10"/>
        <v>0</v>
      </c>
      <c r="H685" s="4"/>
      <c r="I685" s="4"/>
      <c r="J685" s="4" t="s">
        <v>621</v>
      </c>
      <c r="K685"/>
    </row>
    <row r="686" spans="1:11" ht="16" x14ac:dyDescent="0.2">
      <c r="A686" s="6" t="s">
        <v>1415</v>
      </c>
      <c r="B686" s="6" t="s">
        <v>1416</v>
      </c>
      <c r="C686" s="4" t="b">
        <v>0</v>
      </c>
      <c r="D686" s="4" t="b">
        <v>0</v>
      </c>
      <c r="E686" s="4" t="b">
        <v>1</v>
      </c>
      <c r="F686" s="4"/>
      <c r="G686" s="4" t="b">
        <f t="shared" si="10"/>
        <v>0</v>
      </c>
      <c r="H686" s="4"/>
      <c r="I686" s="4"/>
      <c r="J686" s="4" t="s">
        <v>621</v>
      </c>
      <c r="K686"/>
    </row>
    <row r="687" spans="1:11" ht="16" x14ac:dyDescent="0.2">
      <c r="A687" s="6" t="s">
        <v>1417</v>
      </c>
      <c r="B687" s="6" t="s">
        <v>1418</v>
      </c>
      <c r="C687" s="4" t="b">
        <v>0</v>
      </c>
      <c r="D687" s="4" t="b">
        <v>0</v>
      </c>
      <c r="E687" s="4" t="b">
        <v>0</v>
      </c>
      <c r="F687" s="4"/>
      <c r="G687" s="4" t="b">
        <f t="shared" si="10"/>
        <v>0</v>
      </c>
      <c r="H687" s="4"/>
      <c r="I687" s="4"/>
      <c r="J687" s="4" t="s">
        <v>621</v>
      </c>
      <c r="K687"/>
    </row>
    <row r="688" spans="1:11" ht="16" x14ac:dyDescent="0.2">
      <c r="A688" s="6" t="s">
        <v>1419</v>
      </c>
      <c r="B688" s="6" t="s">
        <v>1420</v>
      </c>
      <c r="C688" s="4" t="b">
        <v>0</v>
      </c>
      <c r="D688" s="4" t="b">
        <v>0</v>
      </c>
      <c r="E688" s="4" t="b">
        <v>0</v>
      </c>
      <c r="F688" s="4" t="s">
        <v>12</v>
      </c>
      <c r="G688" s="4" t="b">
        <f t="shared" si="10"/>
        <v>1</v>
      </c>
      <c r="H688" s="4" t="s">
        <v>3078</v>
      </c>
      <c r="I688" s="4"/>
      <c r="J688" s="4" t="s">
        <v>621</v>
      </c>
    </row>
    <row r="689" spans="1:11" ht="128" x14ac:dyDescent="0.2">
      <c r="A689" s="6" t="s">
        <v>1421</v>
      </c>
      <c r="B689" s="6" t="s">
        <v>1422</v>
      </c>
      <c r="C689" s="4" t="b">
        <v>1</v>
      </c>
      <c r="D689" s="4" t="b">
        <v>0</v>
      </c>
      <c r="E689" s="4" t="b">
        <v>1</v>
      </c>
      <c r="F689" s="4" t="s">
        <v>12</v>
      </c>
      <c r="G689" s="4" t="b">
        <f t="shared" si="10"/>
        <v>1</v>
      </c>
      <c r="H689" s="4" t="s">
        <v>3077</v>
      </c>
      <c r="I689" s="4"/>
      <c r="J689" s="4" t="s">
        <v>621</v>
      </c>
    </row>
    <row r="690" spans="1:11" ht="16" x14ac:dyDescent="0.2">
      <c r="A690" s="6" t="s">
        <v>1423</v>
      </c>
      <c r="B690" s="6" t="s">
        <v>1424</v>
      </c>
      <c r="C690" s="4" t="b">
        <v>0</v>
      </c>
      <c r="D690" s="4" t="b">
        <v>0</v>
      </c>
      <c r="E690" s="4" t="b">
        <v>0</v>
      </c>
      <c r="F690" s="4"/>
      <c r="G690" s="4" t="b">
        <f t="shared" si="10"/>
        <v>0</v>
      </c>
      <c r="H690" s="4"/>
      <c r="I690" s="4"/>
      <c r="J690" s="4" t="s">
        <v>621</v>
      </c>
      <c r="K690"/>
    </row>
    <row r="691" spans="1:11" ht="16" x14ac:dyDescent="0.2">
      <c r="A691" s="6" t="s">
        <v>1425</v>
      </c>
      <c r="B691" s="6" t="s">
        <v>1426</v>
      </c>
      <c r="C691" s="4" t="b">
        <v>0</v>
      </c>
      <c r="D691" s="4" t="b">
        <v>0</v>
      </c>
      <c r="E691" s="4" t="b">
        <v>1</v>
      </c>
      <c r="F691" s="4"/>
      <c r="G691" s="4" t="b">
        <f t="shared" si="10"/>
        <v>0</v>
      </c>
      <c r="H691" s="4"/>
      <c r="I691" s="4"/>
      <c r="J691" s="4" t="s">
        <v>621</v>
      </c>
      <c r="K691"/>
    </row>
    <row r="692" spans="1:11" ht="16" x14ac:dyDescent="0.2">
      <c r="A692" s="6" t="s">
        <v>1427</v>
      </c>
      <c r="B692" s="6" t="s">
        <v>1428</v>
      </c>
      <c r="C692" s="4" t="b">
        <v>0</v>
      </c>
      <c r="D692" s="4" t="b">
        <v>0</v>
      </c>
      <c r="E692" s="4" t="b">
        <v>1</v>
      </c>
      <c r="F692" s="4" t="s">
        <v>12</v>
      </c>
      <c r="G692" s="4" t="b">
        <f t="shared" si="10"/>
        <v>1</v>
      </c>
      <c r="H692" s="4"/>
      <c r="I692" s="4"/>
      <c r="J692" s="4" t="s">
        <v>621</v>
      </c>
    </row>
    <row r="693" spans="1:11" ht="48" x14ac:dyDescent="0.2">
      <c r="A693" s="6" t="s">
        <v>1429</v>
      </c>
      <c r="B693" s="6" t="s">
        <v>1430</v>
      </c>
      <c r="C693" s="4" t="b">
        <v>1</v>
      </c>
      <c r="D693" s="4" t="b">
        <v>0</v>
      </c>
      <c r="E693" s="4" t="b">
        <v>1</v>
      </c>
      <c r="F693" s="4" t="s">
        <v>12</v>
      </c>
      <c r="G693" s="4" t="b">
        <f t="shared" si="10"/>
        <v>1</v>
      </c>
      <c r="H693" s="4" t="s">
        <v>3076</v>
      </c>
      <c r="I693" s="4"/>
      <c r="J693" s="4" t="s">
        <v>621</v>
      </c>
    </row>
    <row r="694" spans="1:11" ht="64" x14ac:dyDescent="0.2">
      <c r="A694" s="6" t="s">
        <v>1431</v>
      </c>
      <c r="B694" s="6" t="s">
        <v>1432</v>
      </c>
      <c r="C694" s="4" t="b">
        <v>1</v>
      </c>
      <c r="D694" s="4" t="b">
        <v>0</v>
      </c>
      <c r="E694" s="4" t="b">
        <v>1</v>
      </c>
      <c r="F694" s="4" t="s">
        <v>12</v>
      </c>
      <c r="G694" s="4" t="b">
        <f t="shared" si="10"/>
        <v>1</v>
      </c>
      <c r="H694" s="4" t="s">
        <v>3075</v>
      </c>
      <c r="I694" s="4"/>
      <c r="J694" s="4" t="s">
        <v>621</v>
      </c>
    </row>
    <row r="695" spans="1:11" ht="16" x14ac:dyDescent="0.2">
      <c r="A695" s="6" t="s">
        <v>1433</v>
      </c>
      <c r="B695" s="6" t="s">
        <v>1434</v>
      </c>
      <c r="C695" s="4" t="b">
        <v>1</v>
      </c>
      <c r="D695" s="4" t="b">
        <v>0</v>
      </c>
      <c r="E695" s="4" t="b">
        <v>1</v>
      </c>
      <c r="F695" s="4" t="s">
        <v>12</v>
      </c>
      <c r="G695" s="4" t="b">
        <f t="shared" si="10"/>
        <v>1</v>
      </c>
      <c r="H695" s="4"/>
      <c r="I695" s="4"/>
      <c r="J695" s="4" t="s">
        <v>621</v>
      </c>
    </row>
    <row r="696" spans="1:11" ht="16" x14ac:dyDescent="0.2">
      <c r="A696" s="6" t="s">
        <v>1435</v>
      </c>
      <c r="B696" s="6" t="s">
        <v>1436</v>
      </c>
      <c r="C696" s="4" t="b">
        <v>0</v>
      </c>
      <c r="D696" s="4" t="b">
        <v>0</v>
      </c>
      <c r="E696" s="4" t="b">
        <v>0</v>
      </c>
      <c r="F696" s="4" t="s">
        <v>12</v>
      </c>
      <c r="G696" s="4" t="b">
        <f t="shared" si="10"/>
        <v>1</v>
      </c>
      <c r="H696" s="4"/>
      <c r="I696" s="4"/>
      <c r="J696" s="4" t="s">
        <v>621</v>
      </c>
    </row>
    <row r="697" spans="1:11" ht="32" x14ac:dyDescent="0.2">
      <c r="A697" s="6" t="s">
        <v>1437</v>
      </c>
      <c r="B697" s="6" t="s">
        <v>1438</v>
      </c>
      <c r="C697" s="4" t="b">
        <v>1</v>
      </c>
      <c r="D697" s="4" t="b">
        <v>0</v>
      </c>
      <c r="E697" s="4" t="b">
        <v>1</v>
      </c>
      <c r="F697" s="4" t="s">
        <v>12</v>
      </c>
      <c r="G697" s="4" t="b">
        <f t="shared" si="10"/>
        <v>1</v>
      </c>
      <c r="H697" s="4" t="s">
        <v>3074</v>
      </c>
      <c r="I697" s="4"/>
      <c r="J697" s="4" t="s">
        <v>621</v>
      </c>
    </row>
    <row r="698" spans="1:11" ht="16" x14ac:dyDescent="0.2">
      <c r="A698" s="6" t="s">
        <v>1439</v>
      </c>
      <c r="B698" s="6" t="s">
        <v>1440</v>
      </c>
      <c r="C698" s="4" t="b">
        <v>0</v>
      </c>
      <c r="D698" s="4" t="b">
        <v>0</v>
      </c>
      <c r="E698" s="4" t="b">
        <v>0</v>
      </c>
      <c r="F698" s="4"/>
      <c r="G698" s="4" t="b">
        <f t="shared" si="10"/>
        <v>0</v>
      </c>
      <c r="H698" s="4"/>
      <c r="I698" s="4"/>
      <c r="J698" s="4" t="s">
        <v>14</v>
      </c>
      <c r="K698"/>
    </row>
    <row r="699" spans="1:11" ht="64" x14ac:dyDescent="0.2">
      <c r="A699" s="6" t="s">
        <v>1441</v>
      </c>
      <c r="B699" s="6" t="s">
        <v>1442</v>
      </c>
      <c r="C699" s="4" t="b">
        <v>1</v>
      </c>
      <c r="D699" s="4" t="b">
        <v>0</v>
      </c>
      <c r="E699" s="4" t="b">
        <v>1</v>
      </c>
      <c r="F699" s="4" t="s">
        <v>12</v>
      </c>
      <c r="G699" s="4" t="b">
        <f t="shared" si="10"/>
        <v>1</v>
      </c>
      <c r="H699" s="4" t="s">
        <v>3382</v>
      </c>
      <c r="I699" s="4"/>
      <c r="J699" s="4" t="s">
        <v>14</v>
      </c>
      <c r="K699"/>
    </row>
    <row r="700" spans="1:11" ht="16" x14ac:dyDescent="0.2">
      <c r="A700" s="6" t="s">
        <v>1443</v>
      </c>
      <c r="B700" s="6" t="s">
        <v>1444</v>
      </c>
      <c r="C700" s="4" t="b">
        <v>0</v>
      </c>
      <c r="D700" s="4" t="b">
        <v>0</v>
      </c>
      <c r="E700" s="4" t="b">
        <v>0</v>
      </c>
      <c r="F700" s="4"/>
      <c r="G700" s="4" t="b">
        <f t="shared" si="10"/>
        <v>0</v>
      </c>
      <c r="H700" s="4"/>
      <c r="I700" s="4"/>
      <c r="J700" s="4" t="s">
        <v>14</v>
      </c>
      <c r="K700"/>
    </row>
    <row r="701" spans="1:11" ht="16" x14ac:dyDescent="0.2">
      <c r="A701" s="6" t="s">
        <v>1445</v>
      </c>
      <c r="B701" s="6" t="s">
        <v>1446</v>
      </c>
      <c r="C701" s="4" t="b">
        <v>0</v>
      </c>
      <c r="D701" s="4" t="b">
        <v>0</v>
      </c>
      <c r="E701" s="4" t="b">
        <v>0</v>
      </c>
      <c r="F701" s="4"/>
      <c r="G701" s="4" t="b">
        <f t="shared" si="10"/>
        <v>0</v>
      </c>
      <c r="H701" s="4"/>
      <c r="I701" s="4"/>
      <c r="J701" s="4" t="s">
        <v>14</v>
      </c>
      <c r="K701"/>
    </row>
    <row r="702" spans="1:11" ht="16" x14ac:dyDescent="0.2">
      <c r="A702" s="6" t="s">
        <v>1447</v>
      </c>
      <c r="B702" s="6" t="s">
        <v>1448</v>
      </c>
      <c r="C702" s="4" t="b">
        <v>0</v>
      </c>
      <c r="D702" s="4" t="b">
        <v>0</v>
      </c>
      <c r="E702" s="4" t="b">
        <v>0</v>
      </c>
      <c r="F702" s="4"/>
      <c r="G702" s="4" t="b">
        <f t="shared" si="10"/>
        <v>0</v>
      </c>
      <c r="H702" s="4"/>
      <c r="I702" s="4"/>
      <c r="J702" s="4" t="s">
        <v>14</v>
      </c>
      <c r="K702"/>
    </row>
    <row r="703" spans="1:11" ht="16" x14ac:dyDescent="0.2">
      <c r="A703" s="6" t="s">
        <v>1449</v>
      </c>
      <c r="B703" s="6" t="s">
        <v>1450</v>
      </c>
      <c r="C703" s="4" t="b">
        <v>0</v>
      </c>
      <c r="D703" s="4" t="b">
        <v>0</v>
      </c>
      <c r="E703" s="4" t="b">
        <v>0</v>
      </c>
      <c r="F703" s="4"/>
      <c r="G703" s="4" t="b">
        <f t="shared" si="10"/>
        <v>0</v>
      </c>
      <c r="H703" s="4"/>
      <c r="I703" s="4"/>
      <c r="J703" s="4" t="s">
        <v>1451</v>
      </c>
      <c r="K703"/>
    </row>
    <row r="704" spans="1:11" ht="16" x14ac:dyDescent="0.2">
      <c r="A704" s="6" t="s">
        <v>1452</v>
      </c>
      <c r="B704" s="6" t="s">
        <v>1453</v>
      </c>
      <c r="C704" s="4" t="b">
        <v>0</v>
      </c>
      <c r="D704" s="4" t="b">
        <v>0</v>
      </c>
      <c r="E704" s="4" t="b">
        <v>0</v>
      </c>
      <c r="F704" s="4"/>
      <c r="G704" s="4" t="b">
        <f t="shared" si="10"/>
        <v>0</v>
      </c>
      <c r="H704" s="4"/>
      <c r="I704" s="4"/>
      <c r="J704" s="4" t="s">
        <v>1451</v>
      </c>
      <c r="K704"/>
    </row>
    <row r="705" spans="1:10" customFormat="1" ht="16" x14ac:dyDescent="0.2">
      <c r="A705" s="6" t="s">
        <v>1454</v>
      </c>
      <c r="B705" s="6" t="s">
        <v>1455</v>
      </c>
      <c r="C705" s="4" t="b">
        <v>0</v>
      </c>
      <c r="D705" s="4" t="b">
        <v>0</v>
      </c>
      <c r="E705" s="4" t="b">
        <v>0</v>
      </c>
      <c r="F705" s="4"/>
      <c r="G705" s="4" t="b">
        <f t="shared" si="10"/>
        <v>0</v>
      </c>
      <c r="H705" s="4"/>
      <c r="I705" s="4"/>
      <c r="J705" s="4" t="s">
        <v>1451</v>
      </c>
    </row>
    <row r="706" spans="1:10" customFormat="1" ht="16" x14ac:dyDescent="0.2">
      <c r="A706" s="6" t="s">
        <v>1456</v>
      </c>
      <c r="B706" s="6" t="s">
        <v>1457</v>
      </c>
      <c r="C706" s="4" t="b">
        <v>0</v>
      </c>
      <c r="D706" s="4" t="b">
        <v>0</v>
      </c>
      <c r="E706" s="4" t="b">
        <v>0</v>
      </c>
      <c r="F706" s="4"/>
      <c r="G706" s="4" t="b">
        <f t="shared" ref="G706:G769" si="11">IF(F706="✔", TRUE, FALSE)</f>
        <v>0</v>
      </c>
      <c r="H706" s="4"/>
      <c r="I706" s="4"/>
      <c r="J706" s="4" t="s">
        <v>98</v>
      </c>
    </row>
    <row r="707" spans="1:10" customFormat="1" ht="16" x14ac:dyDescent="0.2">
      <c r="A707" s="6" t="s">
        <v>1458</v>
      </c>
      <c r="B707" s="6" t="s">
        <v>1459</v>
      </c>
      <c r="C707" s="4" t="b">
        <v>0</v>
      </c>
      <c r="D707" s="4" t="b">
        <v>0</v>
      </c>
      <c r="E707" s="4" t="b">
        <v>0</v>
      </c>
      <c r="F707" s="4"/>
      <c r="G707" s="4" t="b">
        <f t="shared" si="11"/>
        <v>0</v>
      </c>
      <c r="H707" s="4"/>
      <c r="I707" s="4"/>
      <c r="J707" s="4" t="s">
        <v>98</v>
      </c>
    </row>
    <row r="708" spans="1:10" customFormat="1" ht="16" x14ac:dyDescent="0.2">
      <c r="A708" s="6" t="s">
        <v>1460</v>
      </c>
      <c r="B708" s="6" t="s">
        <v>1461</v>
      </c>
      <c r="C708" s="4" t="b">
        <v>0</v>
      </c>
      <c r="D708" s="4" t="b">
        <v>0</v>
      </c>
      <c r="E708" s="4" t="b">
        <v>0</v>
      </c>
      <c r="F708" s="4"/>
      <c r="G708" s="4" t="b">
        <f t="shared" si="11"/>
        <v>0</v>
      </c>
      <c r="H708" s="4"/>
      <c r="I708" s="4"/>
      <c r="J708" s="4" t="s">
        <v>98</v>
      </c>
    </row>
    <row r="709" spans="1:10" customFormat="1" ht="208" x14ac:dyDescent="0.2">
      <c r="A709" s="6" t="s">
        <v>1462</v>
      </c>
      <c r="B709" s="6" t="s">
        <v>1463</v>
      </c>
      <c r="C709" s="4" t="b">
        <v>1</v>
      </c>
      <c r="D709" s="4" t="b">
        <v>1</v>
      </c>
      <c r="E709" s="4" t="b">
        <v>1</v>
      </c>
      <c r="F709" s="4" t="s">
        <v>12</v>
      </c>
      <c r="G709" s="4" t="b">
        <f t="shared" si="11"/>
        <v>1</v>
      </c>
      <c r="H709" s="4" t="s">
        <v>3340</v>
      </c>
      <c r="I709" s="4"/>
      <c r="J709" s="4" t="s">
        <v>98</v>
      </c>
    </row>
    <row r="710" spans="1:10" customFormat="1" ht="16" x14ac:dyDescent="0.2">
      <c r="A710" s="6" t="s">
        <v>1464</v>
      </c>
      <c r="B710" s="6" t="s">
        <v>1465</v>
      </c>
      <c r="C710" s="4" t="b">
        <v>0</v>
      </c>
      <c r="D710" s="4" t="b">
        <v>0</v>
      </c>
      <c r="E710" s="4" t="b">
        <v>0</v>
      </c>
      <c r="F710" s="4"/>
      <c r="G710" s="4" t="b">
        <f t="shared" si="11"/>
        <v>0</v>
      </c>
      <c r="H710" s="4"/>
      <c r="I710" s="4"/>
      <c r="J710" s="4" t="s">
        <v>98</v>
      </c>
    </row>
    <row r="711" spans="1:10" customFormat="1" ht="16" x14ac:dyDescent="0.2">
      <c r="A711" s="6" t="s">
        <v>1466</v>
      </c>
      <c r="B711" s="6" t="s">
        <v>1467</v>
      </c>
      <c r="C711" s="4" t="b">
        <v>0</v>
      </c>
      <c r="D711" s="4" t="b">
        <v>0</v>
      </c>
      <c r="E711" s="4" t="b">
        <v>0</v>
      </c>
      <c r="F711" s="4"/>
      <c r="G711" s="4" t="b">
        <f t="shared" si="11"/>
        <v>0</v>
      </c>
      <c r="H711" s="4"/>
      <c r="I711" s="4"/>
      <c r="J711" s="4" t="s">
        <v>98</v>
      </c>
    </row>
    <row r="712" spans="1:10" customFormat="1" ht="160" x14ac:dyDescent="0.2">
      <c r="A712" s="6" t="s">
        <v>1468</v>
      </c>
      <c r="B712" s="6" t="s">
        <v>1469</v>
      </c>
      <c r="C712" s="4" t="b">
        <v>1</v>
      </c>
      <c r="D712" s="4" t="b">
        <v>0</v>
      </c>
      <c r="E712" s="4" t="b">
        <v>1</v>
      </c>
      <c r="F712" s="4" t="s">
        <v>12</v>
      </c>
      <c r="G712" s="4" t="b">
        <f t="shared" si="11"/>
        <v>1</v>
      </c>
      <c r="H712" s="4" t="s">
        <v>3339</v>
      </c>
      <c r="I712" s="4"/>
      <c r="J712" s="4" t="s">
        <v>98</v>
      </c>
    </row>
    <row r="713" spans="1:10" customFormat="1" ht="32" x14ac:dyDescent="0.2">
      <c r="A713" s="6" t="s">
        <v>1470</v>
      </c>
      <c r="B713" s="6" t="s">
        <v>1471</v>
      </c>
      <c r="C713" s="4" t="b">
        <v>1</v>
      </c>
      <c r="D713" s="4" t="b">
        <v>0</v>
      </c>
      <c r="E713" s="4" t="b">
        <v>1</v>
      </c>
      <c r="F713" s="4" t="s">
        <v>12</v>
      </c>
      <c r="G713" s="4" t="b">
        <f t="shared" si="11"/>
        <v>1</v>
      </c>
      <c r="H713" s="4" t="s">
        <v>3338</v>
      </c>
      <c r="I713" s="4"/>
      <c r="J713" s="4" t="s">
        <v>98</v>
      </c>
    </row>
    <row r="714" spans="1:10" customFormat="1" ht="16" x14ac:dyDescent="0.2">
      <c r="A714" s="6" t="s">
        <v>1472</v>
      </c>
      <c r="B714" s="6" t="s">
        <v>1473</v>
      </c>
      <c r="C714" s="4" t="b">
        <v>0</v>
      </c>
      <c r="D714" s="4" t="b">
        <v>0</v>
      </c>
      <c r="E714" s="4" t="b">
        <v>0</v>
      </c>
      <c r="F714" s="4"/>
      <c r="G714" s="4" t="b">
        <f t="shared" si="11"/>
        <v>0</v>
      </c>
      <c r="H714" s="4"/>
      <c r="I714" s="4"/>
      <c r="J714" s="4" t="s">
        <v>98</v>
      </c>
    </row>
    <row r="715" spans="1:10" customFormat="1" ht="16" x14ac:dyDescent="0.2">
      <c r="A715" s="6" t="s">
        <v>1474</v>
      </c>
      <c r="B715" s="6" t="s">
        <v>1475</v>
      </c>
      <c r="C715" s="4" t="b">
        <v>0</v>
      </c>
      <c r="D715" s="4" t="b">
        <v>0</v>
      </c>
      <c r="E715" s="4" t="b">
        <v>0</v>
      </c>
      <c r="F715" s="4"/>
      <c r="G715" s="4" t="b">
        <f t="shared" si="11"/>
        <v>0</v>
      </c>
      <c r="H715" s="4"/>
      <c r="I715" s="4"/>
      <c r="J715" s="4" t="s">
        <v>98</v>
      </c>
    </row>
    <row r="716" spans="1:10" customFormat="1" ht="64" x14ac:dyDescent="0.2">
      <c r="A716" s="6" t="s">
        <v>1476</v>
      </c>
      <c r="B716" s="6" t="s">
        <v>1477</v>
      </c>
      <c r="C716" s="4" t="b">
        <v>1</v>
      </c>
      <c r="D716" s="4" t="b">
        <v>0</v>
      </c>
      <c r="E716" s="4" t="b">
        <v>1</v>
      </c>
      <c r="F716" s="4" t="s">
        <v>12</v>
      </c>
      <c r="G716" s="4" t="b">
        <f t="shared" si="11"/>
        <v>1</v>
      </c>
      <c r="H716" s="4" t="s">
        <v>3337</v>
      </c>
      <c r="I716" s="4"/>
      <c r="J716" s="4" t="s">
        <v>98</v>
      </c>
    </row>
    <row r="717" spans="1:10" customFormat="1" ht="16" x14ac:dyDescent="0.2">
      <c r="A717" s="6" t="s">
        <v>1478</v>
      </c>
      <c r="B717" s="6" t="s">
        <v>1479</v>
      </c>
      <c r="C717" s="4" t="b">
        <v>0</v>
      </c>
      <c r="D717" s="4" t="b">
        <v>0</v>
      </c>
      <c r="E717" s="4" t="b">
        <v>0</v>
      </c>
      <c r="F717" s="4"/>
      <c r="G717" s="4" t="b">
        <f t="shared" si="11"/>
        <v>0</v>
      </c>
      <c r="H717" s="4"/>
      <c r="I717" s="4"/>
      <c r="J717" s="4" t="s">
        <v>98</v>
      </c>
    </row>
    <row r="718" spans="1:10" customFormat="1" ht="16" x14ac:dyDescent="0.2">
      <c r="A718" s="6" t="s">
        <v>1480</v>
      </c>
      <c r="B718" s="6" t="s">
        <v>1481</v>
      </c>
      <c r="C718" s="4" t="b">
        <v>0</v>
      </c>
      <c r="D718" s="4" t="b">
        <v>0</v>
      </c>
      <c r="E718" s="4" t="b">
        <v>0</v>
      </c>
      <c r="F718" s="4"/>
      <c r="G718" s="4" t="b">
        <f t="shared" si="11"/>
        <v>0</v>
      </c>
      <c r="H718" s="4"/>
      <c r="I718" s="4"/>
      <c r="J718" s="4" t="s">
        <v>98</v>
      </c>
    </row>
    <row r="719" spans="1:10" customFormat="1" ht="16" x14ac:dyDescent="0.2">
      <c r="A719" s="6" t="s">
        <v>1482</v>
      </c>
      <c r="B719" s="6" t="s">
        <v>1483</v>
      </c>
      <c r="C719" s="4" t="b">
        <v>0</v>
      </c>
      <c r="D719" s="4" t="b">
        <v>0</v>
      </c>
      <c r="E719" s="4" t="b">
        <v>1</v>
      </c>
      <c r="F719" s="4"/>
      <c r="G719" s="4" t="b">
        <f t="shared" si="11"/>
        <v>0</v>
      </c>
      <c r="H719" s="4"/>
      <c r="I719" s="4"/>
      <c r="J719" s="4" t="s">
        <v>98</v>
      </c>
    </row>
    <row r="720" spans="1:10" customFormat="1" ht="64" x14ac:dyDescent="0.2">
      <c r="A720" s="6" t="s">
        <v>1484</v>
      </c>
      <c r="B720" s="6" t="s">
        <v>2851</v>
      </c>
      <c r="C720" s="4" t="b">
        <v>1</v>
      </c>
      <c r="D720" s="4" t="b">
        <v>0</v>
      </c>
      <c r="E720" s="4" t="b">
        <v>1</v>
      </c>
      <c r="F720" s="4" t="s">
        <v>12</v>
      </c>
      <c r="G720" s="4" t="b">
        <f t="shared" si="11"/>
        <v>1</v>
      </c>
      <c r="H720" s="4" t="s">
        <v>3336</v>
      </c>
      <c r="I720" s="4"/>
      <c r="J720" s="4" t="s">
        <v>98</v>
      </c>
    </row>
    <row r="721" spans="1:10" customFormat="1" ht="16" x14ac:dyDescent="0.2">
      <c r="A721" s="6" t="s">
        <v>1485</v>
      </c>
      <c r="B721" s="6" t="s">
        <v>1486</v>
      </c>
      <c r="C721" s="4" t="b">
        <v>0</v>
      </c>
      <c r="D721" s="4" t="b">
        <v>0</v>
      </c>
      <c r="E721" s="4" t="b">
        <v>0</v>
      </c>
      <c r="F721" s="4"/>
      <c r="G721" s="4" t="b">
        <f t="shared" si="11"/>
        <v>0</v>
      </c>
      <c r="H721" s="4"/>
      <c r="I721" s="4"/>
      <c r="J721" s="4" t="s">
        <v>98</v>
      </c>
    </row>
    <row r="722" spans="1:10" customFormat="1" ht="48" x14ac:dyDescent="0.2">
      <c r="A722" s="6" t="s">
        <v>1487</v>
      </c>
      <c r="B722" s="6" t="s">
        <v>1488</v>
      </c>
      <c r="C722" s="4" t="b">
        <v>1</v>
      </c>
      <c r="D722" s="4" t="b">
        <v>0</v>
      </c>
      <c r="E722" s="4" t="b">
        <v>1</v>
      </c>
      <c r="F722" s="4" t="s">
        <v>12</v>
      </c>
      <c r="G722" s="4" t="b">
        <f t="shared" si="11"/>
        <v>1</v>
      </c>
      <c r="H722" s="4" t="s">
        <v>3335</v>
      </c>
      <c r="I722" s="4"/>
      <c r="J722" s="4" t="s">
        <v>98</v>
      </c>
    </row>
    <row r="723" spans="1:10" customFormat="1" ht="16" x14ac:dyDescent="0.2">
      <c r="A723" s="6" t="s">
        <v>1489</v>
      </c>
      <c r="B723" s="6" t="s">
        <v>1490</v>
      </c>
      <c r="C723" s="4" t="b">
        <v>0</v>
      </c>
      <c r="D723" s="4" t="b">
        <v>0</v>
      </c>
      <c r="E723" s="4" t="b">
        <v>0</v>
      </c>
      <c r="F723" s="4"/>
      <c r="G723" s="4" t="b">
        <f t="shared" si="11"/>
        <v>0</v>
      </c>
      <c r="H723" s="4"/>
      <c r="I723" s="4"/>
      <c r="J723" s="4" t="s">
        <v>98</v>
      </c>
    </row>
    <row r="724" spans="1:10" customFormat="1" ht="96" x14ac:dyDescent="0.2">
      <c r="A724" s="6" t="s">
        <v>1491</v>
      </c>
      <c r="B724" s="6" t="s">
        <v>1492</v>
      </c>
      <c r="C724" s="4" t="b">
        <v>1</v>
      </c>
      <c r="D724" s="4" t="b">
        <v>0</v>
      </c>
      <c r="E724" s="4" t="b">
        <v>1</v>
      </c>
      <c r="F724" s="4" t="s">
        <v>12</v>
      </c>
      <c r="G724" s="4" t="b">
        <f t="shared" si="11"/>
        <v>1</v>
      </c>
      <c r="H724" s="4" t="s">
        <v>3334</v>
      </c>
      <c r="I724" s="4"/>
      <c r="J724" s="4" t="s">
        <v>98</v>
      </c>
    </row>
    <row r="725" spans="1:10" customFormat="1" ht="32" x14ac:dyDescent="0.2">
      <c r="A725" s="6" t="s">
        <v>1493</v>
      </c>
      <c r="B725" s="6" t="s">
        <v>1494</v>
      </c>
      <c r="C725" s="4" t="b">
        <v>0</v>
      </c>
      <c r="D725" s="4" t="b">
        <v>0</v>
      </c>
      <c r="E725" s="4" t="b">
        <v>1</v>
      </c>
      <c r="F725" s="4" t="s">
        <v>12</v>
      </c>
      <c r="G725" s="4" t="b">
        <f t="shared" si="11"/>
        <v>1</v>
      </c>
      <c r="H725" s="4" t="s">
        <v>3333</v>
      </c>
      <c r="I725" s="4"/>
      <c r="J725" s="4" t="s">
        <v>98</v>
      </c>
    </row>
    <row r="726" spans="1:10" customFormat="1" ht="16" x14ac:dyDescent="0.2">
      <c r="A726" s="6" t="s">
        <v>1495</v>
      </c>
      <c r="B726" s="6" t="s">
        <v>1496</v>
      </c>
      <c r="C726" s="4" t="b">
        <v>0</v>
      </c>
      <c r="D726" s="4" t="b">
        <v>0</v>
      </c>
      <c r="E726" s="4" t="b">
        <v>0</v>
      </c>
      <c r="F726" s="4"/>
      <c r="G726" s="4" t="b">
        <f t="shared" si="11"/>
        <v>0</v>
      </c>
      <c r="H726" s="4"/>
      <c r="I726" s="4"/>
      <c r="J726" s="4" t="s">
        <v>98</v>
      </c>
    </row>
    <row r="727" spans="1:10" customFormat="1" ht="16" x14ac:dyDescent="0.2">
      <c r="A727" s="6" t="s">
        <v>1497</v>
      </c>
      <c r="B727" s="6" t="s">
        <v>1498</v>
      </c>
      <c r="C727" s="4" t="b">
        <v>0</v>
      </c>
      <c r="D727" s="4" t="b">
        <v>0</v>
      </c>
      <c r="E727" s="4" t="b">
        <v>0</v>
      </c>
      <c r="F727" s="4"/>
      <c r="G727" s="4" t="b">
        <f t="shared" si="11"/>
        <v>0</v>
      </c>
      <c r="H727" s="4"/>
      <c r="I727" s="4"/>
      <c r="J727" s="4" t="s">
        <v>98</v>
      </c>
    </row>
    <row r="728" spans="1:10" customFormat="1" ht="32" x14ac:dyDescent="0.2">
      <c r="A728" s="6" t="s">
        <v>1499</v>
      </c>
      <c r="B728" s="6" t="s">
        <v>1500</v>
      </c>
      <c r="C728" s="4" t="b">
        <v>1</v>
      </c>
      <c r="D728" s="4" t="b">
        <v>0</v>
      </c>
      <c r="E728" s="4" t="b">
        <v>1</v>
      </c>
      <c r="F728" s="4" t="s">
        <v>12</v>
      </c>
      <c r="G728" s="4" t="b">
        <f t="shared" si="11"/>
        <v>1</v>
      </c>
      <c r="H728" s="4" t="s">
        <v>3332</v>
      </c>
      <c r="I728" s="4"/>
      <c r="J728" s="4" t="s">
        <v>98</v>
      </c>
    </row>
    <row r="729" spans="1:10" customFormat="1" ht="16" x14ac:dyDescent="0.2">
      <c r="A729" s="6" t="s">
        <v>1501</v>
      </c>
      <c r="B729" s="6" t="s">
        <v>1502</v>
      </c>
      <c r="C729" s="4" t="b">
        <v>0</v>
      </c>
      <c r="D729" s="4" t="b">
        <v>0</v>
      </c>
      <c r="E729" s="4" t="b">
        <v>1</v>
      </c>
      <c r="F729" s="4"/>
      <c r="G729" s="4" t="b">
        <f t="shared" si="11"/>
        <v>0</v>
      </c>
      <c r="H729" s="4"/>
      <c r="I729" s="4"/>
      <c r="J729" s="4" t="s">
        <v>98</v>
      </c>
    </row>
    <row r="730" spans="1:10" customFormat="1" ht="48" x14ac:dyDescent="0.2">
      <c r="A730" s="6" t="s">
        <v>1503</v>
      </c>
      <c r="B730" s="6" t="s">
        <v>1504</v>
      </c>
      <c r="C730" s="4" t="b">
        <v>1</v>
      </c>
      <c r="D730" s="4" t="b">
        <v>0</v>
      </c>
      <c r="E730" s="4" t="b">
        <v>1</v>
      </c>
      <c r="F730" s="4" t="s">
        <v>12</v>
      </c>
      <c r="G730" s="4" t="b">
        <f t="shared" si="11"/>
        <v>1</v>
      </c>
      <c r="H730" s="4" t="s">
        <v>3331</v>
      </c>
      <c r="I730" s="4"/>
      <c r="J730" s="4" t="s">
        <v>98</v>
      </c>
    </row>
    <row r="731" spans="1:10" customFormat="1" ht="16" x14ac:dyDescent="0.2">
      <c r="A731" s="6" t="s">
        <v>1505</v>
      </c>
      <c r="B731" s="6" t="s">
        <v>1506</v>
      </c>
      <c r="C731" s="4" t="b">
        <v>0</v>
      </c>
      <c r="D731" s="4" t="b">
        <v>0</v>
      </c>
      <c r="E731" s="4" t="b">
        <v>0</v>
      </c>
      <c r="F731" s="4"/>
      <c r="G731" s="4" t="b">
        <f t="shared" si="11"/>
        <v>0</v>
      </c>
      <c r="H731" s="4"/>
      <c r="I731" s="4"/>
      <c r="J731" s="4" t="s">
        <v>98</v>
      </c>
    </row>
    <row r="732" spans="1:10" customFormat="1" ht="16" x14ac:dyDescent="0.2">
      <c r="A732" s="6" t="s">
        <v>1507</v>
      </c>
      <c r="B732" s="6" t="s">
        <v>1508</v>
      </c>
      <c r="C732" s="4" t="b">
        <v>0</v>
      </c>
      <c r="D732" s="4" t="b">
        <v>0</v>
      </c>
      <c r="E732" s="4" t="b">
        <v>0</v>
      </c>
      <c r="F732" s="4"/>
      <c r="G732" s="4" t="b">
        <f t="shared" si="11"/>
        <v>0</v>
      </c>
      <c r="H732" s="4"/>
      <c r="I732" s="4"/>
      <c r="J732" s="4" t="s">
        <v>98</v>
      </c>
    </row>
    <row r="733" spans="1:10" customFormat="1" ht="16" x14ac:dyDescent="0.2">
      <c r="A733" s="6" t="s">
        <v>1509</v>
      </c>
      <c r="B733" s="6" t="s">
        <v>1510</v>
      </c>
      <c r="C733" s="4" t="b">
        <v>1</v>
      </c>
      <c r="D733" s="4" t="b">
        <v>0</v>
      </c>
      <c r="E733" s="4" t="b">
        <v>1</v>
      </c>
      <c r="F733" s="4" t="s">
        <v>12</v>
      </c>
      <c r="G733" s="4" t="b">
        <f t="shared" si="11"/>
        <v>1</v>
      </c>
      <c r="H733" s="4"/>
      <c r="I733" s="4"/>
      <c r="J733" s="4" t="s">
        <v>98</v>
      </c>
    </row>
    <row r="734" spans="1:10" customFormat="1" ht="16" x14ac:dyDescent="0.2">
      <c r="A734" s="6" t="s">
        <v>1511</v>
      </c>
      <c r="B734" s="6" t="s">
        <v>1512</v>
      </c>
      <c r="C734" s="4" t="b">
        <v>1</v>
      </c>
      <c r="D734" s="4" t="b">
        <v>0</v>
      </c>
      <c r="E734" s="4" t="b">
        <v>1</v>
      </c>
      <c r="F734" s="4" t="s">
        <v>12</v>
      </c>
      <c r="G734" s="4" t="b">
        <f t="shared" si="11"/>
        <v>1</v>
      </c>
      <c r="H734" s="4" t="s">
        <v>3330</v>
      </c>
      <c r="I734" s="4"/>
      <c r="J734" s="4" t="s">
        <v>98</v>
      </c>
    </row>
    <row r="735" spans="1:10" customFormat="1" ht="16" x14ac:dyDescent="0.2">
      <c r="A735" s="6" t="s">
        <v>1513</v>
      </c>
      <c r="B735" s="6" t="s">
        <v>1514</v>
      </c>
      <c r="C735" s="4" t="b">
        <v>0</v>
      </c>
      <c r="D735" s="4" t="b">
        <v>0</v>
      </c>
      <c r="E735" s="4" t="b">
        <v>1</v>
      </c>
      <c r="F735" s="4"/>
      <c r="G735" s="4" t="b">
        <f t="shared" si="11"/>
        <v>0</v>
      </c>
      <c r="H735" s="4"/>
      <c r="I735" s="4"/>
      <c r="J735" s="4" t="s">
        <v>98</v>
      </c>
    </row>
    <row r="736" spans="1:10" customFormat="1" ht="16" x14ac:dyDescent="0.2">
      <c r="A736" s="6" t="s">
        <v>1515</v>
      </c>
      <c r="B736" s="6" t="s">
        <v>1516</v>
      </c>
      <c r="C736" s="4" t="b">
        <v>0</v>
      </c>
      <c r="D736" s="4" t="b">
        <v>0</v>
      </c>
      <c r="E736" s="4" t="b">
        <v>0</v>
      </c>
      <c r="F736" s="4"/>
      <c r="G736" s="4" t="b">
        <f t="shared" si="11"/>
        <v>0</v>
      </c>
      <c r="H736" s="4"/>
      <c r="I736" s="4"/>
      <c r="J736" s="4" t="s">
        <v>98</v>
      </c>
    </row>
    <row r="737" spans="1:10" customFormat="1" ht="16" x14ac:dyDescent="0.2">
      <c r="A737" s="6" t="s">
        <v>1517</v>
      </c>
      <c r="B737" s="6" t="s">
        <v>1518</v>
      </c>
      <c r="C737" s="4" t="b">
        <v>0</v>
      </c>
      <c r="D737" s="4" t="b">
        <v>0</v>
      </c>
      <c r="E737" s="4" t="b">
        <v>0</v>
      </c>
      <c r="F737" s="4"/>
      <c r="G737" s="4" t="b">
        <f t="shared" si="11"/>
        <v>0</v>
      </c>
      <c r="H737" s="4"/>
      <c r="I737" s="4"/>
      <c r="J737" s="4" t="s">
        <v>98</v>
      </c>
    </row>
    <row r="738" spans="1:10" customFormat="1" ht="48" x14ac:dyDescent="0.2">
      <c r="A738" s="6" t="s">
        <v>1519</v>
      </c>
      <c r="B738" s="6" t="s">
        <v>1520</v>
      </c>
      <c r="C738" s="4" t="b">
        <v>1</v>
      </c>
      <c r="D738" s="4" t="b">
        <v>0</v>
      </c>
      <c r="E738" s="4" t="b">
        <v>1</v>
      </c>
      <c r="F738" s="4" t="s">
        <v>12</v>
      </c>
      <c r="G738" s="4" t="b">
        <f t="shared" si="11"/>
        <v>1</v>
      </c>
      <c r="H738" s="4" t="s">
        <v>3329</v>
      </c>
      <c r="I738" s="4"/>
      <c r="J738" s="4" t="s">
        <v>98</v>
      </c>
    </row>
    <row r="739" spans="1:10" customFormat="1" ht="16" x14ac:dyDescent="0.2">
      <c r="A739" s="6" t="s">
        <v>1521</v>
      </c>
      <c r="B739" s="6" t="s">
        <v>1522</v>
      </c>
      <c r="C739" s="4" t="b">
        <v>0</v>
      </c>
      <c r="D739" s="4" t="b">
        <v>0</v>
      </c>
      <c r="E739" s="4" t="b">
        <v>0</v>
      </c>
      <c r="F739" s="4"/>
      <c r="G739" s="4" t="b">
        <f t="shared" si="11"/>
        <v>0</v>
      </c>
      <c r="H739" s="4"/>
      <c r="I739" s="4"/>
      <c r="J739" s="4" t="s">
        <v>98</v>
      </c>
    </row>
    <row r="740" spans="1:10" customFormat="1" ht="16" x14ac:dyDescent="0.2">
      <c r="A740" s="6" t="s">
        <v>1523</v>
      </c>
      <c r="B740" s="6" t="s">
        <v>1524</v>
      </c>
      <c r="C740" s="4" t="b">
        <v>0</v>
      </c>
      <c r="D740" s="4" t="b">
        <v>0</v>
      </c>
      <c r="E740" s="4" t="b">
        <v>1</v>
      </c>
      <c r="F740" s="4"/>
      <c r="G740" s="4" t="b">
        <f t="shared" si="11"/>
        <v>0</v>
      </c>
      <c r="H740" s="4"/>
      <c r="I740" s="4"/>
      <c r="J740" s="4" t="s">
        <v>98</v>
      </c>
    </row>
    <row r="741" spans="1:10" customFormat="1" ht="16" x14ac:dyDescent="0.2">
      <c r="A741" s="6" t="s">
        <v>1525</v>
      </c>
      <c r="B741" s="6" t="s">
        <v>1526</v>
      </c>
      <c r="C741" s="4" t="b">
        <v>0</v>
      </c>
      <c r="D741" s="4" t="b">
        <v>0</v>
      </c>
      <c r="E741" s="4" t="b">
        <v>0</v>
      </c>
      <c r="F741" s="4"/>
      <c r="G741" s="4" t="b">
        <f t="shared" si="11"/>
        <v>0</v>
      </c>
      <c r="H741" s="4"/>
      <c r="I741" s="4"/>
      <c r="J741" s="4" t="s">
        <v>98</v>
      </c>
    </row>
    <row r="742" spans="1:10" customFormat="1" ht="16" x14ac:dyDescent="0.2">
      <c r="A742" s="6" t="s">
        <v>1527</v>
      </c>
      <c r="B742" s="6" t="s">
        <v>1528</v>
      </c>
      <c r="C742" s="4" t="b">
        <v>1</v>
      </c>
      <c r="D742" s="4" t="b">
        <v>0</v>
      </c>
      <c r="E742" s="4" t="b">
        <v>1</v>
      </c>
      <c r="F742" s="4" t="s">
        <v>12</v>
      </c>
      <c r="G742" s="4" t="b">
        <f t="shared" si="11"/>
        <v>1</v>
      </c>
      <c r="H742" s="4" t="s">
        <v>3328</v>
      </c>
      <c r="I742" s="4"/>
      <c r="J742" s="4" t="s">
        <v>98</v>
      </c>
    </row>
    <row r="743" spans="1:10" customFormat="1" ht="16" x14ac:dyDescent="0.2">
      <c r="A743" s="6" t="s">
        <v>1529</v>
      </c>
      <c r="B743" s="6" t="s">
        <v>1530</v>
      </c>
      <c r="C743" s="4" t="b">
        <v>0</v>
      </c>
      <c r="D743" s="4" t="b">
        <v>0</v>
      </c>
      <c r="E743" s="4" t="b">
        <v>1</v>
      </c>
      <c r="F743" s="4" t="s">
        <v>12</v>
      </c>
      <c r="G743" s="4" t="b">
        <f t="shared" si="11"/>
        <v>1</v>
      </c>
      <c r="H743" s="4" t="s">
        <v>3327</v>
      </c>
      <c r="I743" s="4"/>
      <c r="J743" s="4" t="s">
        <v>98</v>
      </c>
    </row>
    <row r="744" spans="1:10" customFormat="1" ht="16" x14ac:dyDescent="0.2">
      <c r="A744" s="6" t="s">
        <v>1531</v>
      </c>
      <c r="B744" s="6" t="s">
        <v>1532</v>
      </c>
      <c r="C744" s="4" t="b">
        <v>0</v>
      </c>
      <c r="D744" s="4" t="b">
        <v>0</v>
      </c>
      <c r="E744" s="4" t="b">
        <v>1</v>
      </c>
      <c r="F744" s="4"/>
      <c r="G744" s="4" t="b">
        <f t="shared" si="11"/>
        <v>0</v>
      </c>
      <c r="H744" s="4"/>
      <c r="I744" s="4"/>
      <c r="J744" s="4" t="s">
        <v>98</v>
      </c>
    </row>
    <row r="745" spans="1:10" customFormat="1" ht="16" x14ac:dyDescent="0.2">
      <c r="A745" s="6" t="s">
        <v>1533</v>
      </c>
      <c r="B745" s="6" t="s">
        <v>1534</v>
      </c>
      <c r="C745" s="4" t="b">
        <v>0</v>
      </c>
      <c r="D745" s="4" t="b">
        <v>0</v>
      </c>
      <c r="E745" s="4" t="b">
        <v>0</v>
      </c>
      <c r="F745" s="4"/>
      <c r="G745" s="4" t="b">
        <f t="shared" si="11"/>
        <v>0</v>
      </c>
      <c r="H745" s="4"/>
      <c r="I745" s="4"/>
      <c r="J745" s="4" t="s">
        <v>98</v>
      </c>
    </row>
    <row r="746" spans="1:10" customFormat="1" ht="16" x14ac:dyDescent="0.2">
      <c r="A746" s="6" t="s">
        <v>1535</v>
      </c>
      <c r="B746" s="6" t="s">
        <v>1536</v>
      </c>
      <c r="C746" s="4" t="b">
        <v>0</v>
      </c>
      <c r="D746" s="4" t="b">
        <v>0</v>
      </c>
      <c r="E746" s="4" t="b">
        <v>1</v>
      </c>
      <c r="F746" s="4"/>
      <c r="G746" s="4" t="b">
        <f t="shared" si="11"/>
        <v>0</v>
      </c>
      <c r="H746" s="4"/>
      <c r="I746" s="4"/>
      <c r="J746" s="4" t="s">
        <v>98</v>
      </c>
    </row>
    <row r="747" spans="1:10" customFormat="1" ht="16" x14ac:dyDescent="0.2">
      <c r="A747" s="6" t="s">
        <v>1537</v>
      </c>
      <c r="B747" s="6" t="s">
        <v>1538</v>
      </c>
      <c r="C747" s="4" t="b">
        <v>0</v>
      </c>
      <c r="D747" s="4" t="b">
        <v>0</v>
      </c>
      <c r="E747" s="4" t="b">
        <v>0</v>
      </c>
      <c r="F747" s="4"/>
      <c r="G747" s="4" t="b">
        <f t="shared" si="11"/>
        <v>0</v>
      </c>
      <c r="H747" s="4"/>
      <c r="I747" s="4"/>
      <c r="J747" s="4" t="s">
        <v>98</v>
      </c>
    </row>
    <row r="748" spans="1:10" customFormat="1" ht="64" x14ac:dyDescent="0.2">
      <c r="A748" s="6" t="s">
        <v>1539</v>
      </c>
      <c r="B748" s="6" t="s">
        <v>1540</v>
      </c>
      <c r="C748" s="4" t="b">
        <v>1</v>
      </c>
      <c r="D748" s="4" t="b">
        <v>0</v>
      </c>
      <c r="E748" s="4" t="b">
        <v>1</v>
      </c>
      <c r="F748" s="4" t="s">
        <v>12</v>
      </c>
      <c r="G748" s="4" t="b">
        <f t="shared" si="11"/>
        <v>1</v>
      </c>
      <c r="H748" s="4" t="s">
        <v>3326</v>
      </c>
      <c r="I748" s="4"/>
      <c r="J748" s="4" t="s">
        <v>98</v>
      </c>
    </row>
    <row r="749" spans="1:10" customFormat="1" ht="16" x14ac:dyDescent="0.2">
      <c r="A749" s="6" t="s">
        <v>1541</v>
      </c>
      <c r="B749" s="6" t="s">
        <v>1542</v>
      </c>
      <c r="C749" s="4" t="b">
        <v>0</v>
      </c>
      <c r="D749" s="4" t="b">
        <v>0</v>
      </c>
      <c r="E749" s="4" t="b">
        <v>1</v>
      </c>
      <c r="F749" s="4"/>
      <c r="G749" s="4" t="b">
        <f t="shared" si="11"/>
        <v>0</v>
      </c>
      <c r="H749" s="4"/>
      <c r="I749" s="4"/>
      <c r="J749" s="4" t="s">
        <v>98</v>
      </c>
    </row>
    <row r="750" spans="1:10" customFormat="1" ht="16" x14ac:dyDescent="0.2">
      <c r="A750" s="6" t="s">
        <v>1543</v>
      </c>
      <c r="B750" s="6" t="s">
        <v>1544</v>
      </c>
      <c r="C750" s="4" t="b">
        <v>0</v>
      </c>
      <c r="D750" s="4" t="b">
        <v>0</v>
      </c>
      <c r="E750" s="4" t="b">
        <v>0</v>
      </c>
      <c r="F750" s="4"/>
      <c r="G750" s="4" t="b">
        <f t="shared" si="11"/>
        <v>0</v>
      </c>
      <c r="H750" s="4"/>
      <c r="I750" s="4"/>
      <c r="J750" s="4" t="s">
        <v>98</v>
      </c>
    </row>
    <row r="751" spans="1:10" customFormat="1" ht="16" x14ac:dyDescent="0.2">
      <c r="A751" s="6" t="s">
        <v>1545</v>
      </c>
      <c r="B751" s="6" t="s">
        <v>1546</v>
      </c>
      <c r="C751" s="4" t="b">
        <v>0</v>
      </c>
      <c r="D751" s="4" t="b">
        <v>0</v>
      </c>
      <c r="E751" s="4" t="b">
        <v>1</v>
      </c>
      <c r="F751" s="4"/>
      <c r="G751" s="4" t="b">
        <f t="shared" si="11"/>
        <v>0</v>
      </c>
      <c r="H751" s="4"/>
      <c r="I751" s="4"/>
      <c r="J751" s="4" t="s">
        <v>98</v>
      </c>
    </row>
    <row r="752" spans="1:10" customFormat="1" ht="32" x14ac:dyDescent="0.2">
      <c r="A752" s="6" t="s">
        <v>1547</v>
      </c>
      <c r="B752" s="6" t="s">
        <v>1548</v>
      </c>
      <c r="C752" s="4" t="b">
        <v>1</v>
      </c>
      <c r="D752" s="4" t="b">
        <v>0</v>
      </c>
      <c r="E752" s="4" t="b">
        <v>1</v>
      </c>
      <c r="F752" s="4" t="s">
        <v>12</v>
      </c>
      <c r="G752" s="4" t="b">
        <f t="shared" si="11"/>
        <v>1</v>
      </c>
      <c r="H752" s="4" t="s">
        <v>3325</v>
      </c>
      <c r="I752" s="4"/>
      <c r="J752" s="4" t="s">
        <v>98</v>
      </c>
    </row>
    <row r="753" spans="1:10" customFormat="1" ht="96" x14ac:dyDescent="0.2">
      <c r="A753" s="6" t="s">
        <v>1549</v>
      </c>
      <c r="B753" s="6" t="s">
        <v>1550</v>
      </c>
      <c r="C753" s="4" t="b">
        <v>1</v>
      </c>
      <c r="D753" s="4" t="b">
        <v>0</v>
      </c>
      <c r="E753" s="4" t="b">
        <v>1</v>
      </c>
      <c r="F753" s="4" t="s">
        <v>12</v>
      </c>
      <c r="G753" s="4" t="b">
        <f t="shared" si="11"/>
        <v>1</v>
      </c>
      <c r="H753" s="4" t="s">
        <v>3324</v>
      </c>
      <c r="I753" s="4"/>
      <c r="J753" s="4" t="s">
        <v>98</v>
      </c>
    </row>
    <row r="754" spans="1:10" customFormat="1" ht="64" x14ac:dyDescent="0.2">
      <c r="A754" s="6" t="s">
        <v>1551</v>
      </c>
      <c r="B754" s="6" t="s">
        <v>1552</v>
      </c>
      <c r="C754" s="4" t="b">
        <v>1</v>
      </c>
      <c r="D754" s="4" t="b">
        <v>0</v>
      </c>
      <c r="E754" s="4" t="b">
        <v>1</v>
      </c>
      <c r="F754" s="4" t="s">
        <v>12</v>
      </c>
      <c r="G754" s="4" t="b">
        <f t="shared" si="11"/>
        <v>1</v>
      </c>
      <c r="H754" s="4" t="s">
        <v>3323</v>
      </c>
      <c r="I754" s="4"/>
      <c r="J754" s="4" t="s">
        <v>98</v>
      </c>
    </row>
    <row r="755" spans="1:10" customFormat="1" ht="16" x14ac:dyDescent="0.2">
      <c r="A755" s="6" t="s">
        <v>1553</v>
      </c>
      <c r="B755" s="6" t="s">
        <v>1554</v>
      </c>
      <c r="C755" s="4" t="b">
        <v>0</v>
      </c>
      <c r="D755" s="4" t="b">
        <v>0</v>
      </c>
      <c r="E755" s="4" t="b">
        <v>0</v>
      </c>
      <c r="F755" s="4"/>
      <c r="G755" s="4" t="b">
        <f t="shared" si="11"/>
        <v>0</v>
      </c>
      <c r="H755" s="4"/>
      <c r="I755" s="4"/>
      <c r="J755" s="4" t="s">
        <v>98</v>
      </c>
    </row>
    <row r="756" spans="1:10" customFormat="1" ht="16" x14ac:dyDescent="0.2">
      <c r="A756" s="6" t="s">
        <v>1555</v>
      </c>
      <c r="B756" s="6" t="s">
        <v>1556</v>
      </c>
      <c r="C756" s="4" t="b">
        <v>1</v>
      </c>
      <c r="D756" s="4" t="b">
        <v>0</v>
      </c>
      <c r="E756" s="4" t="b">
        <v>1</v>
      </c>
      <c r="F756" s="4" t="s">
        <v>12</v>
      </c>
      <c r="G756" s="4" t="b">
        <f t="shared" si="11"/>
        <v>1</v>
      </c>
      <c r="H756" s="4" t="s">
        <v>3322</v>
      </c>
      <c r="I756" s="4"/>
      <c r="J756" s="4" t="s">
        <v>98</v>
      </c>
    </row>
    <row r="757" spans="1:10" customFormat="1" ht="16" x14ac:dyDescent="0.2">
      <c r="A757" s="6" t="s">
        <v>1557</v>
      </c>
      <c r="B757" s="6" t="s">
        <v>1558</v>
      </c>
      <c r="C757" s="4" t="b">
        <v>0</v>
      </c>
      <c r="D757" s="4" t="b">
        <v>0</v>
      </c>
      <c r="E757" s="4" t="b">
        <v>0</v>
      </c>
      <c r="F757" s="4"/>
      <c r="G757" s="4" t="b">
        <f t="shared" si="11"/>
        <v>0</v>
      </c>
      <c r="H757" s="4"/>
      <c r="I757" s="4"/>
      <c r="J757" s="4" t="s">
        <v>98</v>
      </c>
    </row>
    <row r="758" spans="1:10" customFormat="1" ht="16" x14ac:dyDescent="0.2">
      <c r="A758" s="6" t="s">
        <v>1559</v>
      </c>
      <c r="B758" s="6" t="s">
        <v>1560</v>
      </c>
      <c r="C758" s="4" t="b">
        <v>0</v>
      </c>
      <c r="D758" s="4" t="b">
        <v>0</v>
      </c>
      <c r="E758" s="4" t="b">
        <v>0</v>
      </c>
      <c r="F758" s="4"/>
      <c r="G758" s="4" t="b">
        <f t="shared" si="11"/>
        <v>0</v>
      </c>
      <c r="H758" s="4"/>
      <c r="I758" s="4"/>
      <c r="J758" s="4" t="s">
        <v>98</v>
      </c>
    </row>
    <row r="759" spans="1:10" customFormat="1" ht="16" x14ac:dyDescent="0.2">
      <c r="A759" s="6" t="s">
        <v>1561</v>
      </c>
      <c r="B759" s="6" t="s">
        <v>1562</v>
      </c>
      <c r="C759" s="4" t="b">
        <v>0</v>
      </c>
      <c r="D759" s="4" t="b">
        <v>0</v>
      </c>
      <c r="E759" s="4" t="b">
        <v>1</v>
      </c>
      <c r="F759" s="4"/>
      <c r="G759" s="4" t="b">
        <f t="shared" si="11"/>
        <v>0</v>
      </c>
      <c r="H759" s="4"/>
      <c r="I759" s="4"/>
      <c r="J759" s="4" t="s">
        <v>98</v>
      </c>
    </row>
    <row r="760" spans="1:10" customFormat="1" ht="48" x14ac:dyDescent="0.2">
      <c r="A760" s="6" t="s">
        <v>1563</v>
      </c>
      <c r="B760" s="6" t="s">
        <v>1564</v>
      </c>
      <c r="C760" s="4" t="b">
        <v>1</v>
      </c>
      <c r="D760" s="4" t="b">
        <v>1</v>
      </c>
      <c r="E760" s="4" t="b">
        <v>1</v>
      </c>
      <c r="F760" s="4" t="s">
        <v>12</v>
      </c>
      <c r="G760" s="4" t="b">
        <f t="shared" si="11"/>
        <v>1</v>
      </c>
      <c r="H760" s="4" t="s">
        <v>3321</v>
      </c>
      <c r="I760" s="4"/>
      <c r="J760" s="4" t="s">
        <v>98</v>
      </c>
    </row>
    <row r="761" spans="1:10" customFormat="1" ht="16" x14ac:dyDescent="0.2">
      <c r="A761" s="6" t="s">
        <v>1565</v>
      </c>
      <c r="B761" s="6" t="s">
        <v>1566</v>
      </c>
      <c r="C761" s="4" t="b">
        <v>0</v>
      </c>
      <c r="D761" s="4" t="b">
        <v>0</v>
      </c>
      <c r="E761" s="4" t="b">
        <v>0</v>
      </c>
      <c r="F761" s="4"/>
      <c r="G761" s="4" t="b">
        <f t="shared" si="11"/>
        <v>0</v>
      </c>
      <c r="H761" s="4"/>
      <c r="I761" s="4"/>
      <c r="J761" s="4" t="s">
        <v>98</v>
      </c>
    </row>
    <row r="762" spans="1:10" customFormat="1" ht="16" x14ac:dyDescent="0.2">
      <c r="A762" s="6" t="s">
        <v>1567</v>
      </c>
      <c r="B762" s="6" t="s">
        <v>1568</v>
      </c>
      <c r="C762" s="4" t="b">
        <v>0</v>
      </c>
      <c r="D762" s="4" t="b">
        <v>0</v>
      </c>
      <c r="E762" s="4" t="b">
        <v>0</v>
      </c>
      <c r="F762" s="4"/>
      <c r="G762" s="4" t="b">
        <f t="shared" si="11"/>
        <v>0</v>
      </c>
      <c r="H762" s="4"/>
      <c r="I762" s="4"/>
      <c r="J762" s="4" t="s">
        <v>98</v>
      </c>
    </row>
    <row r="763" spans="1:10" customFormat="1" ht="80" x14ac:dyDescent="0.2">
      <c r="A763" s="6" t="s">
        <v>1569</v>
      </c>
      <c r="B763" s="6" t="s">
        <v>1570</v>
      </c>
      <c r="C763" s="4" t="b">
        <v>1</v>
      </c>
      <c r="D763" s="4" t="b">
        <v>1</v>
      </c>
      <c r="E763" s="4" t="b">
        <v>1</v>
      </c>
      <c r="F763" s="4" t="s">
        <v>12</v>
      </c>
      <c r="G763" s="4" t="b">
        <f t="shared" si="11"/>
        <v>1</v>
      </c>
      <c r="H763" s="4" t="s">
        <v>3320</v>
      </c>
      <c r="I763" s="4"/>
      <c r="J763" s="4" t="s">
        <v>98</v>
      </c>
    </row>
    <row r="764" spans="1:10" customFormat="1" ht="16" x14ac:dyDescent="0.2">
      <c r="A764" s="6" t="s">
        <v>1571</v>
      </c>
      <c r="B764" s="6" t="s">
        <v>1572</v>
      </c>
      <c r="C764" s="4" t="b">
        <v>0</v>
      </c>
      <c r="D764" s="4" t="b">
        <v>0</v>
      </c>
      <c r="E764" s="4" t="b">
        <v>0</v>
      </c>
      <c r="F764" s="4"/>
      <c r="G764" s="4" t="b">
        <f t="shared" si="11"/>
        <v>0</v>
      </c>
      <c r="H764" s="4"/>
      <c r="I764" s="4"/>
      <c r="J764" s="4" t="s">
        <v>98</v>
      </c>
    </row>
    <row r="765" spans="1:10" customFormat="1" ht="16" x14ac:dyDescent="0.2">
      <c r="A765" s="6" t="s">
        <v>1573</v>
      </c>
      <c r="B765" s="6" t="s">
        <v>1574</v>
      </c>
      <c r="C765" s="4" t="b">
        <v>1</v>
      </c>
      <c r="D765" s="4" t="b">
        <v>0</v>
      </c>
      <c r="E765" s="4" t="b">
        <v>1</v>
      </c>
      <c r="F765" s="4" t="s">
        <v>12</v>
      </c>
      <c r="G765" s="4" t="b">
        <f t="shared" si="11"/>
        <v>1</v>
      </c>
      <c r="H765" s="4" t="s">
        <v>3319</v>
      </c>
      <c r="I765" s="4"/>
      <c r="J765" s="4" t="s">
        <v>98</v>
      </c>
    </row>
    <row r="766" spans="1:10" customFormat="1" ht="16" x14ac:dyDescent="0.2">
      <c r="A766" s="6" t="s">
        <v>1575</v>
      </c>
      <c r="B766" s="6" t="s">
        <v>1576</v>
      </c>
      <c r="C766" s="4" t="b">
        <v>0</v>
      </c>
      <c r="D766" s="4" t="b">
        <v>0</v>
      </c>
      <c r="E766" s="4" t="b">
        <v>0</v>
      </c>
      <c r="F766" s="4"/>
      <c r="G766" s="4" t="b">
        <f t="shared" si="11"/>
        <v>0</v>
      </c>
      <c r="H766" s="4"/>
      <c r="I766" s="4"/>
      <c r="J766" s="4" t="s">
        <v>98</v>
      </c>
    </row>
    <row r="767" spans="1:10" customFormat="1" ht="96" x14ac:dyDescent="0.2">
      <c r="A767" s="6" t="s">
        <v>1577</v>
      </c>
      <c r="B767" s="6" t="s">
        <v>1578</v>
      </c>
      <c r="C767" s="4" t="b">
        <v>1</v>
      </c>
      <c r="D767" s="4" t="b">
        <v>0</v>
      </c>
      <c r="E767" s="4" t="b">
        <v>1</v>
      </c>
      <c r="F767" s="4" t="s">
        <v>12</v>
      </c>
      <c r="G767" s="4" t="b">
        <f t="shared" si="11"/>
        <v>1</v>
      </c>
      <c r="H767" s="4" t="s">
        <v>3318</v>
      </c>
      <c r="I767" s="4"/>
      <c r="J767" s="4" t="s">
        <v>98</v>
      </c>
    </row>
    <row r="768" spans="1:10" customFormat="1" ht="16" x14ac:dyDescent="0.2">
      <c r="A768" s="6" t="s">
        <v>1579</v>
      </c>
      <c r="B768" s="6" t="s">
        <v>1580</v>
      </c>
      <c r="C768" s="4" t="b">
        <v>0</v>
      </c>
      <c r="D768" s="4" t="b">
        <v>0</v>
      </c>
      <c r="E768" s="4" t="b">
        <v>1</v>
      </c>
      <c r="F768" s="4"/>
      <c r="G768" s="4" t="b">
        <f t="shared" si="11"/>
        <v>0</v>
      </c>
      <c r="H768" s="4"/>
      <c r="I768" s="4"/>
      <c r="J768" s="4" t="s">
        <v>98</v>
      </c>
    </row>
    <row r="769" spans="1:10" customFormat="1" ht="16" x14ac:dyDescent="0.2">
      <c r="A769" s="6" t="s">
        <v>1581</v>
      </c>
      <c r="B769" s="6" t="s">
        <v>1582</v>
      </c>
      <c r="C769" s="4" t="b">
        <v>0</v>
      </c>
      <c r="D769" s="4" t="b">
        <v>0</v>
      </c>
      <c r="E769" s="4" t="b">
        <v>0</v>
      </c>
      <c r="F769" s="4"/>
      <c r="G769" s="4" t="b">
        <f t="shared" si="11"/>
        <v>0</v>
      </c>
      <c r="H769" s="4"/>
      <c r="I769" s="4"/>
      <c r="J769" s="4" t="s">
        <v>98</v>
      </c>
    </row>
    <row r="770" spans="1:10" customFormat="1" ht="32" x14ac:dyDescent="0.2">
      <c r="A770" s="6" t="s">
        <v>1583</v>
      </c>
      <c r="B770" s="6" t="s">
        <v>1584</v>
      </c>
      <c r="C770" s="4" t="b">
        <v>1</v>
      </c>
      <c r="D770" s="4" t="b">
        <v>0</v>
      </c>
      <c r="E770" s="4" t="b">
        <v>1</v>
      </c>
      <c r="F770" s="4" t="s">
        <v>12</v>
      </c>
      <c r="G770" s="4" t="b">
        <f t="shared" ref="G770:G833" si="12">IF(F770="✔", TRUE, FALSE)</f>
        <v>1</v>
      </c>
      <c r="H770" s="4" t="s">
        <v>3317</v>
      </c>
      <c r="I770" s="4"/>
      <c r="J770" s="4" t="s">
        <v>98</v>
      </c>
    </row>
    <row r="771" spans="1:10" customFormat="1" ht="16" x14ac:dyDescent="0.2">
      <c r="A771" s="6" t="s">
        <v>1585</v>
      </c>
      <c r="B771" s="6" t="s">
        <v>1586</v>
      </c>
      <c r="C771" s="4" t="b">
        <v>0</v>
      </c>
      <c r="D771" s="4" t="b">
        <v>0</v>
      </c>
      <c r="E771" s="4" t="b">
        <v>0</v>
      </c>
      <c r="F771" s="4"/>
      <c r="G771" s="4" t="b">
        <f t="shared" si="12"/>
        <v>0</v>
      </c>
      <c r="H771" s="4"/>
      <c r="I771" s="4"/>
      <c r="J771" s="4" t="s">
        <v>98</v>
      </c>
    </row>
    <row r="772" spans="1:10" customFormat="1" ht="16" x14ac:dyDescent="0.2">
      <c r="A772" s="6" t="s">
        <v>1587</v>
      </c>
      <c r="B772" s="6" t="s">
        <v>1588</v>
      </c>
      <c r="C772" s="4" t="b">
        <v>0</v>
      </c>
      <c r="D772" s="4" t="b">
        <v>0</v>
      </c>
      <c r="E772" s="4" t="b">
        <v>0</v>
      </c>
      <c r="F772" s="4"/>
      <c r="G772" s="4" t="b">
        <f t="shared" si="12"/>
        <v>0</v>
      </c>
      <c r="H772" s="4"/>
      <c r="I772" s="4"/>
      <c r="J772" s="4" t="s">
        <v>98</v>
      </c>
    </row>
    <row r="773" spans="1:10" customFormat="1" ht="16" x14ac:dyDescent="0.2">
      <c r="A773" s="6" t="s">
        <v>1589</v>
      </c>
      <c r="B773" s="6" t="s">
        <v>1590</v>
      </c>
      <c r="C773" s="4" t="b">
        <v>0</v>
      </c>
      <c r="D773" s="4" t="b">
        <v>0</v>
      </c>
      <c r="E773" s="4" t="b">
        <v>0</v>
      </c>
      <c r="F773" s="4"/>
      <c r="G773" s="4" t="b">
        <f t="shared" si="12"/>
        <v>0</v>
      </c>
      <c r="H773" s="4"/>
      <c r="I773" s="4"/>
      <c r="J773" s="4" t="s">
        <v>98</v>
      </c>
    </row>
    <row r="774" spans="1:10" customFormat="1" ht="16" x14ac:dyDescent="0.2">
      <c r="A774" s="6" t="s">
        <v>1591</v>
      </c>
      <c r="B774" s="6" t="s">
        <v>1592</v>
      </c>
      <c r="C774" s="4" t="b">
        <v>0</v>
      </c>
      <c r="D774" s="4" t="b">
        <v>0</v>
      </c>
      <c r="E774" s="4" t="b">
        <v>0</v>
      </c>
      <c r="F774" s="4"/>
      <c r="G774" s="4" t="b">
        <f t="shared" si="12"/>
        <v>0</v>
      </c>
      <c r="H774" s="4"/>
      <c r="I774" s="4"/>
      <c r="J774" s="4" t="s">
        <v>98</v>
      </c>
    </row>
    <row r="775" spans="1:10" customFormat="1" ht="16" x14ac:dyDescent="0.2">
      <c r="A775" s="6" t="s">
        <v>1593</v>
      </c>
      <c r="B775" s="6" t="s">
        <v>1594</v>
      </c>
      <c r="C775" s="4" t="b">
        <v>0</v>
      </c>
      <c r="D775" s="4" t="b">
        <v>0</v>
      </c>
      <c r="E775" s="4" t="b">
        <v>0</v>
      </c>
      <c r="F775" s="4"/>
      <c r="G775" s="4" t="b">
        <f t="shared" si="12"/>
        <v>0</v>
      </c>
      <c r="H775" s="4"/>
      <c r="I775" s="4"/>
      <c r="J775" s="4" t="s">
        <v>98</v>
      </c>
    </row>
    <row r="776" spans="1:10" customFormat="1" ht="32" x14ac:dyDescent="0.2">
      <c r="A776" s="6" t="s">
        <v>1595</v>
      </c>
      <c r="B776" s="6" t="s">
        <v>1596</v>
      </c>
      <c r="C776" s="4" t="b">
        <v>1</v>
      </c>
      <c r="D776" s="4" t="b">
        <v>0</v>
      </c>
      <c r="E776" s="4" t="b">
        <v>1</v>
      </c>
      <c r="F776" s="4" t="s">
        <v>12</v>
      </c>
      <c r="G776" s="4" t="b">
        <f t="shared" si="12"/>
        <v>1</v>
      </c>
      <c r="H776" s="4" t="s">
        <v>3316</v>
      </c>
      <c r="I776" s="4"/>
      <c r="J776" s="4" t="s">
        <v>98</v>
      </c>
    </row>
    <row r="777" spans="1:10" customFormat="1" ht="16" x14ac:dyDescent="0.2">
      <c r="A777" s="6" t="s">
        <v>1597</v>
      </c>
      <c r="B777" s="6" t="s">
        <v>1598</v>
      </c>
      <c r="C777" s="4" t="b">
        <v>0</v>
      </c>
      <c r="D777" s="4" t="b">
        <v>0</v>
      </c>
      <c r="E777" s="4" t="b">
        <v>0</v>
      </c>
      <c r="F777" s="4"/>
      <c r="G777" s="4" t="b">
        <f t="shared" si="12"/>
        <v>0</v>
      </c>
      <c r="H777" s="4"/>
      <c r="I777" s="4"/>
      <c r="J777" s="4" t="s">
        <v>98</v>
      </c>
    </row>
    <row r="778" spans="1:10" customFormat="1" ht="16" x14ac:dyDescent="0.2">
      <c r="A778" s="6" t="s">
        <v>1599</v>
      </c>
      <c r="B778" s="6" t="s">
        <v>1600</v>
      </c>
      <c r="C778" s="4" t="b">
        <v>0</v>
      </c>
      <c r="D778" s="4" t="b">
        <v>0</v>
      </c>
      <c r="E778" s="4" t="b">
        <v>1</v>
      </c>
      <c r="F778" s="4"/>
      <c r="G778" s="4" t="b">
        <f t="shared" si="12"/>
        <v>0</v>
      </c>
      <c r="H778" s="4"/>
      <c r="I778" s="4"/>
      <c r="J778" s="4" t="s">
        <v>98</v>
      </c>
    </row>
    <row r="779" spans="1:10" customFormat="1" ht="16" x14ac:dyDescent="0.2">
      <c r="A779" s="6" t="s">
        <v>1601</v>
      </c>
      <c r="B779" s="6" t="s">
        <v>1602</v>
      </c>
      <c r="C779" s="4" t="b">
        <v>1</v>
      </c>
      <c r="D779" s="4" t="b">
        <v>0</v>
      </c>
      <c r="E779" s="4" t="b">
        <v>1</v>
      </c>
      <c r="F779" s="4" t="s">
        <v>12</v>
      </c>
      <c r="G779" s="4" t="b">
        <f t="shared" si="12"/>
        <v>1</v>
      </c>
      <c r="H779" s="4" t="s">
        <v>3315</v>
      </c>
      <c r="I779" s="4"/>
      <c r="J779" s="4" t="s">
        <v>98</v>
      </c>
    </row>
    <row r="780" spans="1:10" customFormat="1" ht="96" x14ac:dyDescent="0.2">
      <c r="A780" s="6" t="s">
        <v>1603</v>
      </c>
      <c r="B780" s="6" t="s">
        <v>1604</v>
      </c>
      <c r="C780" s="4" t="b">
        <v>1</v>
      </c>
      <c r="D780" s="4" t="b">
        <v>0</v>
      </c>
      <c r="E780" s="4" t="b">
        <v>1</v>
      </c>
      <c r="F780" s="4" t="s">
        <v>12</v>
      </c>
      <c r="G780" s="4" t="b">
        <f t="shared" si="12"/>
        <v>1</v>
      </c>
      <c r="H780" s="4" t="s">
        <v>3314</v>
      </c>
      <c r="I780" s="4"/>
      <c r="J780" s="4" t="s">
        <v>98</v>
      </c>
    </row>
    <row r="781" spans="1:10" customFormat="1" ht="16" x14ac:dyDescent="0.2">
      <c r="A781" s="6" t="s">
        <v>1605</v>
      </c>
      <c r="B781" s="6" t="s">
        <v>1606</v>
      </c>
      <c r="C781" s="4" t="b">
        <v>0</v>
      </c>
      <c r="D781" s="4" t="b">
        <v>0</v>
      </c>
      <c r="E781" s="4" t="b">
        <v>0</v>
      </c>
      <c r="F781" s="4"/>
      <c r="G781" s="4" t="b">
        <f t="shared" si="12"/>
        <v>0</v>
      </c>
      <c r="H781" s="4"/>
      <c r="I781" s="4"/>
      <c r="J781" s="4" t="s">
        <v>98</v>
      </c>
    </row>
    <row r="782" spans="1:10" customFormat="1" ht="16" x14ac:dyDescent="0.2">
      <c r="A782" s="6" t="s">
        <v>1607</v>
      </c>
      <c r="B782" s="6" t="s">
        <v>1608</v>
      </c>
      <c r="C782" s="4" t="b">
        <v>0</v>
      </c>
      <c r="D782" s="4" t="b">
        <v>0</v>
      </c>
      <c r="E782" s="4" t="b">
        <v>0</v>
      </c>
      <c r="F782" s="4"/>
      <c r="G782" s="4" t="b">
        <f t="shared" si="12"/>
        <v>0</v>
      </c>
      <c r="H782" s="4"/>
      <c r="I782" s="4"/>
      <c r="J782" s="4" t="s">
        <v>98</v>
      </c>
    </row>
    <row r="783" spans="1:10" customFormat="1" ht="16" x14ac:dyDescent="0.2">
      <c r="A783" s="6" t="s">
        <v>1609</v>
      </c>
      <c r="B783" s="6" t="s">
        <v>1610</v>
      </c>
      <c r="C783" s="4" t="b">
        <v>0</v>
      </c>
      <c r="D783" s="4" t="b">
        <v>0</v>
      </c>
      <c r="E783" s="4" t="b">
        <v>0</v>
      </c>
      <c r="F783" s="4"/>
      <c r="G783" s="4" t="b">
        <f t="shared" si="12"/>
        <v>0</v>
      </c>
      <c r="H783" s="4"/>
      <c r="I783" s="4"/>
      <c r="J783" s="4" t="s">
        <v>98</v>
      </c>
    </row>
    <row r="784" spans="1:10" customFormat="1" ht="80" x14ac:dyDescent="0.2">
      <c r="A784" s="6" t="s">
        <v>1611</v>
      </c>
      <c r="B784" s="6" t="s">
        <v>1612</v>
      </c>
      <c r="C784" s="4" t="b">
        <v>1</v>
      </c>
      <c r="D784" s="4" t="b">
        <v>0</v>
      </c>
      <c r="E784" s="4" t="b">
        <v>1</v>
      </c>
      <c r="F784" s="4" t="s">
        <v>12</v>
      </c>
      <c r="G784" s="4" t="b">
        <f t="shared" si="12"/>
        <v>1</v>
      </c>
      <c r="H784" s="4" t="s">
        <v>3313</v>
      </c>
      <c r="I784" s="4"/>
      <c r="J784" s="4" t="s">
        <v>98</v>
      </c>
    </row>
    <row r="785" spans="1:10" customFormat="1" ht="16" x14ac:dyDescent="0.2">
      <c r="A785" s="6" t="s">
        <v>1613</v>
      </c>
      <c r="B785" s="6" t="s">
        <v>1614</v>
      </c>
      <c r="C785" s="4" t="b">
        <v>0</v>
      </c>
      <c r="D785" s="4" t="b">
        <v>0</v>
      </c>
      <c r="E785" s="4" t="b">
        <v>1</v>
      </c>
      <c r="F785" s="4" t="s">
        <v>12</v>
      </c>
      <c r="G785" s="4" t="b">
        <f t="shared" si="12"/>
        <v>1</v>
      </c>
      <c r="H785" s="4" t="s">
        <v>3312</v>
      </c>
      <c r="I785" s="4"/>
      <c r="J785" s="4" t="s">
        <v>98</v>
      </c>
    </row>
    <row r="786" spans="1:10" customFormat="1" ht="16" x14ac:dyDescent="0.2">
      <c r="A786" s="6" t="s">
        <v>1615</v>
      </c>
      <c r="B786" s="6" t="s">
        <v>1616</v>
      </c>
      <c r="C786" s="4" t="b">
        <v>0</v>
      </c>
      <c r="D786" s="4" t="b">
        <v>0</v>
      </c>
      <c r="E786" s="4" t="b">
        <v>0</v>
      </c>
      <c r="F786" s="4"/>
      <c r="G786" s="4" t="b">
        <f t="shared" si="12"/>
        <v>0</v>
      </c>
      <c r="H786" s="4"/>
      <c r="I786" s="4"/>
      <c r="J786" s="4" t="s">
        <v>98</v>
      </c>
    </row>
    <row r="787" spans="1:10" customFormat="1" ht="48" x14ac:dyDescent="0.2">
      <c r="A787" s="6" t="s">
        <v>1617</v>
      </c>
      <c r="B787" s="6" t="s">
        <v>1618</v>
      </c>
      <c r="C787" s="4" t="b">
        <v>1</v>
      </c>
      <c r="D787" s="4" t="b">
        <v>0</v>
      </c>
      <c r="E787" s="4" t="b">
        <v>1</v>
      </c>
      <c r="F787" s="4" t="s">
        <v>12</v>
      </c>
      <c r="G787" s="4" t="b">
        <f t="shared" si="12"/>
        <v>1</v>
      </c>
      <c r="H787" s="4" t="s">
        <v>3311</v>
      </c>
      <c r="I787" s="4"/>
      <c r="J787" s="4" t="s">
        <v>98</v>
      </c>
    </row>
    <row r="788" spans="1:10" customFormat="1" ht="16" x14ac:dyDescent="0.2">
      <c r="A788" s="6" t="s">
        <v>1619</v>
      </c>
      <c r="B788" s="6" t="s">
        <v>1620</v>
      </c>
      <c r="C788" s="4" t="b">
        <v>0</v>
      </c>
      <c r="D788" s="4" t="b">
        <v>0</v>
      </c>
      <c r="E788" s="4" t="b">
        <v>1</v>
      </c>
      <c r="F788" s="4"/>
      <c r="G788" s="4" t="b">
        <f t="shared" si="12"/>
        <v>0</v>
      </c>
      <c r="H788" s="4"/>
      <c r="I788" s="4"/>
      <c r="J788" s="4" t="s">
        <v>98</v>
      </c>
    </row>
    <row r="789" spans="1:10" customFormat="1" ht="16" x14ac:dyDescent="0.2">
      <c r="A789" s="6" t="s">
        <v>1621</v>
      </c>
      <c r="B789" s="6" t="s">
        <v>1622</v>
      </c>
      <c r="C789" s="4" t="b">
        <v>0</v>
      </c>
      <c r="D789" s="4" t="b">
        <v>0</v>
      </c>
      <c r="E789" s="4" t="b">
        <v>0</v>
      </c>
      <c r="F789" s="4"/>
      <c r="G789" s="4" t="b">
        <f t="shared" si="12"/>
        <v>0</v>
      </c>
      <c r="H789" s="4"/>
      <c r="I789" s="4"/>
      <c r="J789" s="4" t="s">
        <v>98</v>
      </c>
    </row>
    <row r="790" spans="1:10" customFormat="1" ht="32" x14ac:dyDescent="0.2">
      <c r="A790" s="6" t="s">
        <v>1623</v>
      </c>
      <c r="B790" s="6" t="s">
        <v>1624</v>
      </c>
      <c r="C790" s="4" t="b">
        <v>1</v>
      </c>
      <c r="D790" s="4" t="b">
        <v>1</v>
      </c>
      <c r="E790" s="4" t="b">
        <v>1</v>
      </c>
      <c r="F790" s="4" t="s">
        <v>12</v>
      </c>
      <c r="G790" s="4" t="b">
        <f t="shared" si="12"/>
        <v>1</v>
      </c>
      <c r="H790" s="4" t="s">
        <v>3310</v>
      </c>
      <c r="I790" s="4"/>
      <c r="J790" s="4" t="s">
        <v>98</v>
      </c>
    </row>
    <row r="791" spans="1:10" customFormat="1" ht="16" x14ac:dyDescent="0.2">
      <c r="A791" s="6" t="s">
        <v>1625</v>
      </c>
      <c r="B791" s="6" t="s">
        <v>1626</v>
      </c>
      <c r="C791" s="4" t="b">
        <v>0</v>
      </c>
      <c r="D791" s="4" t="b">
        <v>0</v>
      </c>
      <c r="E791" s="4" t="b">
        <v>1</v>
      </c>
      <c r="F791" s="4"/>
      <c r="G791" s="4" t="b">
        <f t="shared" si="12"/>
        <v>0</v>
      </c>
      <c r="H791" s="4"/>
      <c r="I791" s="4"/>
      <c r="J791" s="4" t="s">
        <v>98</v>
      </c>
    </row>
    <row r="792" spans="1:10" customFormat="1" ht="16" x14ac:dyDescent="0.2">
      <c r="A792" s="6" t="s">
        <v>1627</v>
      </c>
      <c r="B792" s="6" t="s">
        <v>1628</v>
      </c>
      <c r="C792" s="4" t="b">
        <v>0</v>
      </c>
      <c r="D792" s="4" t="b">
        <v>0</v>
      </c>
      <c r="E792" s="4" t="b">
        <v>0</v>
      </c>
      <c r="F792" s="4"/>
      <c r="G792" s="4" t="b">
        <f t="shared" si="12"/>
        <v>0</v>
      </c>
      <c r="H792" s="4"/>
      <c r="I792" s="4"/>
      <c r="J792" s="4" t="s">
        <v>98</v>
      </c>
    </row>
    <row r="793" spans="1:10" customFormat="1" ht="16" x14ac:dyDescent="0.2">
      <c r="A793" s="6" t="s">
        <v>1629</v>
      </c>
      <c r="B793" s="6" t="s">
        <v>1630</v>
      </c>
      <c r="C793" s="4" t="b">
        <v>1</v>
      </c>
      <c r="D793" s="4" t="b">
        <v>0</v>
      </c>
      <c r="E793" s="4" t="b">
        <v>1</v>
      </c>
      <c r="F793" s="4" t="s">
        <v>12</v>
      </c>
      <c r="G793" s="4" t="b">
        <f t="shared" si="12"/>
        <v>1</v>
      </c>
      <c r="H793" s="4" t="s">
        <v>3309</v>
      </c>
      <c r="I793" s="4"/>
      <c r="J793" s="4" t="s">
        <v>98</v>
      </c>
    </row>
    <row r="794" spans="1:10" customFormat="1" ht="16" x14ac:dyDescent="0.2">
      <c r="A794" s="6" t="s">
        <v>1631</v>
      </c>
      <c r="B794" s="6" t="s">
        <v>1632</v>
      </c>
      <c r="C794" s="4" t="b">
        <v>0</v>
      </c>
      <c r="D794" s="4" t="b">
        <v>0</v>
      </c>
      <c r="E794" s="4" t="b">
        <v>1</v>
      </c>
      <c r="F794" s="4"/>
      <c r="G794" s="4" t="b">
        <f t="shared" si="12"/>
        <v>0</v>
      </c>
      <c r="H794" s="4"/>
      <c r="I794" s="4"/>
      <c r="J794" s="4" t="s">
        <v>98</v>
      </c>
    </row>
    <row r="795" spans="1:10" customFormat="1" ht="16" x14ac:dyDescent="0.2">
      <c r="A795" s="6" t="s">
        <v>1633</v>
      </c>
      <c r="B795" s="6" t="s">
        <v>1634</v>
      </c>
      <c r="C795" s="4" t="b">
        <v>0</v>
      </c>
      <c r="D795" s="4" t="b">
        <v>0</v>
      </c>
      <c r="E795" s="4" t="b">
        <v>0</v>
      </c>
      <c r="F795" s="4"/>
      <c r="G795" s="4" t="b">
        <f t="shared" si="12"/>
        <v>0</v>
      </c>
      <c r="H795" s="4"/>
      <c r="I795" s="4"/>
      <c r="J795" s="4" t="s">
        <v>98</v>
      </c>
    </row>
    <row r="796" spans="1:10" customFormat="1" ht="80" x14ac:dyDescent="0.2">
      <c r="A796" s="6" t="s">
        <v>1635</v>
      </c>
      <c r="B796" s="6" t="s">
        <v>1636</v>
      </c>
      <c r="C796" s="4" t="b">
        <v>1</v>
      </c>
      <c r="D796" s="4" t="b">
        <v>1</v>
      </c>
      <c r="E796" s="4" t="b">
        <v>1</v>
      </c>
      <c r="F796" s="4" t="s">
        <v>12</v>
      </c>
      <c r="G796" s="4" t="b">
        <f t="shared" si="12"/>
        <v>1</v>
      </c>
      <c r="H796" s="4" t="s">
        <v>3308</v>
      </c>
      <c r="I796" s="4"/>
      <c r="J796" s="4" t="s">
        <v>98</v>
      </c>
    </row>
    <row r="797" spans="1:10" customFormat="1" ht="16" x14ac:dyDescent="0.2">
      <c r="A797" s="6" t="s">
        <v>1637</v>
      </c>
      <c r="B797" s="6" t="s">
        <v>1638</v>
      </c>
      <c r="C797" s="4" t="b">
        <v>0</v>
      </c>
      <c r="D797" s="4" t="b">
        <v>0</v>
      </c>
      <c r="E797" s="4" t="b">
        <v>1</v>
      </c>
      <c r="F797" s="4"/>
      <c r="G797" s="4" t="b">
        <f t="shared" si="12"/>
        <v>0</v>
      </c>
      <c r="H797" s="4"/>
      <c r="I797" s="4"/>
      <c r="J797" s="4" t="s">
        <v>98</v>
      </c>
    </row>
    <row r="798" spans="1:10" customFormat="1" ht="16" x14ac:dyDescent="0.2">
      <c r="A798" s="6" t="s">
        <v>1639</v>
      </c>
      <c r="B798" s="6" t="s">
        <v>1640</v>
      </c>
      <c r="C798" s="4" t="b">
        <v>1</v>
      </c>
      <c r="D798" s="4" t="b">
        <v>0</v>
      </c>
      <c r="E798" s="4" t="b">
        <v>1</v>
      </c>
      <c r="F798" s="4" t="s">
        <v>12</v>
      </c>
      <c r="G798" s="4" t="b">
        <f t="shared" si="12"/>
        <v>1</v>
      </c>
      <c r="H798" s="4" t="s">
        <v>3300</v>
      </c>
      <c r="I798" s="4"/>
      <c r="J798" s="4" t="s">
        <v>98</v>
      </c>
    </row>
    <row r="799" spans="1:10" customFormat="1" ht="32" x14ac:dyDescent="0.2">
      <c r="A799" s="6" t="s">
        <v>1641</v>
      </c>
      <c r="B799" s="6" t="s">
        <v>1642</v>
      </c>
      <c r="C799" s="4" t="b">
        <v>1</v>
      </c>
      <c r="D799" s="4" t="b">
        <v>0</v>
      </c>
      <c r="E799" s="4" t="b">
        <v>1</v>
      </c>
      <c r="F799" s="4" t="s">
        <v>12</v>
      </c>
      <c r="G799" s="4" t="b">
        <f t="shared" si="12"/>
        <v>1</v>
      </c>
      <c r="H799" s="4" t="s">
        <v>3307</v>
      </c>
      <c r="I799" s="4"/>
      <c r="J799" s="4" t="s">
        <v>98</v>
      </c>
    </row>
    <row r="800" spans="1:10" customFormat="1" ht="96" x14ac:dyDescent="0.2">
      <c r="A800" s="6" t="s">
        <v>1643</v>
      </c>
      <c r="B800" s="6" t="s">
        <v>1644</v>
      </c>
      <c r="C800" s="4" t="b">
        <v>1</v>
      </c>
      <c r="D800" s="4" t="b">
        <v>1</v>
      </c>
      <c r="E800" s="4" t="b">
        <v>1</v>
      </c>
      <c r="F800" s="4" t="s">
        <v>12</v>
      </c>
      <c r="G800" s="4" t="b">
        <f t="shared" si="12"/>
        <v>1</v>
      </c>
      <c r="H800" s="4" t="s">
        <v>3306</v>
      </c>
      <c r="I800" s="4"/>
      <c r="J800" s="4" t="s">
        <v>98</v>
      </c>
    </row>
    <row r="801" spans="1:11" ht="16" x14ac:dyDescent="0.2">
      <c r="A801" s="6" t="s">
        <v>1645</v>
      </c>
      <c r="B801" s="6" t="s">
        <v>1646</v>
      </c>
      <c r="C801" s="4" t="b">
        <v>0</v>
      </c>
      <c r="D801" s="4" t="b">
        <v>0</v>
      </c>
      <c r="E801" s="4" t="b">
        <v>0</v>
      </c>
      <c r="F801" s="4"/>
      <c r="G801" s="4" t="b">
        <f t="shared" si="12"/>
        <v>0</v>
      </c>
      <c r="H801" s="4"/>
      <c r="I801" s="4"/>
      <c r="J801" s="4" t="s">
        <v>98</v>
      </c>
      <c r="K801"/>
    </row>
    <row r="802" spans="1:11" ht="48" x14ac:dyDescent="0.2">
      <c r="A802" s="6" t="s">
        <v>1647</v>
      </c>
      <c r="B802" s="6" t="s">
        <v>1648</v>
      </c>
      <c r="C802" s="4" t="b">
        <v>1</v>
      </c>
      <c r="D802" s="4" t="b">
        <v>0</v>
      </c>
      <c r="E802" s="4" t="b">
        <v>1</v>
      </c>
      <c r="F802" s="4" t="s">
        <v>12</v>
      </c>
      <c r="G802" s="4" t="b">
        <f t="shared" si="12"/>
        <v>1</v>
      </c>
      <c r="H802" s="4" t="s">
        <v>3305</v>
      </c>
      <c r="I802" s="4"/>
      <c r="J802" s="4" t="s">
        <v>98</v>
      </c>
      <c r="K802"/>
    </row>
    <row r="803" spans="1:11" ht="16" x14ac:dyDescent="0.2">
      <c r="A803" s="6" t="s">
        <v>1649</v>
      </c>
      <c r="B803" s="6" t="s">
        <v>1650</v>
      </c>
      <c r="C803" s="4" t="b">
        <v>1</v>
      </c>
      <c r="D803" s="4" t="b">
        <v>0</v>
      </c>
      <c r="E803" s="4" t="b">
        <v>1</v>
      </c>
      <c r="F803" s="4" t="s">
        <v>12</v>
      </c>
      <c r="G803" s="4" t="b">
        <f t="shared" si="12"/>
        <v>1</v>
      </c>
      <c r="H803" s="4" t="s">
        <v>3304</v>
      </c>
      <c r="I803" s="4"/>
      <c r="J803" s="4" t="s">
        <v>98</v>
      </c>
      <c r="K803"/>
    </row>
    <row r="804" spans="1:11" ht="16" x14ac:dyDescent="0.2">
      <c r="A804" s="6" t="s">
        <v>1651</v>
      </c>
      <c r="B804" s="6" t="s">
        <v>1652</v>
      </c>
      <c r="C804" s="4" t="b">
        <v>1</v>
      </c>
      <c r="D804" s="4" t="b">
        <v>0</v>
      </c>
      <c r="E804" s="4" t="b">
        <v>1</v>
      </c>
      <c r="F804" s="4" t="s">
        <v>12</v>
      </c>
      <c r="G804" s="4" t="b">
        <f t="shared" si="12"/>
        <v>1</v>
      </c>
      <c r="H804" s="4" t="s">
        <v>3123</v>
      </c>
      <c r="I804" s="4"/>
      <c r="J804" s="4" t="s">
        <v>94</v>
      </c>
    </row>
    <row r="805" spans="1:11" ht="51" x14ac:dyDescent="0.25">
      <c r="A805" s="6" t="s">
        <v>1653</v>
      </c>
      <c r="B805" s="6" t="s">
        <v>1654</v>
      </c>
      <c r="C805" s="4" t="b">
        <v>1</v>
      </c>
      <c r="D805" s="4" t="b">
        <v>0</v>
      </c>
      <c r="E805" s="4" t="b">
        <v>1</v>
      </c>
      <c r="F805" s="4" t="s">
        <v>12</v>
      </c>
      <c r="G805" s="4" t="b">
        <f t="shared" si="12"/>
        <v>1</v>
      </c>
      <c r="H805" s="16" t="s">
        <v>3122</v>
      </c>
      <c r="I805" s="4"/>
      <c r="J805" s="4" t="s">
        <v>94</v>
      </c>
    </row>
    <row r="806" spans="1:11" ht="32" x14ac:dyDescent="0.2">
      <c r="A806" s="6" t="s">
        <v>1655</v>
      </c>
      <c r="B806" s="6" t="s">
        <v>1656</v>
      </c>
      <c r="C806" s="4" t="b">
        <v>1</v>
      </c>
      <c r="D806" s="4" t="b">
        <v>0</v>
      </c>
      <c r="E806" s="4" t="b">
        <v>1</v>
      </c>
      <c r="F806" s="4" t="s">
        <v>12</v>
      </c>
      <c r="G806" s="4" t="b">
        <f t="shared" si="12"/>
        <v>1</v>
      </c>
      <c r="H806" s="4" t="s">
        <v>3121</v>
      </c>
      <c r="I806" s="4"/>
      <c r="J806" s="4" t="s">
        <v>94</v>
      </c>
    </row>
    <row r="807" spans="1:11" ht="16" x14ac:dyDescent="0.2">
      <c r="A807" s="6" t="s">
        <v>1657</v>
      </c>
      <c r="B807" s="6" t="s">
        <v>1658</v>
      </c>
      <c r="C807" s="4" t="b">
        <v>0</v>
      </c>
      <c r="D807" s="4" t="b">
        <v>0</v>
      </c>
      <c r="E807" s="4" t="b">
        <v>0</v>
      </c>
      <c r="F807" s="4"/>
      <c r="G807" s="4" t="b">
        <f t="shared" si="12"/>
        <v>0</v>
      </c>
      <c r="H807" s="4"/>
      <c r="I807" s="4"/>
      <c r="J807" s="4" t="s">
        <v>94</v>
      </c>
      <c r="K807"/>
    </row>
    <row r="808" spans="1:11" ht="16" x14ac:dyDescent="0.2">
      <c r="A808" s="6" t="s">
        <v>1659</v>
      </c>
      <c r="B808" s="6" t="s">
        <v>1660</v>
      </c>
      <c r="C808" s="4" t="b">
        <v>0</v>
      </c>
      <c r="D808" s="4" t="b">
        <v>0</v>
      </c>
      <c r="E808" s="4" t="b">
        <v>1</v>
      </c>
      <c r="F808" s="4"/>
      <c r="G808" s="4" t="b">
        <f t="shared" si="12"/>
        <v>0</v>
      </c>
      <c r="H808" s="4"/>
      <c r="I808" s="4"/>
      <c r="J808" s="4" t="s">
        <v>94</v>
      </c>
      <c r="K808"/>
    </row>
    <row r="809" spans="1:11" ht="16" x14ac:dyDescent="0.2">
      <c r="A809" s="6" t="s">
        <v>1661</v>
      </c>
      <c r="B809" s="6" t="s">
        <v>1662</v>
      </c>
      <c r="C809" s="4" t="b">
        <v>0</v>
      </c>
      <c r="D809" s="4" t="b">
        <v>0</v>
      </c>
      <c r="E809" s="4" t="b">
        <v>0</v>
      </c>
      <c r="F809" s="4"/>
      <c r="G809" s="4" t="b">
        <f t="shared" si="12"/>
        <v>0</v>
      </c>
      <c r="H809" s="4"/>
      <c r="I809" s="4"/>
      <c r="J809" s="4" t="s">
        <v>94</v>
      </c>
      <c r="K809"/>
    </row>
    <row r="810" spans="1:11" ht="16" x14ac:dyDescent="0.2">
      <c r="A810" s="6" t="s">
        <v>1663</v>
      </c>
      <c r="B810" s="6" t="s">
        <v>1664</v>
      </c>
      <c r="C810" s="4" t="b">
        <v>0</v>
      </c>
      <c r="D810" s="4" t="b">
        <v>0</v>
      </c>
      <c r="E810" s="4" t="b">
        <v>0</v>
      </c>
      <c r="F810" s="4"/>
      <c r="G810" s="4" t="b">
        <f t="shared" si="12"/>
        <v>0</v>
      </c>
      <c r="H810" s="4"/>
      <c r="I810" s="4"/>
      <c r="J810" s="4" t="s">
        <v>94</v>
      </c>
      <c r="K810"/>
    </row>
    <row r="811" spans="1:11" ht="48" x14ac:dyDescent="0.2">
      <c r="A811" s="6" t="s">
        <v>1665</v>
      </c>
      <c r="B811" s="6" t="s">
        <v>1666</v>
      </c>
      <c r="C811" s="4" t="b">
        <v>1</v>
      </c>
      <c r="D811" s="4" t="b">
        <v>0</v>
      </c>
      <c r="E811" s="4" t="b">
        <v>1</v>
      </c>
      <c r="F811" s="4" t="s">
        <v>12</v>
      </c>
      <c r="G811" s="4" t="b">
        <f t="shared" si="12"/>
        <v>1</v>
      </c>
      <c r="H811" s="4" t="s">
        <v>3120</v>
      </c>
      <c r="I811" s="4"/>
      <c r="J811" s="4" t="s">
        <v>94</v>
      </c>
    </row>
    <row r="812" spans="1:11" ht="16" x14ac:dyDescent="0.2">
      <c r="A812" s="6" t="s">
        <v>1667</v>
      </c>
      <c r="B812" s="6" t="s">
        <v>1668</v>
      </c>
      <c r="C812" s="4" t="b">
        <v>0</v>
      </c>
      <c r="D812" s="4" t="b">
        <v>0</v>
      </c>
      <c r="E812" s="4" t="b">
        <v>0</v>
      </c>
      <c r="F812" s="4"/>
      <c r="G812" s="4" t="b">
        <f t="shared" si="12"/>
        <v>0</v>
      </c>
      <c r="H812" s="4"/>
      <c r="I812" s="4"/>
      <c r="J812" s="4" t="s">
        <v>94</v>
      </c>
      <c r="K812"/>
    </row>
    <row r="813" spans="1:11" ht="16" x14ac:dyDescent="0.2">
      <c r="A813" s="6" t="s">
        <v>1669</v>
      </c>
      <c r="B813" s="6" t="s">
        <v>1670</v>
      </c>
      <c r="C813" s="4" t="b">
        <v>0</v>
      </c>
      <c r="D813" s="4" t="b">
        <v>0</v>
      </c>
      <c r="E813" s="4" t="b">
        <v>0</v>
      </c>
      <c r="F813" s="4"/>
      <c r="G813" s="4" t="b">
        <f t="shared" si="12"/>
        <v>0</v>
      </c>
      <c r="H813" s="4"/>
      <c r="I813" s="4"/>
      <c r="J813" s="4" t="s">
        <v>94</v>
      </c>
      <c r="K813"/>
    </row>
    <row r="814" spans="1:11" ht="16" x14ac:dyDescent="0.2">
      <c r="A814" s="6" t="s">
        <v>1671</v>
      </c>
      <c r="B814" s="6" t="s">
        <v>1672</v>
      </c>
      <c r="C814" s="4" t="b">
        <v>0</v>
      </c>
      <c r="D814" s="4" t="b">
        <v>0</v>
      </c>
      <c r="E814" s="4" t="b">
        <v>1</v>
      </c>
      <c r="F814" s="4" t="s">
        <v>12</v>
      </c>
      <c r="G814" s="4" t="b">
        <f t="shared" si="12"/>
        <v>1</v>
      </c>
      <c r="H814" s="4" t="s">
        <v>3119</v>
      </c>
      <c r="I814" s="4"/>
      <c r="J814" s="4" t="s">
        <v>94</v>
      </c>
    </row>
    <row r="815" spans="1:11" ht="16" x14ac:dyDescent="0.2">
      <c r="A815" s="6" t="s">
        <v>1673</v>
      </c>
      <c r="B815" s="6" t="s">
        <v>1674</v>
      </c>
      <c r="C815" s="4" t="b">
        <v>1</v>
      </c>
      <c r="D815" s="4" t="b">
        <v>0</v>
      </c>
      <c r="E815" s="4" t="b">
        <v>1</v>
      </c>
      <c r="F815" s="4" t="s">
        <v>12</v>
      </c>
      <c r="G815" s="4" t="b">
        <f t="shared" si="12"/>
        <v>1</v>
      </c>
      <c r="H815" s="4"/>
      <c r="I815" s="4"/>
      <c r="J815" s="4" t="s">
        <v>94</v>
      </c>
    </row>
    <row r="816" spans="1:11" ht="64" x14ac:dyDescent="0.2">
      <c r="A816" s="6" t="s">
        <v>1675</v>
      </c>
      <c r="B816" s="6" t="s">
        <v>1676</v>
      </c>
      <c r="C816" s="4" t="b">
        <v>1</v>
      </c>
      <c r="D816" s="4" t="b">
        <v>1</v>
      </c>
      <c r="E816" s="4" t="b">
        <v>1</v>
      </c>
      <c r="F816" s="4" t="s">
        <v>12</v>
      </c>
      <c r="G816" s="4" t="b">
        <f t="shared" si="12"/>
        <v>1</v>
      </c>
      <c r="H816" s="4" t="s">
        <v>3118</v>
      </c>
      <c r="I816" s="4"/>
      <c r="J816" s="4" t="s">
        <v>94</v>
      </c>
    </row>
    <row r="817" spans="1:11" ht="16" x14ac:dyDescent="0.2">
      <c r="A817" s="6" t="s">
        <v>1677</v>
      </c>
      <c r="B817" s="6" t="s">
        <v>1678</v>
      </c>
      <c r="C817" s="4" t="b">
        <v>0</v>
      </c>
      <c r="D817" s="4" t="b">
        <v>0</v>
      </c>
      <c r="E817" s="4" t="b">
        <v>1</v>
      </c>
      <c r="F817" s="4"/>
      <c r="G817" s="4" t="b">
        <f t="shared" si="12"/>
        <v>0</v>
      </c>
      <c r="H817" s="4"/>
      <c r="I817" s="4"/>
      <c r="J817" s="4" t="s">
        <v>94</v>
      </c>
      <c r="K817"/>
    </row>
    <row r="818" spans="1:11" ht="80" x14ac:dyDescent="0.2">
      <c r="A818" s="6" t="s">
        <v>1679</v>
      </c>
      <c r="B818" s="6" t="s">
        <v>1680</v>
      </c>
      <c r="C818" s="4" t="b">
        <v>1</v>
      </c>
      <c r="D818" s="4" t="b">
        <v>1</v>
      </c>
      <c r="E818" s="4" t="b">
        <v>1</v>
      </c>
      <c r="F818" s="4" t="s">
        <v>12</v>
      </c>
      <c r="G818" s="4" t="b">
        <f t="shared" si="12"/>
        <v>1</v>
      </c>
      <c r="H818" s="4" t="s">
        <v>3117</v>
      </c>
      <c r="I818" s="4"/>
      <c r="J818" s="4" t="s">
        <v>94</v>
      </c>
    </row>
    <row r="819" spans="1:11" ht="16" x14ac:dyDescent="0.2">
      <c r="A819" s="6" t="s">
        <v>1681</v>
      </c>
      <c r="B819" s="6" t="s">
        <v>1682</v>
      </c>
      <c r="C819" s="4" t="b">
        <v>0</v>
      </c>
      <c r="D819" s="4" t="b">
        <v>0</v>
      </c>
      <c r="E819" s="4" t="b">
        <v>0</v>
      </c>
      <c r="F819" s="4"/>
      <c r="G819" s="4" t="b">
        <f t="shared" si="12"/>
        <v>0</v>
      </c>
      <c r="H819" s="4"/>
      <c r="I819" s="4"/>
      <c r="J819" s="4" t="s">
        <v>94</v>
      </c>
      <c r="K819"/>
    </row>
    <row r="820" spans="1:11" ht="16" x14ac:dyDescent="0.2">
      <c r="A820" s="6" t="s">
        <v>1683</v>
      </c>
      <c r="B820" s="6" t="s">
        <v>1684</v>
      </c>
      <c r="C820" s="4" t="b">
        <v>0</v>
      </c>
      <c r="D820" s="4" t="b">
        <v>0</v>
      </c>
      <c r="E820" s="4" t="b">
        <v>0</v>
      </c>
      <c r="F820" s="4"/>
      <c r="G820" s="4" t="b">
        <f t="shared" si="12"/>
        <v>0</v>
      </c>
      <c r="H820" s="4"/>
      <c r="I820" s="4"/>
      <c r="J820" s="4" t="s">
        <v>94</v>
      </c>
      <c r="K820"/>
    </row>
    <row r="821" spans="1:11" ht="16" x14ac:dyDescent="0.2">
      <c r="A821" s="6" t="s">
        <v>1685</v>
      </c>
      <c r="B821" s="6" t="s">
        <v>1686</v>
      </c>
      <c r="C821" s="4" t="b">
        <v>0</v>
      </c>
      <c r="D821" s="4" t="b">
        <v>0</v>
      </c>
      <c r="E821" s="4" t="b">
        <v>0</v>
      </c>
      <c r="F821" s="4"/>
      <c r="G821" s="4" t="b">
        <f t="shared" si="12"/>
        <v>0</v>
      </c>
      <c r="H821" s="4"/>
      <c r="I821" s="4"/>
      <c r="J821" s="4" t="s">
        <v>94</v>
      </c>
      <c r="K821"/>
    </row>
    <row r="822" spans="1:11" ht="32" x14ac:dyDescent="0.2">
      <c r="A822" s="6" t="s">
        <v>1687</v>
      </c>
      <c r="B822" s="6" t="s">
        <v>1688</v>
      </c>
      <c r="C822" s="4" t="b">
        <v>0</v>
      </c>
      <c r="D822" s="4" t="b">
        <v>0</v>
      </c>
      <c r="E822" s="4" t="b">
        <v>0</v>
      </c>
      <c r="F822" s="4" t="s">
        <v>12</v>
      </c>
      <c r="G822" s="4" t="b">
        <f t="shared" si="12"/>
        <v>1</v>
      </c>
      <c r="H822" s="4" t="s">
        <v>3116</v>
      </c>
      <c r="I822" s="4"/>
      <c r="J822" s="4" t="s">
        <v>94</v>
      </c>
    </row>
    <row r="823" spans="1:11" ht="64" x14ac:dyDescent="0.2">
      <c r="A823" s="6" t="s">
        <v>1689</v>
      </c>
      <c r="B823" s="6" t="s">
        <v>1690</v>
      </c>
      <c r="C823" s="4" t="b">
        <v>1</v>
      </c>
      <c r="D823" s="4" t="b">
        <v>0</v>
      </c>
      <c r="E823" s="4" t="b">
        <v>1</v>
      </c>
      <c r="F823" s="4" t="s">
        <v>12</v>
      </c>
      <c r="G823" s="4" t="b">
        <f t="shared" si="12"/>
        <v>1</v>
      </c>
      <c r="H823" s="4" t="s">
        <v>3115</v>
      </c>
      <c r="I823" s="4"/>
      <c r="J823" s="4" t="s">
        <v>94</v>
      </c>
    </row>
    <row r="824" spans="1:11" ht="16" x14ac:dyDescent="0.2">
      <c r="A824" s="6" t="s">
        <v>1691</v>
      </c>
      <c r="B824" s="6" t="s">
        <v>1692</v>
      </c>
      <c r="C824" s="4" t="b">
        <v>0</v>
      </c>
      <c r="D824" s="4" t="b">
        <v>0</v>
      </c>
      <c r="E824" s="4" t="b">
        <v>0</v>
      </c>
      <c r="F824" s="4"/>
      <c r="G824" s="4" t="b">
        <f t="shared" si="12"/>
        <v>0</v>
      </c>
      <c r="H824" s="4"/>
      <c r="I824" s="4"/>
      <c r="J824" s="4" t="s">
        <v>94</v>
      </c>
      <c r="K824"/>
    </row>
    <row r="825" spans="1:11" ht="16" x14ac:dyDescent="0.2">
      <c r="A825" s="6" t="s">
        <v>1693</v>
      </c>
      <c r="B825" s="6" t="s">
        <v>1694</v>
      </c>
      <c r="C825" s="4" t="b">
        <v>0</v>
      </c>
      <c r="D825" s="4" t="b">
        <v>0</v>
      </c>
      <c r="E825" s="4" t="b">
        <v>0</v>
      </c>
      <c r="F825" s="4"/>
      <c r="G825" s="4" t="b">
        <f t="shared" si="12"/>
        <v>0</v>
      </c>
      <c r="H825" s="4"/>
      <c r="I825" s="4"/>
      <c r="J825" s="4" t="s">
        <v>94</v>
      </c>
      <c r="K825"/>
    </row>
    <row r="826" spans="1:11" ht="16" x14ac:dyDescent="0.2">
      <c r="A826" s="6" t="s">
        <v>1695</v>
      </c>
      <c r="B826" s="6" t="s">
        <v>1696</v>
      </c>
      <c r="C826" s="4" t="b">
        <v>0</v>
      </c>
      <c r="D826" s="4" t="b">
        <v>0</v>
      </c>
      <c r="E826" s="4" t="b">
        <v>1</v>
      </c>
      <c r="F826" s="4"/>
      <c r="G826" s="4" t="b">
        <f t="shared" si="12"/>
        <v>0</v>
      </c>
      <c r="H826" s="4"/>
      <c r="I826" s="4"/>
      <c r="J826" s="4" t="s">
        <v>94</v>
      </c>
      <c r="K826"/>
    </row>
    <row r="827" spans="1:11" ht="16" x14ac:dyDescent="0.2">
      <c r="A827" s="6" t="s">
        <v>1697</v>
      </c>
      <c r="B827" s="6" t="s">
        <v>1698</v>
      </c>
      <c r="C827" s="4" t="b">
        <v>0</v>
      </c>
      <c r="D827" s="4" t="b">
        <v>0</v>
      </c>
      <c r="E827" s="4" t="b">
        <v>1</v>
      </c>
      <c r="F827" s="4"/>
      <c r="G827" s="4" t="b">
        <f t="shared" si="12"/>
        <v>0</v>
      </c>
      <c r="H827" s="4"/>
      <c r="I827" s="4"/>
      <c r="J827" s="4" t="s">
        <v>94</v>
      </c>
      <c r="K827"/>
    </row>
    <row r="828" spans="1:11" ht="80" x14ac:dyDescent="0.2">
      <c r="A828" s="6" t="s">
        <v>1699</v>
      </c>
      <c r="B828" s="6" t="s">
        <v>1700</v>
      </c>
      <c r="C828" s="4" t="b">
        <v>1</v>
      </c>
      <c r="D828" s="4" t="b">
        <v>0</v>
      </c>
      <c r="E828" s="4" t="b">
        <v>1</v>
      </c>
      <c r="F828" s="4" t="s">
        <v>12</v>
      </c>
      <c r="G828" s="4" t="b">
        <f t="shared" si="12"/>
        <v>1</v>
      </c>
      <c r="H828" s="1" t="s">
        <v>3114</v>
      </c>
      <c r="I828" s="4"/>
      <c r="J828" s="4" t="s">
        <v>94</v>
      </c>
      <c r="K828" s="1" t="s">
        <v>2998</v>
      </c>
    </row>
    <row r="829" spans="1:11" ht="32" x14ac:dyDescent="0.2">
      <c r="A829" s="6" t="s">
        <v>1701</v>
      </c>
      <c r="B829" s="6" t="s">
        <v>1702</v>
      </c>
      <c r="C829" s="4" t="b">
        <v>1</v>
      </c>
      <c r="D829" s="4" t="b">
        <v>0</v>
      </c>
      <c r="E829" s="4" t="b">
        <v>1</v>
      </c>
      <c r="F829" s="4" t="s">
        <v>12</v>
      </c>
      <c r="G829" s="4" t="b">
        <f t="shared" si="12"/>
        <v>1</v>
      </c>
      <c r="H829" s="4" t="s">
        <v>3113</v>
      </c>
      <c r="I829" s="4"/>
      <c r="J829" s="4" t="s">
        <v>94</v>
      </c>
    </row>
    <row r="830" spans="1:11" ht="16" x14ac:dyDescent="0.2">
      <c r="A830" s="6" t="s">
        <v>1703</v>
      </c>
      <c r="B830" s="6" t="s">
        <v>1704</v>
      </c>
      <c r="C830" s="4" t="b">
        <v>0</v>
      </c>
      <c r="D830" s="4" t="b">
        <v>0</v>
      </c>
      <c r="E830" s="4" t="b">
        <v>0</v>
      </c>
      <c r="F830" s="4"/>
      <c r="G830" s="4" t="b">
        <f t="shared" si="12"/>
        <v>0</v>
      </c>
      <c r="H830" s="4"/>
      <c r="I830" s="4"/>
      <c r="J830" s="4" t="s">
        <v>94</v>
      </c>
      <c r="K830"/>
    </row>
    <row r="831" spans="1:11" ht="32" x14ac:dyDescent="0.2">
      <c r="A831" s="6" t="s">
        <v>1705</v>
      </c>
      <c r="B831" s="6" t="s">
        <v>1706</v>
      </c>
      <c r="C831" s="4" t="b">
        <v>1</v>
      </c>
      <c r="D831" s="4" t="b">
        <v>0</v>
      </c>
      <c r="E831" s="4" t="b">
        <v>1</v>
      </c>
      <c r="F831" s="4" t="s">
        <v>12</v>
      </c>
      <c r="G831" s="4" t="b">
        <f t="shared" si="12"/>
        <v>1</v>
      </c>
      <c r="H831" s="4" t="s">
        <v>3112</v>
      </c>
      <c r="I831" s="4"/>
      <c r="J831" s="4" t="s">
        <v>94</v>
      </c>
      <c r="K831" s="1" t="s">
        <v>2998</v>
      </c>
    </row>
    <row r="832" spans="1:11" ht="32" x14ac:dyDescent="0.2">
      <c r="A832" s="6" t="s">
        <v>1707</v>
      </c>
      <c r="B832" s="6" t="s">
        <v>1708</v>
      </c>
      <c r="C832" s="4" t="b">
        <v>1</v>
      </c>
      <c r="D832" s="4" t="b">
        <v>0</v>
      </c>
      <c r="E832" s="4" t="b">
        <v>1</v>
      </c>
      <c r="F832" s="4" t="s">
        <v>12</v>
      </c>
      <c r="G832" s="4" t="b">
        <f t="shared" si="12"/>
        <v>1</v>
      </c>
      <c r="H832" s="4" t="s">
        <v>3111</v>
      </c>
      <c r="I832" s="4"/>
      <c r="J832" s="4" t="s">
        <v>94</v>
      </c>
    </row>
    <row r="833" spans="1:11" ht="16" x14ac:dyDescent="0.2">
      <c r="A833" s="6" t="s">
        <v>1709</v>
      </c>
      <c r="B833" s="6" t="s">
        <v>1710</v>
      </c>
      <c r="C833" s="4" t="b">
        <v>0</v>
      </c>
      <c r="D833" s="4" t="b">
        <v>0</v>
      </c>
      <c r="E833" s="4" t="b">
        <v>0</v>
      </c>
      <c r="F833" s="4"/>
      <c r="G833" s="4" t="b">
        <f t="shared" si="12"/>
        <v>0</v>
      </c>
      <c r="H833" s="4"/>
      <c r="I833" s="4"/>
      <c r="J833" s="4" t="s">
        <v>94</v>
      </c>
      <c r="K833"/>
    </row>
    <row r="834" spans="1:11" ht="16" x14ac:dyDescent="0.2">
      <c r="A834" s="6" t="s">
        <v>1711</v>
      </c>
      <c r="B834" s="6" t="s">
        <v>1712</v>
      </c>
      <c r="C834" s="4" t="b">
        <v>0</v>
      </c>
      <c r="D834" s="4" t="b">
        <v>0</v>
      </c>
      <c r="E834" s="4" t="b">
        <v>0</v>
      </c>
      <c r="F834" s="4"/>
      <c r="G834" s="4" t="b">
        <f t="shared" ref="G834:G897" si="13">IF(F834="✔", TRUE, FALSE)</f>
        <v>0</v>
      </c>
      <c r="H834" s="4"/>
      <c r="I834" s="4"/>
      <c r="J834" s="4" t="s">
        <v>94</v>
      </c>
      <c r="K834"/>
    </row>
    <row r="835" spans="1:11" ht="16" x14ac:dyDescent="0.2">
      <c r="A835" s="6" t="s">
        <v>1713</v>
      </c>
      <c r="B835" s="6" t="s">
        <v>1714</v>
      </c>
      <c r="C835" s="4" t="b">
        <v>0</v>
      </c>
      <c r="D835" s="4" t="b">
        <v>0</v>
      </c>
      <c r="E835" s="4" t="b">
        <v>0</v>
      </c>
      <c r="F835" s="4"/>
      <c r="G835" s="4" t="b">
        <f t="shared" si="13"/>
        <v>0</v>
      </c>
      <c r="H835" s="4"/>
      <c r="I835" s="4"/>
      <c r="J835" s="4" t="s">
        <v>94</v>
      </c>
      <c r="K835"/>
    </row>
    <row r="836" spans="1:11" ht="16" x14ac:dyDescent="0.2">
      <c r="A836" s="6" t="s">
        <v>1715</v>
      </c>
      <c r="B836" s="6" t="s">
        <v>1716</v>
      </c>
      <c r="C836" s="4" t="b">
        <v>0</v>
      </c>
      <c r="D836" s="4" t="b">
        <v>0</v>
      </c>
      <c r="E836" s="4" t="b">
        <v>0</v>
      </c>
      <c r="F836" s="4"/>
      <c r="G836" s="4" t="b">
        <f t="shared" si="13"/>
        <v>0</v>
      </c>
      <c r="H836" s="4"/>
      <c r="I836" s="4"/>
      <c r="J836" s="4" t="s">
        <v>94</v>
      </c>
      <c r="K836"/>
    </row>
    <row r="837" spans="1:11" ht="16" x14ac:dyDescent="0.2">
      <c r="A837" s="6" t="s">
        <v>1717</v>
      </c>
      <c r="B837" s="6" t="s">
        <v>1718</v>
      </c>
      <c r="C837" s="4" t="b">
        <v>0</v>
      </c>
      <c r="D837" s="4" t="b">
        <v>0</v>
      </c>
      <c r="E837" s="4" t="b">
        <v>0</v>
      </c>
      <c r="F837" s="4"/>
      <c r="G837" s="4" t="b">
        <f t="shared" si="13"/>
        <v>0</v>
      </c>
      <c r="H837" s="4"/>
      <c r="I837" s="4"/>
      <c r="J837" s="4" t="s">
        <v>94</v>
      </c>
      <c r="K837"/>
    </row>
    <row r="838" spans="1:11" ht="16" x14ac:dyDescent="0.2">
      <c r="A838" s="6" t="s">
        <v>1719</v>
      </c>
      <c r="B838" s="6" t="s">
        <v>1720</v>
      </c>
      <c r="C838" s="4" t="b">
        <v>0</v>
      </c>
      <c r="D838" s="4" t="b">
        <v>0</v>
      </c>
      <c r="E838" s="4" t="b">
        <v>0</v>
      </c>
      <c r="F838" s="4"/>
      <c r="G838" s="4" t="b">
        <f t="shared" si="13"/>
        <v>0</v>
      </c>
      <c r="H838" s="4"/>
      <c r="I838" s="4"/>
      <c r="J838" s="4" t="s">
        <v>94</v>
      </c>
      <c r="K838"/>
    </row>
    <row r="839" spans="1:11" ht="64" x14ac:dyDescent="0.2">
      <c r="A839" s="6" t="s">
        <v>1721</v>
      </c>
      <c r="B839" s="6" t="s">
        <v>1722</v>
      </c>
      <c r="C839" s="4" t="b">
        <v>1</v>
      </c>
      <c r="D839" s="4" t="b">
        <v>0</v>
      </c>
      <c r="E839" s="4" t="b">
        <v>1</v>
      </c>
      <c r="F839" s="4" t="s">
        <v>12</v>
      </c>
      <c r="G839" s="4" t="b">
        <f t="shared" si="13"/>
        <v>1</v>
      </c>
      <c r="H839" s="4" t="s">
        <v>3110</v>
      </c>
      <c r="I839" s="4"/>
      <c r="J839" s="4" t="s">
        <v>94</v>
      </c>
    </row>
    <row r="840" spans="1:11" ht="112" x14ac:dyDescent="0.2">
      <c r="A840" s="6" t="s">
        <v>1723</v>
      </c>
      <c r="B840" s="6" t="s">
        <v>1724</v>
      </c>
      <c r="C840" s="4" t="b">
        <v>1</v>
      </c>
      <c r="D840" s="4" t="b">
        <v>0</v>
      </c>
      <c r="E840" s="4" t="b">
        <v>1</v>
      </c>
      <c r="F840" s="4" t="s">
        <v>12</v>
      </c>
      <c r="G840" s="4" t="b">
        <f t="shared" si="13"/>
        <v>1</v>
      </c>
      <c r="H840" s="4" t="s">
        <v>3109</v>
      </c>
      <c r="I840" s="4"/>
      <c r="J840" s="4" t="s">
        <v>94</v>
      </c>
    </row>
    <row r="841" spans="1:11" ht="16" x14ac:dyDescent="0.2">
      <c r="A841" s="6" t="s">
        <v>1725</v>
      </c>
      <c r="B841" s="6" t="s">
        <v>1726</v>
      </c>
      <c r="C841" s="4" t="b">
        <v>0</v>
      </c>
      <c r="D841" s="4" t="b">
        <v>0</v>
      </c>
      <c r="E841" s="4" t="b">
        <v>0</v>
      </c>
      <c r="F841" s="4"/>
      <c r="G841" s="4" t="b">
        <f t="shared" si="13"/>
        <v>0</v>
      </c>
      <c r="H841" s="4"/>
      <c r="I841" s="4"/>
      <c r="J841" s="4" t="s">
        <v>94</v>
      </c>
      <c r="K841"/>
    </row>
    <row r="842" spans="1:11" ht="64" x14ac:dyDescent="0.2">
      <c r="A842" s="6" t="s">
        <v>1727</v>
      </c>
      <c r="B842" s="6" t="s">
        <v>1728</v>
      </c>
      <c r="C842" s="4" t="b">
        <v>0</v>
      </c>
      <c r="D842" s="4" t="b">
        <v>0</v>
      </c>
      <c r="E842" s="4" t="b">
        <v>0</v>
      </c>
      <c r="F842" s="4" t="s">
        <v>12</v>
      </c>
      <c r="G842" s="4" t="b">
        <f t="shared" si="13"/>
        <v>1</v>
      </c>
      <c r="H842" s="4" t="s">
        <v>3108</v>
      </c>
      <c r="I842" s="4"/>
      <c r="J842" s="4" t="s">
        <v>94</v>
      </c>
    </row>
    <row r="843" spans="1:11" ht="16" x14ac:dyDescent="0.2">
      <c r="A843" s="6" t="s">
        <v>1729</v>
      </c>
      <c r="B843" s="6" t="s">
        <v>1730</v>
      </c>
      <c r="C843" s="4" t="b">
        <v>0</v>
      </c>
      <c r="D843" s="4" t="b">
        <v>0</v>
      </c>
      <c r="E843" s="4" t="b">
        <v>0</v>
      </c>
      <c r="F843" s="4"/>
      <c r="G843" s="4" t="b">
        <f t="shared" si="13"/>
        <v>0</v>
      </c>
      <c r="H843" s="4"/>
      <c r="I843" s="4"/>
      <c r="J843" s="4" t="s">
        <v>94</v>
      </c>
      <c r="K843"/>
    </row>
    <row r="844" spans="1:11" ht="16" x14ac:dyDescent="0.2">
      <c r="A844" s="6" t="s">
        <v>1731</v>
      </c>
      <c r="B844" s="6" t="s">
        <v>1732</v>
      </c>
      <c r="C844" s="4" t="b">
        <v>0</v>
      </c>
      <c r="D844" s="4" t="b">
        <v>0</v>
      </c>
      <c r="E844" s="4" t="b">
        <v>0</v>
      </c>
      <c r="F844" s="4"/>
      <c r="G844" s="4" t="b">
        <f t="shared" si="13"/>
        <v>0</v>
      </c>
      <c r="H844" s="4"/>
      <c r="I844" s="4"/>
      <c r="J844" s="4" t="s">
        <v>94</v>
      </c>
      <c r="K844"/>
    </row>
    <row r="845" spans="1:11" ht="64" x14ac:dyDescent="0.2">
      <c r="A845" s="6" t="s">
        <v>1733</v>
      </c>
      <c r="B845" s="6" t="s">
        <v>1734</v>
      </c>
      <c r="C845" s="4" t="b">
        <v>1</v>
      </c>
      <c r="D845" s="4" t="b">
        <v>1</v>
      </c>
      <c r="E845" s="4" t="b">
        <v>1</v>
      </c>
      <c r="F845" s="4" t="s">
        <v>12</v>
      </c>
      <c r="G845" s="4" t="b">
        <f t="shared" si="13"/>
        <v>1</v>
      </c>
      <c r="H845" s="4" t="s">
        <v>3107</v>
      </c>
      <c r="I845" s="4"/>
      <c r="J845" s="4" t="s">
        <v>94</v>
      </c>
    </row>
    <row r="846" spans="1:11" ht="32" x14ac:dyDescent="0.2">
      <c r="A846" s="6" t="s">
        <v>1735</v>
      </c>
      <c r="B846" s="6" t="s">
        <v>1736</v>
      </c>
      <c r="C846" s="4" t="b">
        <v>1</v>
      </c>
      <c r="D846" s="4" t="b">
        <v>0</v>
      </c>
      <c r="E846" s="4" t="b">
        <v>1</v>
      </c>
      <c r="F846" s="4" t="s">
        <v>12</v>
      </c>
      <c r="G846" s="4" t="b">
        <f t="shared" si="13"/>
        <v>1</v>
      </c>
      <c r="H846" s="4" t="s">
        <v>3106</v>
      </c>
      <c r="I846" s="4"/>
      <c r="J846" s="4" t="s">
        <v>94</v>
      </c>
      <c r="K846" s="1" t="s">
        <v>2998</v>
      </c>
    </row>
    <row r="847" spans="1:11" ht="80" x14ac:dyDescent="0.2">
      <c r="A847" s="6" t="s">
        <v>1737</v>
      </c>
      <c r="B847" s="6" t="s">
        <v>1738</v>
      </c>
      <c r="C847" s="4" t="b">
        <v>1</v>
      </c>
      <c r="D847" s="4" t="b">
        <v>0</v>
      </c>
      <c r="E847" s="4" t="b">
        <v>1</v>
      </c>
      <c r="F847" s="4" t="s">
        <v>12</v>
      </c>
      <c r="G847" s="4" t="b">
        <f t="shared" si="13"/>
        <v>1</v>
      </c>
      <c r="H847" s="4" t="s">
        <v>3101</v>
      </c>
      <c r="I847" s="4"/>
      <c r="J847" s="4" t="s">
        <v>94</v>
      </c>
    </row>
    <row r="848" spans="1:11" ht="176" x14ac:dyDescent="0.2">
      <c r="A848" s="6" t="s">
        <v>1739</v>
      </c>
      <c r="B848" s="6" t="s">
        <v>1740</v>
      </c>
      <c r="C848" s="4" t="b">
        <v>1</v>
      </c>
      <c r="D848" s="4" t="b">
        <v>1</v>
      </c>
      <c r="E848" s="4" t="b">
        <v>1</v>
      </c>
      <c r="F848" s="4" t="s">
        <v>12</v>
      </c>
      <c r="G848" s="4" t="b">
        <f t="shared" si="13"/>
        <v>1</v>
      </c>
      <c r="H848" s="4" t="s">
        <v>3100</v>
      </c>
      <c r="I848" s="4"/>
      <c r="J848" s="4" t="s">
        <v>94</v>
      </c>
    </row>
    <row r="849" spans="1:11" ht="128" x14ac:dyDescent="0.2">
      <c r="A849" s="6" t="s">
        <v>1741</v>
      </c>
      <c r="B849" s="6" t="s">
        <v>1742</v>
      </c>
      <c r="C849" s="4" t="b">
        <v>1</v>
      </c>
      <c r="D849" s="4" t="b">
        <v>0</v>
      </c>
      <c r="E849" s="4" t="b">
        <v>1</v>
      </c>
      <c r="F849" s="4" t="s">
        <v>12</v>
      </c>
      <c r="G849" s="4" t="b">
        <f t="shared" si="13"/>
        <v>1</v>
      </c>
      <c r="H849" s="4" t="s">
        <v>3099</v>
      </c>
      <c r="I849" s="4"/>
      <c r="J849" s="4" t="s">
        <v>94</v>
      </c>
      <c r="K849" s="1" t="s">
        <v>2998</v>
      </c>
    </row>
    <row r="850" spans="1:11" ht="16" x14ac:dyDescent="0.2">
      <c r="A850" s="6" t="s">
        <v>1743</v>
      </c>
      <c r="B850" s="6" t="s">
        <v>1744</v>
      </c>
      <c r="C850" s="4" t="b">
        <v>0</v>
      </c>
      <c r="D850" s="4" t="b">
        <v>0</v>
      </c>
      <c r="E850" s="4" t="b">
        <v>1</v>
      </c>
      <c r="F850" s="4"/>
      <c r="G850" s="4" t="b">
        <f t="shared" si="13"/>
        <v>0</v>
      </c>
      <c r="H850" s="4"/>
      <c r="I850" s="4"/>
      <c r="J850" s="4" t="s">
        <v>94</v>
      </c>
      <c r="K850"/>
    </row>
    <row r="851" spans="1:11" ht="32" x14ac:dyDescent="0.2">
      <c r="A851" s="6" t="s">
        <v>1745</v>
      </c>
      <c r="B851" s="6" t="s">
        <v>1746</v>
      </c>
      <c r="C851" s="4" t="b">
        <v>0</v>
      </c>
      <c r="D851" s="4" t="b">
        <v>0</v>
      </c>
      <c r="E851" s="4" t="b">
        <v>1</v>
      </c>
      <c r="F851" s="4" t="s">
        <v>12</v>
      </c>
      <c r="G851" s="4" t="b">
        <f t="shared" si="13"/>
        <v>1</v>
      </c>
      <c r="H851" s="4" t="s">
        <v>3102</v>
      </c>
      <c r="I851" s="4"/>
      <c r="J851" s="4" t="s">
        <v>94</v>
      </c>
    </row>
    <row r="852" spans="1:11" ht="16" x14ac:dyDescent="0.2">
      <c r="A852" s="6" t="s">
        <v>1747</v>
      </c>
      <c r="B852" s="6" t="s">
        <v>1748</v>
      </c>
      <c r="C852" s="4" t="b">
        <v>0</v>
      </c>
      <c r="D852" s="4" t="b">
        <v>0</v>
      </c>
      <c r="E852" s="4" t="b">
        <v>0</v>
      </c>
      <c r="F852" s="4"/>
      <c r="G852" s="4" t="b">
        <f t="shared" si="13"/>
        <v>0</v>
      </c>
      <c r="H852" s="4"/>
      <c r="I852" s="4"/>
      <c r="J852" s="4" t="s">
        <v>94</v>
      </c>
      <c r="K852"/>
    </row>
    <row r="853" spans="1:11" ht="16" x14ac:dyDescent="0.2">
      <c r="A853" s="6" t="s">
        <v>1749</v>
      </c>
      <c r="B853" s="6" t="s">
        <v>1750</v>
      </c>
      <c r="C853" s="4" t="b">
        <v>0</v>
      </c>
      <c r="D853" s="4" t="b">
        <v>0</v>
      </c>
      <c r="E853" s="4" t="b">
        <v>0</v>
      </c>
      <c r="F853" s="4"/>
      <c r="G853" s="4" t="b">
        <f t="shared" si="13"/>
        <v>0</v>
      </c>
      <c r="H853" s="4"/>
      <c r="I853" s="4"/>
      <c r="J853" s="4" t="s">
        <v>94</v>
      </c>
      <c r="K853"/>
    </row>
    <row r="854" spans="1:11" ht="16" x14ac:dyDescent="0.2">
      <c r="A854" s="6" t="s">
        <v>1751</v>
      </c>
      <c r="B854" s="6" t="s">
        <v>1752</v>
      </c>
      <c r="C854" s="4" t="b">
        <v>1</v>
      </c>
      <c r="D854" s="4" t="b">
        <v>0</v>
      </c>
      <c r="E854" s="4" t="b">
        <v>1</v>
      </c>
      <c r="F854" s="4" t="s">
        <v>12</v>
      </c>
      <c r="G854" s="4" t="b">
        <f t="shared" si="13"/>
        <v>1</v>
      </c>
      <c r="H854" s="4" t="s">
        <v>3098</v>
      </c>
      <c r="I854" s="4"/>
      <c r="J854" s="4" t="s">
        <v>94</v>
      </c>
    </row>
    <row r="855" spans="1:11" ht="16" x14ac:dyDescent="0.2">
      <c r="A855" s="6" t="s">
        <v>1753</v>
      </c>
      <c r="B855" s="6" t="s">
        <v>1754</v>
      </c>
      <c r="C855" s="4" t="b">
        <v>1</v>
      </c>
      <c r="D855" s="4" t="b">
        <v>0</v>
      </c>
      <c r="E855" s="4" t="b">
        <v>1</v>
      </c>
      <c r="F855" s="4" t="s">
        <v>12</v>
      </c>
      <c r="G855" s="4" t="b">
        <f t="shared" si="13"/>
        <v>1</v>
      </c>
      <c r="H855" s="4"/>
      <c r="I855" s="4"/>
      <c r="J855" s="4" t="s">
        <v>94</v>
      </c>
    </row>
    <row r="856" spans="1:11" ht="16" x14ac:dyDescent="0.2">
      <c r="A856" s="6" t="s">
        <v>1755</v>
      </c>
      <c r="B856" s="6" t="s">
        <v>1756</v>
      </c>
      <c r="C856" s="4" t="b">
        <v>0</v>
      </c>
      <c r="D856" s="4" t="b">
        <v>0</v>
      </c>
      <c r="E856" s="4" t="b">
        <v>0</v>
      </c>
      <c r="F856" s="4"/>
      <c r="G856" s="4" t="b">
        <f t="shared" si="13"/>
        <v>0</v>
      </c>
      <c r="H856" s="4"/>
      <c r="I856" s="4"/>
      <c r="J856" s="4" t="s">
        <v>94</v>
      </c>
      <c r="K856"/>
    </row>
    <row r="857" spans="1:11" ht="64" x14ac:dyDescent="0.2">
      <c r="A857" s="6" t="s">
        <v>1757</v>
      </c>
      <c r="B857" s="6" t="s">
        <v>1758</v>
      </c>
      <c r="C857" s="4" t="b">
        <v>1</v>
      </c>
      <c r="D857" s="4" t="b">
        <v>0</v>
      </c>
      <c r="E857" s="4" t="b">
        <v>1</v>
      </c>
      <c r="F857" s="4" t="s">
        <v>12</v>
      </c>
      <c r="G857" s="4" t="b">
        <f t="shared" si="13"/>
        <v>1</v>
      </c>
      <c r="H857" s="4" t="s">
        <v>3097</v>
      </c>
      <c r="I857" s="4"/>
      <c r="J857" s="4" t="s">
        <v>94</v>
      </c>
    </row>
    <row r="858" spans="1:11" ht="16" x14ac:dyDescent="0.2">
      <c r="A858" s="6" t="s">
        <v>1759</v>
      </c>
      <c r="B858" s="6" t="s">
        <v>1760</v>
      </c>
      <c r="C858" s="4" t="b">
        <v>0</v>
      </c>
      <c r="D858" s="4" t="b">
        <v>0</v>
      </c>
      <c r="E858" s="4" t="b">
        <v>1</v>
      </c>
      <c r="F858" s="4"/>
      <c r="G858" s="4" t="b">
        <f t="shared" si="13"/>
        <v>0</v>
      </c>
      <c r="H858" s="4"/>
      <c r="I858" s="4"/>
      <c r="J858" s="4" t="s">
        <v>94</v>
      </c>
      <c r="K858"/>
    </row>
    <row r="859" spans="1:11" ht="144" x14ac:dyDescent="0.2">
      <c r="A859" s="6" t="s">
        <v>1761</v>
      </c>
      <c r="B859" s="6" t="s">
        <v>1762</v>
      </c>
      <c r="C859" s="4" t="b">
        <v>1</v>
      </c>
      <c r="D859" s="4" t="b">
        <v>1</v>
      </c>
      <c r="E859" s="4" t="b">
        <v>1</v>
      </c>
      <c r="F859" s="4" t="s">
        <v>12</v>
      </c>
      <c r="G859" s="4" t="b">
        <f t="shared" si="13"/>
        <v>1</v>
      </c>
      <c r="H859" s="4" t="s">
        <v>3073</v>
      </c>
      <c r="I859" s="4"/>
      <c r="J859" s="4" t="s">
        <v>94</v>
      </c>
    </row>
    <row r="860" spans="1:11" ht="64" x14ac:dyDescent="0.2">
      <c r="A860" s="6" t="s">
        <v>1763</v>
      </c>
      <c r="B860" s="6" t="s">
        <v>1764</v>
      </c>
      <c r="C860" s="4" t="b">
        <v>1</v>
      </c>
      <c r="D860" s="4" t="b">
        <v>1</v>
      </c>
      <c r="E860" s="4" t="b">
        <v>1</v>
      </c>
      <c r="F860" s="4" t="s">
        <v>12</v>
      </c>
      <c r="G860" s="4" t="b">
        <f t="shared" si="13"/>
        <v>1</v>
      </c>
      <c r="H860" s="4" t="s">
        <v>3072</v>
      </c>
      <c r="I860" s="4"/>
      <c r="J860" s="4" t="s">
        <v>94</v>
      </c>
    </row>
    <row r="861" spans="1:11" ht="16" x14ac:dyDescent="0.2">
      <c r="A861" s="6" t="s">
        <v>1765</v>
      </c>
      <c r="B861" s="6" t="s">
        <v>1766</v>
      </c>
      <c r="C861" s="4" t="b">
        <v>0</v>
      </c>
      <c r="D861" s="4" t="b">
        <v>0</v>
      </c>
      <c r="E861" s="4" t="b">
        <v>1</v>
      </c>
      <c r="F861" s="4"/>
      <c r="G861" s="4" t="b">
        <f t="shared" si="13"/>
        <v>0</v>
      </c>
      <c r="H861" s="4"/>
      <c r="I861" s="4"/>
      <c r="J861" s="4" t="s">
        <v>94</v>
      </c>
      <c r="K861"/>
    </row>
    <row r="862" spans="1:11" ht="16" x14ac:dyDescent="0.2">
      <c r="A862" s="6" t="s">
        <v>1767</v>
      </c>
      <c r="B862" s="6" t="s">
        <v>1768</v>
      </c>
      <c r="C862" s="4" t="b">
        <v>0</v>
      </c>
      <c r="D862" s="4" t="b">
        <v>0</v>
      </c>
      <c r="E862" s="4" t="b">
        <v>1</v>
      </c>
      <c r="F862" s="4"/>
      <c r="G862" s="4" t="b">
        <f t="shared" si="13"/>
        <v>0</v>
      </c>
      <c r="H862" s="4"/>
      <c r="I862" s="4"/>
      <c r="J862" s="4" t="s">
        <v>94</v>
      </c>
      <c r="K862"/>
    </row>
    <row r="863" spans="1:11" ht="16" x14ac:dyDescent="0.2">
      <c r="A863" s="6" t="s">
        <v>1769</v>
      </c>
      <c r="B863" s="6" t="s">
        <v>1770</v>
      </c>
      <c r="C863" s="4" t="b">
        <v>0</v>
      </c>
      <c r="D863" s="4" t="b">
        <v>0</v>
      </c>
      <c r="E863" s="4" t="b">
        <v>1</v>
      </c>
      <c r="F863" s="4"/>
      <c r="G863" s="4" t="b">
        <f t="shared" si="13"/>
        <v>0</v>
      </c>
      <c r="H863" s="4"/>
      <c r="I863" s="4"/>
      <c r="J863" s="4" t="s">
        <v>94</v>
      </c>
      <c r="K863"/>
    </row>
    <row r="864" spans="1:11" ht="32" x14ac:dyDescent="0.2">
      <c r="A864" s="6" t="s">
        <v>1771</v>
      </c>
      <c r="B864" s="6" t="s">
        <v>1772</v>
      </c>
      <c r="C864" s="4" t="b">
        <v>1</v>
      </c>
      <c r="D864" s="4" t="b">
        <v>0</v>
      </c>
      <c r="E864" s="4" t="b">
        <v>1</v>
      </c>
      <c r="F864" s="4" t="s">
        <v>12</v>
      </c>
      <c r="G864" s="4" t="b">
        <f t="shared" si="13"/>
        <v>1</v>
      </c>
      <c r="H864" s="4" t="s">
        <v>3071</v>
      </c>
      <c r="I864" s="4"/>
      <c r="J864" s="4" t="s">
        <v>94</v>
      </c>
    </row>
    <row r="865" spans="1:11" ht="16" x14ac:dyDescent="0.2">
      <c r="A865" s="6" t="s">
        <v>1773</v>
      </c>
      <c r="B865" s="6" t="s">
        <v>1774</v>
      </c>
      <c r="C865" s="4" t="b">
        <v>1</v>
      </c>
      <c r="D865" s="4" t="b">
        <v>0</v>
      </c>
      <c r="E865" s="4" t="b">
        <v>1</v>
      </c>
      <c r="F865" s="4" t="s">
        <v>12</v>
      </c>
      <c r="G865" s="4" t="b">
        <f t="shared" si="13"/>
        <v>1</v>
      </c>
      <c r="H865" s="4"/>
      <c r="I865" s="4"/>
      <c r="J865" s="4" t="s">
        <v>94</v>
      </c>
    </row>
    <row r="866" spans="1:11" ht="48" x14ac:dyDescent="0.2">
      <c r="A866" s="6" t="s">
        <v>1775</v>
      </c>
      <c r="B866" s="6" t="s">
        <v>1776</v>
      </c>
      <c r="C866" s="4" t="b">
        <v>1</v>
      </c>
      <c r="D866" s="4" t="b">
        <v>0</v>
      </c>
      <c r="E866" s="4" t="b">
        <v>1</v>
      </c>
      <c r="F866" s="4" t="s">
        <v>12</v>
      </c>
      <c r="G866" s="4" t="b">
        <f t="shared" si="13"/>
        <v>1</v>
      </c>
      <c r="H866" s="4" t="s">
        <v>3070</v>
      </c>
      <c r="I866" s="4"/>
      <c r="J866" s="4" t="s">
        <v>94</v>
      </c>
    </row>
    <row r="867" spans="1:11" ht="16" x14ac:dyDescent="0.2">
      <c r="A867" s="6" t="s">
        <v>1777</v>
      </c>
      <c r="B867" s="6" t="s">
        <v>1778</v>
      </c>
      <c r="C867" s="4" t="b">
        <v>0</v>
      </c>
      <c r="D867" s="4" t="b">
        <v>0</v>
      </c>
      <c r="E867" s="4" t="b">
        <v>1</v>
      </c>
      <c r="F867" s="4"/>
      <c r="G867" s="4" t="b">
        <f t="shared" si="13"/>
        <v>0</v>
      </c>
      <c r="H867" s="4"/>
      <c r="I867" s="4"/>
      <c r="J867" s="4" t="s">
        <v>94</v>
      </c>
      <c r="K867"/>
    </row>
    <row r="868" spans="1:11" ht="16" x14ac:dyDescent="0.2">
      <c r="A868" s="6" t="s">
        <v>1779</v>
      </c>
      <c r="B868" s="6" t="s">
        <v>1780</v>
      </c>
      <c r="C868" s="4" t="b">
        <v>0</v>
      </c>
      <c r="D868" s="4" t="b">
        <v>0</v>
      </c>
      <c r="E868" s="4" t="b">
        <v>1</v>
      </c>
      <c r="F868" s="4"/>
      <c r="G868" s="4" t="b">
        <f t="shared" si="13"/>
        <v>0</v>
      </c>
      <c r="H868" s="4"/>
      <c r="I868" s="4"/>
      <c r="J868" s="4" t="s">
        <v>94</v>
      </c>
      <c r="K868"/>
    </row>
    <row r="869" spans="1:11" ht="16" x14ac:dyDescent="0.2">
      <c r="A869" s="6" t="s">
        <v>1781</v>
      </c>
      <c r="B869" s="6" t="s">
        <v>1782</v>
      </c>
      <c r="C869" s="4" t="b">
        <v>0</v>
      </c>
      <c r="D869" s="4" t="b">
        <v>0</v>
      </c>
      <c r="E869" s="4" t="b">
        <v>1</v>
      </c>
      <c r="F869" s="4"/>
      <c r="G869" s="4" t="b">
        <f t="shared" si="13"/>
        <v>0</v>
      </c>
      <c r="H869" s="4"/>
      <c r="I869" s="4"/>
      <c r="J869" s="4" t="s">
        <v>94</v>
      </c>
      <c r="K869"/>
    </row>
    <row r="870" spans="1:11" ht="16" x14ac:dyDescent="0.2">
      <c r="A870" s="6" t="s">
        <v>1783</v>
      </c>
      <c r="B870" s="6" t="s">
        <v>1784</v>
      </c>
      <c r="C870" s="4" t="b">
        <v>0</v>
      </c>
      <c r="D870" s="4" t="b">
        <v>0</v>
      </c>
      <c r="E870" s="4" t="b">
        <v>0</v>
      </c>
      <c r="F870" s="4"/>
      <c r="G870" s="4" t="b">
        <f t="shared" si="13"/>
        <v>0</v>
      </c>
      <c r="H870" s="4"/>
      <c r="I870" s="4"/>
      <c r="J870" s="4" t="s">
        <v>94</v>
      </c>
      <c r="K870"/>
    </row>
    <row r="871" spans="1:11" ht="16" x14ac:dyDescent="0.2">
      <c r="A871" s="6" t="s">
        <v>1785</v>
      </c>
      <c r="B871" s="6" t="s">
        <v>1786</v>
      </c>
      <c r="C871" s="4" t="b">
        <v>1</v>
      </c>
      <c r="D871" s="4" t="b">
        <v>0</v>
      </c>
      <c r="E871" s="4" t="b">
        <v>1</v>
      </c>
      <c r="F871" s="4" t="s">
        <v>12</v>
      </c>
      <c r="G871" s="4" t="b">
        <f t="shared" si="13"/>
        <v>1</v>
      </c>
      <c r="H871" s="4"/>
      <c r="I871" s="4"/>
      <c r="J871" s="4" t="s">
        <v>1309</v>
      </c>
    </row>
    <row r="872" spans="1:11" ht="16" x14ac:dyDescent="0.2">
      <c r="A872" s="6" t="s">
        <v>1787</v>
      </c>
      <c r="B872" s="6" t="s">
        <v>1788</v>
      </c>
      <c r="C872" s="4" t="b">
        <v>0</v>
      </c>
      <c r="D872" s="4" t="b">
        <v>0</v>
      </c>
      <c r="E872" s="4" t="b">
        <v>0</v>
      </c>
      <c r="F872" s="4" t="s">
        <v>12</v>
      </c>
      <c r="G872" s="4" t="b">
        <f t="shared" si="13"/>
        <v>1</v>
      </c>
      <c r="H872" s="4"/>
      <c r="I872" s="4"/>
      <c r="J872" s="4" t="s">
        <v>1309</v>
      </c>
    </row>
    <row r="873" spans="1:11" ht="16" x14ac:dyDescent="0.2">
      <c r="A873" s="6" t="s">
        <v>1789</v>
      </c>
      <c r="B873" s="6" t="s">
        <v>1790</v>
      </c>
      <c r="C873" s="4" t="b">
        <v>0</v>
      </c>
      <c r="D873" s="4" t="b">
        <v>0</v>
      </c>
      <c r="E873" s="4" t="b">
        <v>0</v>
      </c>
      <c r="F873" s="4"/>
      <c r="G873" s="4" t="b">
        <f t="shared" si="13"/>
        <v>0</v>
      </c>
      <c r="H873" s="4"/>
      <c r="I873" s="4"/>
      <c r="J873" s="4" t="s">
        <v>1309</v>
      </c>
      <c r="K873"/>
    </row>
    <row r="874" spans="1:11" ht="16" x14ac:dyDescent="0.2">
      <c r="A874" s="6" t="s">
        <v>1791</v>
      </c>
      <c r="B874" s="6" t="s">
        <v>1792</v>
      </c>
      <c r="C874" s="4" t="b">
        <v>0</v>
      </c>
      <c r="D874" s="4" t="b">
        <v>0</v>
      </c>
      <c r="E874" s="4" t="b">
        <v>0</v>
      </c>
      <c r="F874" s="4"/>
      <c r="G874" s="4" t="b">
        <f t="shared" si="13"/>
        <v>0</v>
      </c>
      <c r="H874" s="4"/>
      <c r="I874" s="4"/>
      <c r="J874" s="4" t="s">
        <v>1309</v>
      </c>
      <c r="K874"/>
    </row>
    <row r="875" spans="1:11" ht="16" x14ac:dyDescent="0.2">
      <c r="A875" s="6" t="s">
        <v>1793</v>
      </c>
      <c r="B875" s="6" t="s">
        <v>1794</v>
      </c>
      <c r="C875" s="4" t="b">
        <v>0</v>
      </c>
      <c r="D875" s="4" t="b">
        <v>0</v>
      </c>
      <c r="E875" s="4" t="b">
        <v>0</v>
      </c>
      <c r="F875" s="4"/>
      <c r="G875" s="4" t="b">
        <f t="shared" si="13"/>
        <v>0</v>
      </c>
      <c r="H875" s="4"/>
      <c r="I875" s="4"/>
      <c r="J875" s="4" t="s">
        <v>1309</v>
      </c>
      <c r="K875"/>
    </row>
    <row r="876" spans="1:11" ht="32" x14ac:dyDescent="0.2">
      <c r="A876" s="6" t="s">
        <v>1795</v>
      </c>
      <c r="B876" s="6" t="s">
        <v>1796</v>
      </c>
      <c r="C876" s="4" t="b">
        <v>0</v>
      </c>
      <c r="D876" s="4" t="b">
        <v>0</v>
      </c>
      <c r="E876" s="4" t="b">
        <v>0</v>
      </c>
      <c r="F876" s="4" t="s">
        <v>12</v>
      </c>
      <c r="G876" s="4" t="b">
        <f t="shared" si="13"/>
        <v>1</v>
      </c>
      <c r="H876" s="4" t="s">
        <v>3069</v>
      </c>
      <c r="I876" s="4"/>
      <c r="J876" s="4" t="s">
        <v>1309</v>
      </c>
    </row>
    <row r="877" spans="1:11" ht="16" x14ac:dyDescent="0.2">
      <c r="A877" s="6" t="s">
        <v>1797</v>
      </c>
      <c r="B877" s="6" t="s">
        <v>1798</v>
      </c>
      <c r="C877" s="4" t="b">
        <v>0</v>
      </c>
      <c r="D877" s="4" t="b">
        <v>0</v>
      </c>
      <c r="E877" s="4" t="b">
        <v>1</v>
      </c>
      <c r="F877" s="4" t="s">
        <v>12</v>
      </c>
      <c r="G877" s="4" t="b">
        <f t="shared" si="13"/>
        <v>1</v>
      </c>
      <c r="H877" s="4" t="s">
        <v>3103</v>
      </c>
      <c r="I877" s="4"/>
      <c r="J877" s="4" t="s">
        <v>1309</v>
      </c>
    </row>
    <row r="878" spans="1:11" ht="16" x14ac:dyDescent="0.2">
      <c r="A878" s="6" t="s">
        <v>1799</v>
      </c>
      <c r="B878" s="6" t="s">
        <v>1800</v>
      </c>
      <c r="C878" s="4" t="b">
        <v>0</v>
      </c>
      <c r="D878" s="4" t="b">
        <v>0</v>
      </c>
      <c r="E878" s="4" t="b">
        <v>0</v>
      </c>
      <c r="F878" s="4" t="s">
        <v>12</v>
      </c>
      <c r="G878" s="4" t="b">
        <f t="shared" si="13"/>
        <v>1</v>
      </c>
      <c r="H878" s="4"/>
      <c r="I878" s="4"/>
      <c r="J878" s="4" t="s">
        <v>1309</v>
      </c>
    </row>
    <row r="879" spans="1:11" ht="144" x14ac:dyDescent="0.2">
      <c r="A879" s="6" t="s">
        <v>1801</v>
      </c>
      <c r="B879" s="6" t="s">
        <v>1802</v>
      </c>
      <c r="C879" s="4" t="b">
        <v>1</v>
      </c>
      <c r="D879" s="4" t="b">
        <v>0</v>
      </c>
      <c r="E879" s="4" t="b">
        <v>1</v>
      </c>
      <c r="F879" s="4" t="s">
        <v>12</v>
      </c>
      <c r="G879" s="4" t="b">
        <f t="shared" si="13"/>
        <v>1</v>
      </c>
      <c r="H879" s="4" t="s">
        <v>3068</v>
      </c>
      <c r="I879" s="4"/>
      <c r="J879" s="4" t="s">
        <v>1309</v>
      </c>
    </row>
    <row r="880" spans="1:11" ht="96" x14ac:dyDescent="0.2">
      <c r="A880" s="6" t="s">
        <v>1803</v>
      </c>
      <c r="B880" s="6" t="s">
        <v>1804</v>
      </c>
      <c r="C880" s="4" t="b">
        <v>1</v>
      </c>
      <c r="D880" s="4" t="b">
        <v>0</v>
      </c>
      <c r="E880" s="4" t="b">
        <v>1</v>
      </c>
      <c r="F880" s="4" t="s">
        <v>12</v>
      </c>
      <c r="G880" s="4" t="b">
        <f t="shared" si="13"/>
        <v>1</v>
      </c>
      <c r="H880" s="4" t="s">
        <v>3067</v>
      </c>
      <c r="I880" s="4"/>
      <c r="J880" s="4" t="s">
        <v>1309</v>
      </c>
    </row>
    <row r="881" spans="1:11" ht="48" x14ac:dyDescent="0.2">
      <c r="A881" s="6" t="s">
        <v>1805</v>
      </c>
      <c r="B881" s="6" t="s">
        <v>1806</v>
      </c>
      <c r="C881" s="4" t="b">
        <v>0</v>
      </c>
      <c r="D881" s="4" t="b">
        <v>0</v>
      </c>
      <c r="E881" s="4" t="b">
        <v>0</v>
      </c>
      <c r="F881" s="4" t="s">
        <v>12</v>
      </c>
      <c r="G881" s="4" t="b">
        <f t="shared" si="13"/>
        <v>1</v>
      </c>
      <c r="H881" s="4" t="s">
        <v>3104</v>
      </c>
      <c r="I881" s="4"/>
      <c r="J881" s="4" t="s">
        <v>1309</v>
      </c>
    </row>
    <row r="882" spans="1:11" ht="16" x14ac:dyDescent="0.2">
      <c r="A882" s="6" t="s">
        <v>1807</v>
      </c>
      <c r="B882" s="6" t="s">
        <v>1808</v>
      </c>
      <c r="C882" s="4" t="b">
        <v>0</v>
      </c>
      <c r="D882" s="4" t="b">
        <v>0</v>
      </c>
      <c r="E882" s="4" t="b">
        <v>0</v>
      </c>
      <c r="F882" s="4"/>
      <c r="G882" s="4" t="b">
        <f t="shared" si="13"/>
        <v>0</v>
      </c>
      <c r="H882" s="4"/>
      <c r="I882" s="4"/>
      <c r="J882" s="4" t="s">
        <v>1309</v>
      </c>
      <c r="K882"/>
    </row>
    <row r="883" spans="1:11" ht="16" x14ac:dyDescent="0.2">
      <c r="A883" s="6" t="s">
        <v>1809</v>
      </c>
      <c r="B883" s="6" t="s">
        <v>1810</v>
      </c>
      <c r="C883" s="4" t="b">
        <v>0</v>
      </c>
      <c r="D883" s="4" t="b">
        <v>0</v>
      </c>
      <c r="E883" s="4" t="b">
        <v>0</v>
      </c>
      <c r="F883" s="4"/>
      <c r="G883" s="4" t="b">
        <f t="shared" si="13"/>
        <v>0</v>
      </c>
      <c r="H883" s="4"/>
      <c r="I883" s="4"/>
      <c r="J883" s="4" t="s">
        <v>1309</v>
      </c>
      <c r="K883"/>
    </row>
    <row r="884" spans="1:11" ht="32" x14ac:dyDescent="0.2">
      <c r="A884" s="6" t="s">
        <v>1811</v>
      </c>
      <c r="B884" s="6" t="s">
        <v>1812</v>
      </c>
      <c r="C884" s="4" t="b">
        <v>1</v>
      </c>
      <c r="D884" s="4" t="b">
        <v>1</v>
      </c>
      <c r="E884" s="4" t="b">
        <v>1</v>
      </c>
      <c r="F884" s="4" t="s">
        <v>12</v>
      </c>
      <c r="G884" s="4" t="b">
        <f t="shared" si="13"/>
        <v>1</v>
      </c>
      <c r="H884" s="4" t="s">
        <v>3066</v>
      </c>
      <c r="I884" s="4"/>
      <c r="J884" s="4" t="s">
        <v>1336</v>
      </c>
    </row>
    <row r="885" spans="1:11" ht="32" x14ac:dyDescent="0.2">
      <c r="A885" s="6" t="s">
        <v>1813</v>
      </c>
      <c r="B885" s="6" t="s">
        <v>1814</v>
      </c>
      <c r="C885" s="4" t="b">
        <v>0</v>
      </c>
      <c r="D885" s="4" t="b">
        <v>0</v>
      </c>
      <c r="E885" s="4" t="b">
        <v>1</v>
      </c>
      <c r="F885" s="4"/>
      <c r="G885" s="4" t="b">
        <f t="shared" si="13"/>
        <v>0</v>
      </c>
      <c r="H885" s="4"/>
      <c r="I885" s="4"/>
      <c r="J885" s="4" t="s">
        <v>1336</v>
      </c>
      <c r="K885"/>
    </row>
    <row r="886" spans="1:11" ht="32" x14ac:dyDescent="0.2">
      <c r="A886" s="6" t="s">
        <v>1815</v>
      </c>
      <c r="B886" s="6" t="s">
        <v>1816</v>
      </c>
      <c r="C886" s="4" t="b">
        <v>0</v>
      </c>
      <c r="D886" s="4" t="b">
        <v>0</v>
      </c>
      <c r="E886" s="4" t="b">
        <v>1</v>
      </c>
      <c r="F886" s="4"/>
      <c r="G886" s="4" t="b">
        <f t="shared" si="13"/>
        <v>0</v>
      </c>
      <c r="H886" s="4"/>
      <c r="I886" s="4"/>
      <c r="J886" s="4" t="s">
        <v>1336</v>
      </c>
      <c r="K886"/>
    </row>
    <row r="887" spans="1:11" ht="144" x14ac:dyDescent="0.2">
      <c r="A887" s="6" t="s">
        <v>1817</v>
      </c>
      <c r="B887" s="6" t="s">
        <v>1818</v>
      </c>
      <c r="C887" s="4" t="b">
        <v>1</v>
      </c>
      <c r="D887" s="4" t="b">
        <v>0</v>
      </c>
      <c r="E887" s="4" t="b">
        <v>1</v>
      </c>
      <c r="F887" s="4" t="s">
        <v>12</v>
      </c>
      <c r="G887" s="4" t="b">
        <f t="shared" si="13"/>
        <v>1</v>
      </c>
      <c r="H887" s="4" t="s">
        <v>3065</v>
      </c>
      <c r="I887" s="4"/>
      <c r="J887" s="4" t="s">
        <v>621</v>
      </c>
    </row>
    <row r="888" spans="1:11" ht="16" x14ac:dyDescent="0.2">
      <c r="A888" s="6" t="s">
        <v>1819</v>
      </c>
      <c r="B888" s="6" t="s">
        <v>1820</v>
      </c>
      <c r="C888" s="4" t="b">
        <v>0</v>
      </c>
      <c r="D888" s="4" t="b">
        <v>0</v>
      </c>
      <c r="E888" s="4" t="b">
        <v>0</v>
      </c>
      <c r="F888" s="4"/>
      <c r="G888" s="4" t="b">
        <f t="shared" si="13"/>
        <v>0</v>
      </c>
      <c r="H888" s="4"/>
      <c r="I888" s="4"/>
      <c r="J888" s="4" t="s">
        <v>621</v>
      </c>
      <c r="K888"/>
    </row>
    <row r="889" spans="1:11" ht="16" x14ac:dyDescent="0.2">
      <c r="A889" s="6" t="s">
        <v>1821</v>
      </c>
      <c r="B889" s="6" t="s">
        <v>1822</v>
      </c>
      <c r="C889" s="4" t="b">
        <v>0</v>
      </c>
      <c r="D889" s="4" t="b">
        <v>0</v>
      </c>
      <c r="E889" s="4" t="b">
        <v>1</v>
      </c>
      <c r="F889" s="4"/>
      <c r="G889" s="4" t="b">
        <f t="shared" si="13"/>
        <v>0</v>
      </c>
      <c r="H889" s="4"/>
      <c r="I889" s="4"/>
      <c r="J889" s="4" t="s">
        <v>621</v>
      </c>
      <c r="K889"/>
    </row>
    <row r="890" spans="1:11" ht="16" x14ac:dyDescent="0.2">
      <c r="A890" s="6" t="s">
        <v>1823</v>
      </c>
      <c r="B890" s="6" t="s">
        <v>1824</v>
      </c>
      <c r="C890" s="4" t="b">
        <v>0</v>
      </c>
      <c r="D890" s="4" t="b">
        <v>0</v>
      </c>
      <c r="E890" s="4" t="b">
        <v>0</v>
      </c>
      <c r="F890" s="4"/>
      <c r="G890" s="4" t="b">
        <f t="shared" si="13"/>
        <v>0</v>
      </c>
      <c r="H890" s="4"/>
      <c r="I890" s="4"/>
      <c r="J890" s="4" t="s">
        <v>621</v>
      </c>
      <c r="K890"/>
    </row>
    <row r="891" spans="1:11" ht="16" x14ac:dyDescent="0.2">
      <c r="A891" s="6" t="s">
        <v>1825</v>
      </c>
      <c r="B891" s="6" t="s">
        <v>1826</v>
      </c>
      <c r="C891" s="4" t="b">
        <v>0</v>
      </c>
      <c r="D891" s="4" t="b">
        <v>0</v>
      </c>
      <c r="E891" s="4" t="b">
        <v>0</v>
      </c>
      <c r="F891" s="4"/>
      <c r="G891" s="4" t="b">
        <f t="shared" si="13"/>
        <v>0</v>
      </c>
      <c r="H891" s="4"/>
      <c r="I891" s="4"/>
      <c r="J891" s="4" t="s">
        <v>621</v>
      </c>
      <c r="K891"/>
    </row>
    <row r="892" spans="1:11" ht="48" x14ac:dyDescent="0.2">
      <c r="A892" s="6" t="s">
        <v>1827</v>
      </c>
      <c r="B892" s="6" t="s">
        <v>1828</v>
      </c>
      <c r="C892" s="4" t="b">
        <v>0</v>
      </c>
      <c r="D892" s="4" t="b">
        <v>1</v>
      </c>
      <c r="E892" s="4" t="b">
        <v>0</v>
      </c>
      <c r="F892" s="4" t="s">
        <v>12</v>
      </c>
      <c r="G892" s="4" t="b">
        <f t="shared" si="13"/>
        <v>1</v>
      </c>
      <c r="H892" s="4" t="s">
        <v>3064</v>
      </c>
      <c r="I892" s="4"/>
      <c r="J892" s="4" t="s">
        <v>621</v>
      </c>
    </row>
    <row r="893" spans="1:11" ht="16" x14ac:dyDescent="0.2">
      <c r="A893" s="6" t="s">
        <v>1829</v>
      </c>
      <c r="B893" s="6" t="s">
        <v>1830</v>
      </c>
      <c r="C893" s="4" t="b">
        <v>0</v>
      </c>
      <c r="D893" s="4" t="b">
        <v>0</v>
      </c>
      <c r="E893" s="4" t="b">
        <v>0</v>
      </c>
      <c r="F893" s="4"/>
      <c r="G893" s="4" t="b">
        <f t="shared" si="13"/>
        <v>0</v>
      </c>
      <c r="H893" s="4"/>
      <c r="I893" s="4"/>
      <c r="J893" s="4" t="s">
        <v>621</v>
      </c>
      <c r="K893"/>
    </row>
    <row r="894" spans="1:11" ht="16" x14ac:dyDescent="0.2">
      <c r="A894" s="6" t="s">
        <v>1831</v>
      </c>
      <c r="B894" s="6" t="s">
        <v>1832</v>
      </c>
      <c r="C894" s="4" t="b">
        <v>0</v>
      </c>
      <c r="D894" s="4" t="b">
        <v>0</v>
      </c>
      <c r="E894" s="4" t="b">
        <v>1</v>
      </c>
      <c r="F894" s="4"/>
      <c r="G894" s="4" t="b">
        <f t="shared" si="13"/>
        <v>0</v>
      </c>
      <c r="H894" s="4"/>
      <c r="I894" s="4"/>
      <c r="J894" s="4" t="s">
        <v>621</v>
      </c>
      <c r="K894"/>
    </row>
    <row r="895" spans="1:11" ht="16" x14ac:dyDescent="0.2">
      <c r="A895" s="6" t="s">
        <v>1833</v>
      </c>
      <c r="B895" s="6" t="s">
        <v>1834</v>
      </c>
      <c r="C895" s="4" t="b">
        <v>0</v>
      </c>
      <c r="D895" s="4" t="b">
        <v>0</v>
      </c>
      <c r="E895" s="4" t="b">
        <v>0</v>
      </c>
      <c r="F895" s="4"/>
      <c r="G895" s="4" t="b">
        <f t="shared" si="13"/>
        <v>0</v>
      </c>
      <c r="H895" s="4"/>
      <c r="I895" s="4"/>
      <c r="J895" s="4" t="s">
        <v>621</v>
      </c>
      <c r="K895"/>
    </row>
    <row r="896" spans="1:11" ht="16" x14ac:dyDescent="0.2">
      <c r="A896" s="6" t="s">
        <v>1835</v>
      </c>
      <c r="B896" s="6" t="s">
        <v>1836</v>
      </c>
      <c r="C896" s="4" t="b">
        <v>0</v>
      </c>
      <c r="D896" s="4" t="b">
        <v>0</v>
      </c>
      <c r="E896" s="4" t="b">
        <v>0</v>
      </c>
      <c r="F896" s="4"/>
      <c r="G896" s="4" t="b">
        <f t="shared" si="13"/>
        <v>0</v>
      </c>
      <c r="H896" s="4"/>
      <c r="I896" s="4"/>
      <c r="J896" s="4" t="s">
        <v>621</v>
      </c>
      <c r="K896"/>
    </row>
    <row r="897" spans="1:11" ht="32" x14ac:dyDescent="0.2">
      <c r="A897" s="6" t="s">
        <v>1837</v>
      </c>
      <c r="B897" s="6" t="s">
        <v>1838</v>
      </c>
      <c r="C897" s="4" t="b">
        <v>1</v>
      </c>
      <c r="D897" s="4" t="b">
        <v>0</v>
      </c>
      <c r="E897" s="4" t="b">
        <v>1</v>
      </c>
      <c r="F897" s="4" t="s">
        <v>12</v>
      </c>
      <c r="G897" s="4" t="b">
        <f t="shared" si="13"/>
        <v>1</v>
      </c>
      <c r="H897" s="4" t="s">
        <v>3063</v>
      </c>
      <c r="I897" s="4"/>
      <c r="J897" s="4" t="s">
        <v>621</v>
      </c>
    </row>
    <row r="898" spans="1:11" ht="16" x14ac:dyDescent="0.2">
      <c r="A898" s="6" t="s">
        <v>1839</v>
      </c>
      <c r="B898" s="6" t="s">
        <v>1840</v>
      </c>
      <c r="C898" s="4" t="b">
        <v>1</v>
      </c>
      <c r="D898" s="4" t="b">
        <v>0</v>
      </c>
      <c r="E898" s="4" t="b">
        <v>1</v>
      </c>
      <c r="F898" s="4" t="s">
        <v>12</v>
      </c>
      <c r="G898" s="4" t="b">
        <f t="shared" ref="G898:G961" si="14">IF(F898="✔", TRUE, FALSE)</f>
        <v>1</v>
      </c>
      <c r="H898" s="4" t="s">
        <v>3061</v>
      </c>
      <c r="I898" s="4"/>
      <c r="J898" s="4" t="s">
        <v>621</v>
      </c>
    </row>
    <row r="899" spans="1:11" ht="16" x14ac:dyDescent="0.2">
      <c r="A899" s="6" t="s">
        <v>1841</v>
      </c>
      <c r="B899" s="6" t="s">
        <v>1842</v>
      </c>
      <c r="C899" s="4" t="b">
        <v>0</v>
      </c>
      <c r="D899" s="4" t="b">
        <v>0</v>
      </c>
      <c r="E899" s="4" t="b">
        <v>1</v>
      </c>
      <c r="F899" s="4"/>
      <c r="G899" s="4" t="b">
        <f t="shared" si="14"/>
        <v>0</v>
      </c>
      <c r="H899" s="4"/>
      <c r="I899" s="4"/>
      <c r="J899" s="4" t="s">
        <v>621</v>
      </c>
      <c r="K899"/>
    </row>
    <row r="900" spans="1:11" ht="16" x14ac:dyDescent="0.2">
      <c r="A900" s="6" t="s">
        <v>1843</v>
      </c>
      <c r="B900" s="6" t="s">
        <v>1844</v>
      </c>
      <c r="C900" s="4" t="b">
        <v>0</v>
      </c>
      <c r="D900" s="4" t="b">
        <v>0</v>
      </c>
      <c r="E900" s="4" t="b">
        <v>1</v>
      </c>
      <c r="F900" s="4"/>
      <c r="G900" s="4" t="b">
        <f t="shared" si="14"/>
        <v>0</v>
      </c>
      <c r="H900" s="4"/>
      <c r="I900" s="4"/>
      <c r="J900" s="4" t="s">
        <v>621</v>
      </c>
      <c r="K900"/>
    </row>
    <row r="901" spans="1:11" ht="16" x14ac:dyDescent="0.2">
      <c r="A901" s="6" t="s">
        <v>1845</v>
      </c>
      <c r="B901" s="6" t="s">
        <v>1846</v>
      </c>
      <c r="C901" s="4" t="b">
        <v>0</v>
      </c>
      <c r="D901" s="4" t="b">
        <v>0</v>
      </c>
      <c r="E901" s="4" t="b">
        <v>0</v>
      </c>
      <c r="F901" s="4"/>
      <c r="G901" s="4" t="b">
        <f t="shared" si="14"/>
        <v>0</v>
      </c>
      <c r="H901" s="4"/>
      <c r="I901" s="4"/>
      <c r="J901" s="4" t="s">
        <v>621</v>
      </c>
      <c r="K901"/>
    </row>
    <row r="902" spans="1:11" ht="16" x14ac:dyDescent="0.2">
      <c r="A902" s="6" t="s">
        <v>1847</v>
      </c>
      <c r="B902" s="6" t="s">
        <v>1848</v>
      </c>
      <c r="C902" s="4" t="b">
        <v>0</v>
      </c>
      <c r="D902" s="4" t="b">
        <v>0</v>
      </c>
      <c r="E902" s="4" t="b">
        <v>0</v>
      </c>
      <c r="F902" s="4"/>
      <c r="G902" s="4" t="b">
        <f t="shared" si="14"/>
        <v>0</v>
      </c>
      <c r="H902" s="4"/>
      <c r="I902" s="4"/>
      <c r="J902" s="4" t="s">
        <v>621</v>
      </c>
      <c r="K902"/>
    </row>
    <row r="903" spans="1:11" ht="16" x14ac:dyDescent="0.2">
      <c r="A903" s="6" t="s">
        <v>1849</v>
      </c>
      <c r="B903" s="6" t="s">
        <v>1850</v>
      </c>
      <c r="C903" s="4" t="b">
        <v>0</v>
      </c>
      <c r="D903" s="4" t="b">
        <v>0</v>
      </c>
      <c r="E903" s="4" t="b">
        <v>1</v>
      </c>
      <c r="F903" s="4"/>
      <c r="G903" s="4" t="b">
        <f t="shared" si="14"/>
        <v>0</v>
      </c>
      <c r="H903" s="4"/>
      <c r="I903" s="4"/>
      <c r="J903" s="4" t="s">
        <v>621</v>
      </c>
      <c r="K903"/>
    </row>
    <row r="904" spans="1:11" ht="16" x14ac:dyDescent="0.2">
      <c r="A904" s="6" t="s">
        <v>1851</v>
      </c>
      <c r="B904" s="6" t="s">
        <v>1852</v>
      </c>
      <c r="C904" s="4" t="b">
        <v>1</v>
      </c>
      <c r="D904" s="4" t="b">
        <v>0</v>
      </c>
      <c r="E904" s="4" t="b">
        <v>1</v>
      </c>
      <c r="F904" s="4" t="s">
        <v>12</v>
      </c>
      <c r="G904" s="4" t="b">
        <f t="shared" si="14"/>
        <v>1</v>
      </c>
      <c r="H904" s="4" t="s">
        <v>3062</v>
      </c>
      <c r="I904" s="4"/>
      <c r="J904" s="4" t="s">
        <v>621</v>
      </c>
    </row>
    <row r="905" spans="1:11" ht="16" x14ac:dyDescent="0.2">
      <c r="A905" s="6" t="s">
        <v>1853</v>
      </c>
      <c r="B905" s="6" t="s">
        <v>1854</v>
      </c>
      <c r="C905" s="4" t="b">
        <v>0</v>
      </c>
      <c r="D905" s="4" t="b">
        <v>0</v>
      </c>
      <c r="E905" s="4" t="b">
        <v>0</v>
      </c>
      <c r="F905" s="4"/>
      <c r="G905" s="4" t="b">
        <f t="shared" si="14"/>
        <v>0</v>
      </c>
      <c r="H905" s="4"/>
      <c r="I905" s="4"/>
      <c r="J905" s="4" t="s">
        <v>621</v>
      </c>
      <c r="K905"/>
    </row>
    <row r="906" spans="1:11" ht="80" x14ac:dyDescent="0.2">
      <c r="A906" s="6" t="s">
        <v>1855</v>
      </c>
      <c r="B906" s="6" t="s">
        <v>1856</v>
      </c>
      <c r="C906" s="4" t="b">
        <v>1</v>
      </c>
      <c r="D906" s="4" t="b">
        <v>0</v>
      </c>
      <c r="E906" s="4" t="b">
        <v>1</v>
      </c>
      <c r="F906" s="4" t="s">
        <v>12</v>
      </c>
      <c r="G906" s="4" t="b">
        <f t="shared" si="14"/>
        <v>1</v>
      </c>
      <c r="H906" s="4" t="s">
        <v>3060</v>
      </c>
      <c r="I906" s="4"/>
      <c r="J906" s="4" t="s">
        <v>621</v>
      </c>
    </row>
    <row r="907" spans="1:11" ht="16" x14ac:dyDescent="0.2">
      <c r="A907" s="6" t="s">
        <v>1857</v>
      </c>
      <c r="B907" s="6" t="s">
        <v>1858</v>
      </c>
      <c r="C907" s="4" t="b">
        <v>1</v>
      </c>
      <c r="D907" s="4" t="b">
        <v>0</v>
      </c>
      <c r="E907" s="4" t="b">
        <v>1</v>
      </c>
      <c r="F907" s="4" t="s">
        <v>12</v>
      </c>
      <c r="G907" s="4" t="b">
        <f t="shared" si="14"/>
        <v>1</v>
      </c>
      <c r="H907" s="4"/>
      <c r="I907" s="4"/>
      <c r="J907" s="4" t="s">
        <v>621</v>
      </c>
    </row>
    <row r="908" spans="1:11" ht="16" x14ac:dyDescent="0.2">
      <c r="A908" s="6" t="s">
        <v>1859</v>
      </c>
      <c r="B908" s="6" t="s">
        <v>1860</v>
      </c>
      <c r="C908" s="4" t="b">
        <v>0</v>
      </c>
      <c r="D908" s="4" t="b">
        <v>0</v>
      </c>
      <c r="E908" s="4" t="b">
        <v>0</v>
      </c>
      <c r="F908" s="4"/>
      <c r="G908" s="4" t="b">
        <f t="shared" si="14"/>
        <v>0</v>
      </c>
      <c r="H908" s="4"/>
      <c r="I908" s="4"/>
      <c r="J908" s="4" t="s">
        <v>621</v>
      </c>
      <c r="K908"/>
    </row>
    <row r="909" spans="1:11" ht="16" x14ac:dyDescent="0.2">
      <c r="A909" s="6" t="s">
        <v>1861</v>
      </c>
      <c r="B909" s="6" t="s">
        <v>1862</v>
      </c>
      <c r="C909" s="4" t="b">
        <v>0</v>
      </c>
      <c r="D909" s="4" t="b">
        <v>0</v>
      </c>
      <c r="E909" s="4" t="b">
        <v>1</v>
      </c>
      <c r="F909" s="4"/>
      <c r="G909" s="4" t="b">
        <f t="shared" si="14"/>
        <v>0</v>
      </c>
      <c r="H909" s="4"/>
      <c r="I909" s="4"/>
      <c r="J909" s="4" t="s">
        <v>621</v>
      </c>
      <c r="K909"/>
    </row>
    <row r="910" spans="1:11" ht="16" x14ac:dyDescent="0.2">
      <c r="A910" s="6" t="s">
        <v>1863</v>
      </c>
      <c r="B910" s="6" t="s">
        <v>1864</v>
      </c>
      <c r="C910" s="4" t="b">
        <v>0</v>
      </c>
      <c r="D910" s="4" t="b">
        <v>0</v>
      </c>
      <c r="E910" s="4" t="b">
        <v>1</v>
      </c>
      <c r="F910" s="4"/>
      <c r="G910" s="4" t="b">
        <f t="shared" si="14"/>
        <v>0</v>
      </c>
      <c r="H910" s="4"/>
      <c r="I910" s="4"/>
      <c r="J910" s="4" t="s">
        <v>621</v>
      </c>
      <c r="K910"/>
    </row>
    <row r="911" spans="1:11" ht="16" x14ac:dyDescent="0.2">
      <c r="A911" s="6" t="s">
        <v>1865</v>
      </c>
      <c r="B911" s="6" t="s">
        <v>1866</v>
      </c>
      <c r="C911" s="4" t="b">
        <v>0</v>
      </c>
      <c r="D911" s="4" t="b">
        <v>0</v>
      </c>
      <c r="E911" s="4" t="b">
        <v>0</v>
      </c>
      <c r="F911" s="4"/>
      <c r="G911" s="4" t="b">
        <f t="shared" si="14"/>
        <v>0</v>
      </c>
      <c r="H911" s="4"/>
      <c r="I911" s="4"/>
      <c r="J911" s="4" t="s">
        <v>621</v>
      </c>
      <c r="K911"/>
    </row>
    <row r="912" spans="1:11" ht="32" x14ac:dyDescent="0.2">
      <c r="A912" s="6" t="s">
        <v>1867</v>
      </c>
      <c r="B912" s="6" t="s">
        <v>1868</v>
      </c>
      <c r="C912" s="4" t="b">
        <v>1</v>
      </c>
      <c r="D912" s="4" t="b">
        <v>0</v>
      </c>
      <c r="E912" s="4" t="b">
        <v>1</v>
      </c>
      <c r="F912" s="4" t="s">
        <v>12</v>
      </c>
      <c r="G912" s="4" t="b">
        <f t="shared" si="14"/>
        <v>1</v>
      </c>
      <c r="H912" s="4" t="s">
        <v>3059</v>
      </c>
      <c r="I912" s="4"/>
      <c r="J912" s="4" t="s">
        <v>621</v>
      </c>
    </row>
    <row r="913" spans="1:11" ht="16" x14ac:dyDescent="0.2">
      <c r="A913" s="6" t="s">
        <v>1869</v>
      </c>
      <c r="B913" s="6" t="s">
        <v>1870</v>
      </c>
      <c r="C913" s="4" t="b">
        <v>0</v>
      </c>
      <c r="D913" s="4" t="b">
        <v>0</v>
      </c>
      <c r="E913" s="4" t="b">
        <v>0</v>
      </c>
      <c r="F913" s="4"/>
      <c r="G913" s="4" t="b">
        <f t="shared" si="14"/>
        <v>0</v>
      </c>
      <c r="H913" s="4"/>
      <c r="I913" s="4"/>
      <c r="J913" s="4" t="s">
        <v>621</v>
      </c>
      <c r="K913"/>
    </row>
    <row r="914" spans="1:11" ht="16" x14ac:dyDescent="0.2">
      <c r="A914" s="6" t="s">
        <v>1871</v>
      </c>
      <c r="B914" s="6" t="s">
        <v>1872</v>
      </c>
      <c r="C914" s="4" t="b">
        <v>0</v>
      </c>
      <c r="D914" s="4" t="b">
        <v>0</v>
      </c>
      <c r="E914" s="4" t="b">
        <v>1</v>
      </c>
      <c r="F914" s="4"/>
      <c r="G914" s="4" t="b">
        <f t="shared" si="14"/>
        <v>0</v>
      </c>
      <c r="H914" s="4"/>
      <c r="I914" s="4"/>
      <c r="J914" s="4" t="s">
        <v>621</v>
      </c>
      <c r="K914"/>
    </row>
    <row r="915" spans="1:11" ht="16" x14ac:dyDescent="0.2">
      <c r="A915" s="6" t="s">
        <v>1873</v>
      </c>
      <c r="B915" s="6" t="s">
        <v>1874</v>
      </c>
      <c r="C915" s="4" t="b">
        <v>0</v>
      </c>
      <c r="D915" s="4" t="b">
        <v>0</v>
      </c>
      <c r="E915" s="4" t="b">
        <v>0</v>
      </c>
      <c r="F915" s="4"/>
      <c r="G915" s="4" t="b">
        <f t="shared" si="14"/>
        <v>0</v>
      </c>
      <c r="H915" s="4"/>
      <c r="I915" s="4"/>
      <c r="J915" s="4" t="s">
        <v>621</v>
      </c>
      <c r="K915"/>
    </row>
    <row r="916" spans="1:11" ht="80" x14ac:dyDescent="0.2">
      <c r="A916" s="6" t="s">
        <v>1875</v>
      </c>
      <c r="B916" s="6" t="s">
        <v>1876</v>
      </c>
      <c r="C916" s="4" t="b">
        <v>1</v>
      </c>
      <c r="D916" s="4" t="b">
        <v>0</v>
      </c>
      <c r="E916" s="4" t="b">
        <v>1</v>
      </c>
      <c r="F916" s="4" t="s">
        <v>12</v>
      </c>
      <c r="G916" s="4" t="b">
        <f t="shared" si="14"/>
        <v>1</v>
      </c>
      <c r="H916" s="4" t="s">
        <v>3058</v>
      </c>
      <c r="I916" s="4"/>
      <c r="J916" s="4" t="s">
        <v>621</v>
      </c>
    </row>
    <row r="917" spans="1:11" ht="16" x14ac:dyDescent="0.2">
      <c r="A917" s="6" t="s">
        <v>1877</v>
      </c>
      <c r="B917" s="6" t="s">
        <v>1878</v>
      </c>
      <c r="C917" s="4" t="b">
        <v>1</v>
      </c>
      <c r="D917" s="4" t="b">
        <v>0</v>
      </c>
      <c r="E917" s="4" t="b">
        <v>1</v>
      </c>
      <c r="F917" s="4" t="s">
        <v>12</v>
      </c>
      <c r="G917" s="4" t="b">
        <f t="shared" si="14"/>
        <v>1</v>
      </c>
      <c r="H917" s="4"/>
      <c r="I917" s="4"/>
      <c r="J917" s="4" t="s">
        <v>621</v>
      </c>
    </row>
    <row r="918" spans="1:11" ht="16" x14ac:dyDescent="0.2">
      <c r="A918" s="6" t="s">
        <v>1879</v>
      </c>
      <c r="B918" s="6" t="s">
        <v>1880</v>
      </c>
      <c r="C918" s="4" t="b">
        <v>0</v>
      </c>
      <c r="D918" s="4" t="b">
        <v>0</v>
      </c>
      <c r="E918" s="4" t="b">
        <v>0</v>
      </c>
      <c r="F918" s="4"/>
      <c r="G918" s="4" t="b">
        <f t="shared" si="14"/>
        <v>0</v>
      </c>
      <c r="H918" s="4"/>
      <c r="I918" s="4"/>
      <c r="J918" s="4" t="s">
        <v>621</v>
      </c>
      <c r="K918"/>
    </row>
    <row r="919" spans="1:11" ht="112" x14ac:dyDescent="0.2">
      <c r="A919" s="6" t="s">
        <v>1881</v>
      </c>
      <c r="B919" s="6" t="s">
        <v>1882</v>
      </c>
      <c r="C919" s="4" t="b">
        <v>1</v>
      </c>
      <c r="D919" s="4" t="b">
        <v>1</v>
      </c>
      <c r="E919" s="4" t="b">
        <v>1</v>
      </c>
      <c r="F919" s="4" t="s">
        <v>12</v>
      </c>
      <c r="G919" s="4" t="b">
        <f t="shared" si="14"/>
        <v>1</v>
      </c>
      <c r="H919" s="4" t="s">
        <v>3057</v>
      </c>
      <c r="I919" s="4"/>
      <c r="J919" s="4" t="s">
        <v>621</v>
      </c>
    </row>
    <row r="920" spans="1:11" ht="64" x14ac:dyDescent="0.2">
      <c r="A920" s="6" t="s">
        <v>1883</v>
      </c>
      <c r="B920" s="6" t="s">
        <v>1884</v>
      </c>
      <c r="C920" s="4" t="b">
        <v>1</v>
      </c>
      <c r="D920" s="4" t="b">
        <v>1</v>
      </c>
      <c r="E920" s="4" t="b">
        <v>1</v>
      </c>
      <c r="F920" s="4" t="s">
        <v>12</v>
      </c>
      <c r="G920" s="4" t="b">
        <f t="shared" si="14"/>
        <v>1</v>
      </c>
      <c r="H920" s="4" t="s">
        <v>3056</v>
      </c>
      <c r="I920" s="4"/>
      <c r="J920" s="4" t="s">
        <v>621</v>
      </c>
    </row>
    <row r="921" spans="1:11" ht="16" x14ac:dyDescent="0.2">
      <c r="A921" s="6" t="s">
        <v>1885</v>
      </c>
      <c r="B921" s="6" t="s">
        <v>1886</v>
      </c>
      <c r="C921" s="4" t="b">
        <v>0</v>
      </c>
      <c r="D921" s="4" t="b">
        <v>0</v>
      </c>
      <c r="E921" s="4" t="b">
        <v>0</v>
      </c>
      <c r="F921" s="4"/>
      <c r="G921" s="4" t="b">
        <f t="shared" si="14"/>
        <v>0</v>
      </c>
      <c r="H921" s="4"/>
      <c r="I921" s="4"/>
      <c r="J921" s="4" t="s">
        <v>621</v>
      </c>
      <c r="K921"/>
    </row>
    <row r="922" spans="1:11" ht="64" x14ac:dyDescent="0.2">
      <c r="A922" s="6" t="s">
        <v>1887</v>
      </c>
      <c r="B922" s="6" t="s">
        <v>1888</v>
      </c>
      <c r="C922" s="4" t="b">
        <v>1</v>
      </c>
      <c r="D922" s="4" t="b">
        <v>0</v>
      </c>
      <c r="E922" s="4" t="b">
        <v>1</v>
      </c>
      <c r="F922" s="4" t="s">
        <v>12</v>
      </c>
      <c r="G922" s="4" t="b">
        <f t="shared" si="14"/>
        <v>1</v>
      </c>
      <c r="H922" s="4" t="s">
        <v>3055</v>
      </c>
      <c r="I922" s="4"/>
      <c r="J922" s="4" t="s">
        <v>621</v>
      </c>
    </row>
    <row r="923" spans="1:11" ht="16" x14ac:dyDescent="0.2">
      <c r="A923" s="6" t="s">
        <v>1889</v>
      </c>
      <c r="B923" s="6" t="s">
        <v>1890</v>
      </c>
      <c r="C923" s="4" t="b">
        <v>1</v>
      </c>
      <c r="D923" s="4" t="b">
        <v>0</v>
      </c>
      <c r="E923" s="4" t="b">
        <v>1</v>
      </c>
      <c r="F923" s="4" t="s">
        <v>12</v>
      </c>
      <c r="G923" s="4" t="b">
        <f t="shared" si="14"/>
        <v>1</v>
      </c>
      <c r="H923" s="4" t="s">
        <v>3054</v>
      </c>
      <c r="I923" s="4"/>
      <c r="J923" s="4" t="s">
        <v>621</v>
      </c>
    </row>
    <row r="924" spans="1:11" ht="96" x14ac:dyDescent="0.2">
      <c r="A924" s="6" t="s">
        <v>1891</v>
      </c>
      <c r="B924" s="6" t="s">
        <v>1892</v>
      </c>
      <c r="C924" s="4" t="b">
        <v>1</v>
      </c>
      <c r="D924" s="4" t="b">
        <v>1</v>
      </c>
      <c r="E924" s="4" t="b">
        <v>1</v>
      </c>
      <c r="F924" s="4" t="s">
        <v>12</v>
      </c>
      <c r="G924" s="4" t="b">
        <f t="shared" si="14"/>
        <v>1</v>
      </c>
      <c r="H924" s="4" t="s">
        <v>3053</v>
      </c>
      <c r="I924" s="4"/>
      <c r="J924" s="4" t="s">
        <v>621</v>
      </c>
    </row>
    <row r="925" spans="1:11" ht="16" x14ac:dyDescent="0.2">
      <c r="A925" s="6" t="s">
        <v>1893</v>
      </c>
      <c r="B925" s="6" t="s">
        <v>1894</v>
      </c>
      <c r="C925" s="4" t="b">
        <v>0</v>
      </c>
      <c r="D925" s="4" t="b">
        <v>0</v>
      </c>
      <c r="E925" s="4" t="b">
        <v>0</v>
      </c>
      <c r="F925" s="4"/>
      <c r="G925" s="4" t="b">
        <f t="shared" si="14"/>
        <v>0</v>
      </c>
      <c r="H925" s="4"/>
      <c r="I925" s="4"/>
      <c r="J925" s="4" t="s">
        <v>621</v>
      </c>
      <c r="K925"/>
    </row>
    <row r="926" spans="1:11" ht="16" x14ac:dyDescent="0.2">
      <c r="A926" s="6" t="s">
        <v>1895</v>
      </c>
      <c r="B926" s="6" t="s">
        <v>1896</v>
      </c>
      <c r="C926" s="4" t="b">
        <v>0</v>
      </c>
      <c r="D926" s="4" t="b">
        <v>0</v>
      </c>
      <c r="E926" s="4" t="b">
        <v>0</v>
      </c>
      <c r="F926" s="4"/>
      <c r="G926" s="4" t="b">
        <f t="shared" si="14"/>
        <v>0</v>
      </c>
      <c r="H926" s="4"/>
      <c r="I926" s="4"/>
      <c r="J926" s="4" t="s">
        <v>621</v>
      </c>
      <c r="K926"/>
    </row>
    <row r="927" spans="1:11" ht="16" x14ac:dyDescent="0.2">
      <c r="A927" s="6" t="s">
        <v>1897</v>
      </c>
      <c r="B927" s="6" t="s">
        <v>1898</v>
      </c>
      <c r="C927" s="4" t="b">
        <v>0</v>
      </c>
      <c r="D927" s="4" t="b">
        <v>0</v>
      </c>
      <c r="E927" s="4" t="b">
        <v>0</v>
      </c>
      <c r="F927" s="4"/>
      <c r="G927" s="4" t="b">
        <f t="shared" si="14"/>
        <v>0</v>
      </c>
      <c r="H927" s="4"/>
      <c r="I927" s="4"/>
      <c r="J927" s="4" t="s">
        <v>621</v>
      </c>
      <c r="K927"/>
    </row>
    <row r="928" spans="1:11" ht="48" x14ac:dyDescent="0.2">
      <c r="A928" s="6" t="s">
        <v>1899</v>
      </c>
      <c r="B928" s="6" t="s">
        <v>1900</v>
      </c>
      <c r="C928" s="4" t="b">
        <v>1</v>
      </c>
      <c r="D928" s="4" t="b">
        <v>0</v>
      </c>
      <c r="E928" s="4" t="b">
        <v>1</v>
      </c>
      <c r="F928" s="4" t="s">
        <v>12</v>
      </c>
      <c r="G928" s="4" t="b">
        <f t="shared" si="14"/>
        <v>1</v>
      </c>
      <c r="H928" s="4" t="s">
        <v>3052</v>
      </c>
      <c r="I928" s="4"/>
      <c r="J928" s="4" t="s">
        <v>621</v>
      </c>
    </row>
    <row r="929" spans="1:11" ht="16" x14ac:dyDescent="0.2">
      <c r="A929" s="6" t="s">
        <v>1901</v>
      </c>
      <c r="B929" s="6" t="s">
        <v>1902</v>
      </c>
      <c r="C929" s="4" t="b">
        <v>0</v>
      </c>
      <c r="D929" s="4" t="b">
        <v>0</v>
      </c>
      <c r="E929" s="4" t="b">
        <v>0</v>
      </c>
      <c r="F929" s="4"/>
      <c r="G929" s="4" t="b">
        <f t="shared" si="14"/>
        <v>0</v>
      </c>
      <c r="H929" s="4"/>
      <c r="I929" s="4"/>
      <c r="J929" s="4" t="s">
        <v>621</v>
      </c>
      <c r="K929"/>
    </row>
    <row r="930" spans="1:11" ht="48" x14ac:dyDescent="0.2">
      <c r="A930" s="6" t="s">
        <v>1903</v>
      </c>
      <c r="B930" s="6" t="s">
        <v>1904</v>
      </c>
      <c r="C930" s="4" t="b">
        <v>1</v>
      </c>
      <c r="D930" s="4" t="b">
        <v>1</v>
      </c>
      <c r="E930" s="4" t="b">
        <v>1</v>
      </c>
      <c r="F930" s="4" t="s">
        <v>12</v>
      </c>
      <c r="G930" s="4" t="b">
        <f t="shared" si="14"/>
        <v>1</v>
      </c>
      <c r="H930" s="4" t="s">
        <v>3051</v>
      </c>
      <c r="I930" s="4"/>
      <c r="J930" s="4" t="s">
        <v>621</v>
      </c>
    </row>
    <row r="931" spans="1:11" ht="16" x14ac:dyDescent="0.2">
      <c r="A931" s="6" t="s">
        <v>1905</v>
      </c>
      <c r="B931" s="6" t="s">
        <v>1906</v>
      </c>
      <c r="C931" s="4" t="b">
        <v>0</v>
      </c>
      <c r="D931" s="4" t="b">
        <v>0</v>
      </c>
      <c r="E931" s="4" t="b">
        <v>0</v>
      </c>
      <c r="F931" s="4"/>
      <c r="G931" s="4" t="b">
        <f t="shared" si="14"/>
        <v>0</v>
      </c>
      <c r="H931" s="4"/>
      <c r="I931" s="4"/>
      <c r="J931" s="4" t="s">
        <v>621</v>
      </c>
      <c r="K931"/>
    </row>
    <row r="932" spans="1:11" ht="16" x14ac:dyDescent="0.2">
      <c r="A932" s="6" t="s">
        <v>1907</v>
      </c>
      <c r="B932" s="6" t="s">
        <v>1908</v>
      </c>
      <c r="C932" s="4" t="b">
        <v>0</v>
      </c>
      <c r="D932" s="4" t="b">
        <v>0</v>
      </c>
      <c r="E932" s="4" t="b">
        <v>0</v>
      </c>
      <c r="F932" s="4"/>
      <c r="G932" s="4" t="b">
        <f t="shared" si="14"/>
        <v>0</v>
      </c>
      <c r="H932" s="4"/>
      <c r="I932" s="4"/>
      <c r="J932" s="4" t="s">
        <v>621</v>
      </c>
      <c r="K932"/>
    </row>
    <row r="933" spans="1:11" ht="16" x14ac:dyDescent="0.2">
      <c r="A933" s="6" t="s">
        <v>1909</v>
      </c>
      <c r="B933" s="6" t="s">
        <v>1910</v>
      </c>
      <c r="C933" s="4" t="b">
        <v>0</v>
      </c>
      <c r="D933" s="4" t="b">
        <v>0</v>
      </c>
      <c r="E933" s="4" t="b">
        <v>1</v>
      </c>
      <c r="F933" s="4"/>
      <c r="G933" s="4" t="b">
        <f t="shared" si="14"/>
        <v>0</v>
      </c>
      <c r="H933" s="4"/>
      <c r="I933" s="4"/>
      <c r="J933" s="4" t="s">
        <v>621</v>
      </c>
      <c r="K933"/>
    </row>
    <row r="934" spans="1:11" ht="16" x14ac:dyDescent="0.2">
      <c r="A934" s="6" t="s">
        <v>1911</v>
      </c>
      <c r="B934" s="6" t="s">
        <v>1912</v>
      </c>
      <c r="C934" s="4" t="b">
        <v>0</v>
      </c>
      <c r="D934" s="4" t="b">
        <v>0</v>
      </c>
      <c r="E934" s="4" t="b">
        <v>0</v>
      </c>
      <c r="F934" s="4"/>
      <c r="G934" s="4" t="b">
        <f t="shared" si="14"/>
        <v>0</v>
      </c>
      <c r="H934" s="4"/>
      <c r="I934" s="4"/>
      <c r="J934" s="4" t="s">
        <v>621</v>
      </c>
      <c r="K934"/>
    </row>
    <row r="935" spans="1:11" ht="16" x14ac:dyDescent="0.2">
      <c r="A935" s="6" t="s">
        <v>1913</v>
      </c>
      <c r="B935" s="6" t="s">
        <v>1914</v>
      </c>
      <c r="C935" s="4" t="b">
        <v>1</v>
      </c>
      <c r="D935" s="4" t="b">
        <v>0</v>
      </c>
      <c r="E935" s="4" t="b">
        <v>1</v>
      </c>
      <c r="F935" s="4" t="s">
        <v>12</v>
      </c>
      <c r="G935" s="4" t="b">
        <f t="shared" si="14"/>
        <v>1</v>
      </c>
      <c r="H935" s="4"/>
      <c r="I935" s="4"/>
      <c r="J935" s="4" t="s">
        <v>621</v>
      </c>
    </row>
    <row r="936" spans="1:11" ht="16" x14ac:dyDescent="0.2">
      <c r="A936" s="6" t="s">
        <v>1915</v>
      </c>
      <c r="B936" s="6" t="s">
        <v>1916</v>
      </c>
      <c r="C936" s="4" t="b">
        <v>0</v>
      </c>
      <c r="D936" s="4" t="b">
        <v>0</v>
      </c>
      <c r="E936" s="4" t="b">
        <v>1</v>
      </c>
      <c r="F936" s="4"/>
      <c r="G936" s="4" t="b">
        <f t="shared" si="14"/>
        <v>0</v>
      </c>
      <c r="H936" s="4"/>
      <c r="I936" s="4"/>
      <c r="J936" s="4" t="s">
        <v>621</v>
      </c>
      <c r="K936"/>
    </row>
    <row r="937" spans="1:11" ht="16" x14ac:dyDescent="0.2">
      <c r="A937" s="6" t="s">
        <v>1917</v>
      </c>
      <c r="B937" s="6" t="s">
        <v>1918</v>
      </c>
      <c r="C937" s="4" t="b">
        <v>0</v>
      </c>
      <c r="D937" s="4" t="b">
        <v>0</v>
      </c>
      <c r="E937" s="4" t="b">
        <v>0</v>
      </c>
      <c r="F937" s="4"/>
      <c r="G937" s="4" t="b">
        <f t="shared" si="14"/>
        <v>0</v>
      </c>
      <c r="H937" s="4"/>
      <c r="I937" s="4"/>
      <c r="J937" s="4" t="s">
        <v>621</v>
      </c>
      <c r="K937"/>
    </row>
    <row r="938" spans="1:11" ht="16" x14ac:dyDescent="0.2">
      <c r="A938" s="6" t="s">
        <v>1919</v>
      </c>
      <c r="B938" s="6" t="s">
        <v>1920</v>
      </c>
      <c r="C938" s="4" t="b">
        <v>1</v>
      </c>
      <c r="D938" s="4" t="b">
        <v>0</v>
      </c>
      <c r="E938" s="4" t="b">
        <v>1</v>
      </c>
      <c r="F938" s="4" t="s">
        <v>12</v>
      </c>
      <c r="G938" s="4" t="b">
        <f t="shared" si="14"/>
        <v>1</v>
      </c>
      <c r="H938" s="4" t="s">
        <v>2992</v>
      </c>
      <c r="I938" s="4"/>
      <c r="J938" s="4" t="s">
        <v>621</v>
      </c>
    </row>
    <row r="939" spans="1:11" ht="16" x14ac:dyDescent="0.2">
      <c r="A939" s="6" t="s">
        <v>1921</v>
      </c>
      <c r="B939" s="6" t="s">
        <v>1922</v>
      </c>
      <c r="C939" s="4" t="b">
        <v>0</v>
      </c>
      <c r="D939" s="4" t="b">
        <v>0</v>
      </c>
      <c r="E939" s="4" t="b">
        <v>1</v>
      </c>
      <c r="F939" s="4"/>
      <c r="G939" s="4" t="b">
        <f t="shared" si="14"/>
        <v>0</v>
      </c>
      <c r="H939" s="4"/>
      <c r="I939" s="4"/>
      <c r="J939" s="4" t="s">
        <v>621</v>
      </c>
      <c r="K939"/>
    </row>
    <row r="940" spans="1:11" ht="48" x14ac:dyDescent="0.2">
      <c r="A940" s="6" t="s">
        <v>1923</v>
      </c>
      <c r="B940" s="6" t="s">
        <v>1924</v>
      </c>
      <c r="C940" s="4" t="b">
        <v>1</v>
      </c>
      <c r="D940" s="4" t="b">
        <v>1</v>
      </c>
      <c r="E940" s="4" t="b">
        <v>1</v>
      </c>
      <c r="F940" s="4" t="s">
        <v>12</v>
      </c>
      <c r="G940" s="4" t="b">
        <f t="shared" si="14"/>
        <v>1</v>
      </c>
      <c r="H940" s="4" t="s">
        <v>3050</v>
      </c>
      <c r="I940" s="4"/>
      <c r="J940" s="4" t="s">
        <v>621</v>
      </c>
    </row>
    <row r="941" spans="1:11" ht="16" x14ac:dyDescent="0.2">
      <c r="A941" s="6" t="s">
        <v>1925</v>
      </c>
      <c r="B941" s="6" t="s">
        <v>1926</v>
      </c>
      <c r="C941" s="4" t="b">
        <v>0</v>
      </c>
      <c r="D941" s="4" t="b">
        <v>0</v>
      </c>
      <c r="E941" s="4" t="b">
        <v>0</v>
      </c>
      <c r="F941" s="4"/>
      <c r="G941" s="4" t="b">
        <f t="shared" si="14"/>
        <v>0</v>
      </c>
      <c r="H941" s="4"/>
      <c r="I941" s="4"/>
      <c r="J941" s="4" t="s">
        <v>621</v>
      </c>
      <c r="K941"/>
    </row>
    <row r="942" spans="1:11" ht="80" x14ac:dyDescent="0.2">
      <c r="A942" s="6" t="s">
        <v>1927</v>
      </c>
      <c r="B942" s="6" t="s">
        <v>1928</v>
      </c>
      <c r="C942" s="4" t="b">
        <v>1</v>
      </c>
      <c r="D942" s="4" t="b">
        <v>1</v>
      </c>
      <c r="E942" s="4" t="b">
        <v>1</v>
      </c>
      <c r="F942" s="4" t="s">
        <v>12</v>
      </c>
      <c r="G942" s="4" t="b">
        <f t="shared" si="14"/>
        <v>1</v>
      </c>
      <c r="H942" s="4" t="s">
        <v>3048</v>
      </c>
      <c r="I942" s="4"/>
      <c r="J942" s="4" t="s">
        <v>621</v>
      </c>
    </row>
    <row r="943" spans="1:11" ht="16" x14ac:dyDescent="0.2">
      <c r="A943" s="6" t="s">
        <v>1929</v>
      </c>
      <c r="B943" s="6" t="s">
        <v>1930</v>
      </c>
      <c r="C943" s="4" t="b">
        <v>0</v>
      </c>
      <c r="D943" s="4" t="b">
        <v>0</v>
      </c>
      <c r="E943" s="4" t="b">
        <v>1</v>
      </c>
      <c r="F943" s="4"/>
      <c r="G943" s="4" t="b">
        <f t="shared" si="14"/>
        <v>0</v>
      </c>
      <c r="H943" s="4"/>
      <c r="I943" s="4"/>
      <c r="J943" s="4" t="s">
        <v>621</v>
      </c>
      <c r="K943"/>
    </row>
    <row r="944" spans="1:11" ht="32" x14ac:dyDescent="0.2">
      <c r="A944" s="6" t="s">
        <v>1931</v>
      </c>
      <c r="B944" s="6" t="s">
        <v>1932</v>
      </c>
      <c r="C944" s="4" t="b">
        <v>0</v>
      </c>
      <c r="D944" s="4" t="b">
        <v>0</v>
      </c>
      <c r="E944" s="4" t="b">
        <v>0</v>
      </c>
      <c r="F944" s="4" t="s">
        <v>12</v>
      </c>
      <c r="G944" s="4" t="b">
        <f t="shared" si="14"/>
        <v>1</v>
      </c>
      <c r="H944" s="4" t="s">
        <v>3105</v>
      </c>
      <c r="I944" s="4"/>
      <c r="J944" s="4" t="s">
        <v>621</v>
      </c>
    </row>
    <row r="945" spans="1:11" ht="16" x14ac:dyDescent="0.2">
      <c r="A945" s="6" t="s">
        <v>1933</v>
      </c>
      <c r="B945" s="6" t="s">
        <v>1934</v>
      </c>
      <c r="C945" s="4" t="b">
        <v>1</v>
      </c>
      <c r="D945" s="4" t="b">
        <v>0</v>
      </c>
      <c r="E945" s="4" t="b">
        <v>1</v>
      </c>
      <c r="F945" s="4" t="s">
        <v>12</v>
      </c>
      <c r="G945" s="4" t="b">
        <f t="shared" si="14"/>
        <v>1</v>
      </c>
      <c r="H945" s="4" t="s">
        <v>3047</v>
      </c>
      <c r="I945" s="4"/>
      <c r="J945" s="4" t="s">
        <v>621</v>
      </c>
    </row>
    <row r="946" spans="1:11" ht="16" x14ac:dyDescent="0.2">
      <c r="A946" s="6" t="s">
        <v>1935</v>
      </c>
      <c r="B946" s="6" t="s">
        <v>1936</v>
      </c>
      <c r="C946" s="4" t="b">
        <v>0</v>
      </c>
      <c r="D946" s="4" t="b">
        <v>0</v>
      </c>
      <c r="E946" s="4" t="b">
        <v>0</v>
      </c>
      <c r="F946" s="4"/>
      <c r="G946" s="4" t="b">
        <f t="shared" si="14"/>
        <v>0</v>
      </c>
      <c r="H946" s="4"/>
      <c r="I946" s="4"/>
      <c r="J946" s="4" t="s">
        <v>621</v>
      </c>
      <c r="K946"/>
    </row>
    <row r="947" spans="1:11" ht="96" x14ac:dyDescent="0.2">
      <c r="A947" s="6" t="s">
        <v>1937</v>
      </c>
      <c r="B947" s="6" t="s">
        <v>1938</v>
      </c>
      <c r="C947" s="4" t="b">
        <v>1</v>
      </c>
      <c r="D947" s="4" t="b">
        <v>1</v>
      </c>
      <c r="E947" s="4" t="b">
        <v>1</v>
      </c>
      <c r="F947" s="4" t="s">
        <v>12</v>
      </c>
      <c r="G947" s="4" t="b">
        <f t="shared" si="14"/>
        <v>1</v>
      </c>
      <c r="H947" s="4" t="s">
        <v>3049</v>
      </c>
      <c r="I947" s="4"/>
      <c r="J947" s="4" t="s">
        <v>621</v>
      </c>
    </row>
    <row r="948" spans="1:11" ht="16" x14ac:dyDescent="0.2">
      <c r="A948" s="6" t="s">
        <v>1939</v>
      </c>
      <c r="B948" s="6" t="s">
        <v>1940</v>
      </c>
      <c r="C948" s="4" t="b">
        <v>0</v>
      </c>
      <c r="D948" s="4" t="b">
        <v>0</v>
      </c>
      <c r="E948" s="4" t="b">
        <v>0</v>
      </c>
      <c r="F948" s="4"/>
      <c r="G948" s="4" t="b">
        <f t="shared" si="14"/>
        <v>0</v>
      </c>
      <c r="H948" s="4"/>
      <c r="I948" s="4"/>
      <c r="J948" s="4" t="s">
        <v>621</v>
      </c>
      <c r="K948"/>
    </row>
    <row r="949" spans="1:11" ht="16" x14ac:dyDescent="0.2">
      <c r="A949" s="6" t="s">
        <v>1941</v>
      </c>
      <c r="B949" s="6" t="s">
        <v>1942</v>
      </c>
      <c r="C949" s="4" t="b">
        <v>0</v>
      </c>
      <c r="D949" s="4" t="b">
        <v>0</v>
      </c>
      <c r="E949" s="4" t="b">
        <v>1</v>
      </c>
      <c r="F949" s="4"/>
      <c r="G949" s="4" t="b">
        <f t="shared" si="14"/>
        <v>0</v>
      </c>
      <c r="H949" s="4"/>
      <c r="I949" s="4"/>
      <c r="J949" s="4" t="s">
        <v>621</v>
      </c>
      <c r="K949"/>
    </row>
    <row r="950" spans="1:11" ht="16" x14ac:dyDescent="0.2">
      <c r="A950" s="6" t="s">
        <v>1943</v>
      </c>
      <c r="B950" s="6" t="s">
        <v>1944</v>
      </c>
      <c r="C950" s="4" t="b">
        <v>0</v>
      </c>
      <c r="D950" s="4" t="b">
        <v>0</v>
      </c>
      <c r="E950" s="4" t="b">
        <v>0</v>
      </c>
      <c r="F950" s="4"/>
      <c r="G950" s="4" t="b">
        <f t="shared" si="14"/>
        <v>0</v>
      </c>
      <c r="H950" s="4"/>
      <c r="I950" s="4"/>
      <c r="J950" s="4" t="s">
        <v>621</v>
      </c>
      <c r="K950"/>
    </row>
    <row r="951" spans="1:11" ht="16" x14ac:dyDescent="0.2">
      <c r="A951" s="6" t="s">
        <v>1945</v>
      </c>
      <c r="B951" s="6" t="s">
        <v>1946</v>
      </c>
      <c r="C951" s="4" t="b">
        <v>1</v>
      </c>
      <c r="D951" s="4" t="b">
        <v>0</v>
      </c>
      <c r="E951" s="4" t="b">
        <v>1</v>
      </c>
      <c r="F951" s="4" t="s">
        <v>12</v>
      </c>
      <c r="G951" s="4" t="b">
        <f t="shared" si="14"/>
        <v>1</v>
      </c>
      <c r="H951" s="4" t="s">
        <v>3046</v>
      </c>
      <c r="I951" s="4"/>
      <c r="J951" s="4" t="s">
        <v>621</v>
      </c>
    </row>
    <row r="952" spans="1:11" ht="16" x14ac:dyDescent="0.2">
      <c r="A952" s="6" t="s">
        <v>1947</v>
      </c>
      <c r="B952" s="6" t="s">
        <v>1948</v>
      </c>
      <c r="C952" s="4" t="b">
        <v>0</v>
      </c>
      <c r="D952" s="4" t="b">
        <v>0</v>
      </c>
      <c r="E952" s="4" t="b">
        <v>0</v>
      </c>
      <c r="F952" s="4"/>
      <c r="G952" s="4" t="b">
        <f t="shared" si="14"/>
        <v>0</v>
      </c>
      <c r="H952" s="4"/>
      <c r="I952" s="4"/>
      <c r="J952" s="4" t="s">
        <v>621</v>
      </c>
      <c r="K952"/>
    </row>
    <row r="953" spans="1:11" ht="16" x14ac:dyDescent="0.2">
      <c r="A953" s="6" t="s">
        <v>1949</v>
      </c>
      <c r="B953" s="6" t="s">
        <v>1950</v>
      </c>
      <c r="C953" s="4" t="b">
        <v>0</v>
      </c>
      <c r="D953" s="4" t="b">
        <v>0</v>
      </c>
      <c r="E953" s="4" t="b">
        <v>0</v>
      </c>
      <c r="F953" s="4"/>
      <c r="G953" s="4" t="b">
        <f t="shared" si="14"/>
        <v>0</v>
      </c>
      <c r="H953" s="4"/>
      <c r="I953" s="4"/>
      <c r="J953" s="4" t="s">
        <v>621</v>
      </c>
      <c r="K953"/>
    </row>
    <row r="954" spans="1:11" ht="16" x14ac:dyDescent="0.2">
      <c r="A954" s="6" t="s">
        <v>1951</v>
      </c>
      <c r="B954" s="6" t="s">
        <v>1952</v>
      </c>
      <c r="C954" s="4" t="b">
        <v>0</v>
      </c>
      <c r="D954" s="4" t="b">
        <v>0</v>
      </c>
      <c r="E954" s="4" t="b">
        <v>0</v>
      </c>
      <c r="F954" s="4"/>
      <c r="G954" s="4" t="b">
        <f t="shared" si="14"/>
        <v>0</v>
      </c>
      <c r="H954" s="4"/>
      <c r="I954" s="4"/>
      <c r="J954" s="4" t="s">
        <v>621</v>
      </c>
      <c r="K954"/>
    </row>
    <row r="955" spans="1:11" ht="16" x14ac:dyDescent="0.2">
      <c r="A955" s="6" t="s">
        <v>1953</v>
      </c>
      <c r="B955" s="6" t="s">
        <v>1954</v>
      </c>
      <c r="C955" s="4" t="b">
        <v>0</v>
      </c>
      <c r="D955" s="4" t="b">
        <v>0</v>
      </c>
      <c r="E955" s="4" t="b">
        <v>0</v>
      </c>
      <c r="F955" s="4"/>
      <c r="G955" s="4" t="b">
        <f t="shared" si="14"/>
        <v>0</v>
      </c>
      <c r="H955" s="4"/>
      <c r="I955" s="4"/>
      <c r="J955" s="4" t="s">
        <v>14</v>
      </c>
      <c r="K955"/>
    </row>
    <row r="956" spans="1:11" ht="64" x14ac:dyDescent="0.2">
      <c r="A956" s="6" t="s">
        <v>1955</v>
      </c>
      <c r="B956" s="6" t="s">
        <v>1956</v>
      </c>
      <c r="C956" s="4" t="b">
        <v>1</v>
      </c>
      <c r="D956" s="4" t="b">
        <v>0</v>
      </c>
      <c r="E956" s="4" t="b">
        <v>1</v>
      </c>
      <c r="F956" s="4" t="s">
        <v>12</v>
      </c>
      <c r="G956" s="4" t="b">
        <f t="shared" si="14"/>
        <v>1</v>
      </c>
      <c r="H956" s="4" t="s">
        <v>3045</v>
      </c>
      <c r="I956" s="4"/>
      <c r="J956" s="4" t="s">
        <v>14</v>
      </c>
    </row>
    <row r="957" spans="1:11" ht="48" x14ac:dyDescent="0.2">
      <c r="A957" s="6" t="s">
        <v>1957</v>
      </c>
      <c r="B957" s="6" t="s">
        <v>1958</v>
      </c>
      <c r="C957" s="4" t="b">
        <v>1</v>
      </c>
      <c r="D957" s="4" t="b">
        <v>0</v>
      </c>
      <c r="E957" s="4" t="b">
        <v>1</v>
      </c>
      <c r="F957" s="4" t="s">
        <v>12</v>
      </c>
      <c r="G957" s="4" t="b">
        <f t="shared" si="14"/>
        <v>1</v>
      </c>
      <c r="H957" s="4" t="s">
        <v>3044</v>
      </c>
      <c r="I957" s="4"/>
      <c r="J957" s="4" t="s">
        <v>14</v>
      </c>
    </row>
    <row r="958" spans="1:11" ht="16" x14ac:dyDescent="0.2">
      <c r="A958" s="6" t="s">
        <v>1959</v>
      </c>
      <c r="B958" s="6" t="s">
        <v>1960</v>
      </c>
      <c r="C958" s="4" t="b">
        <v>0</v>
      </c>
      <c r="D958" s="4" t="b">
        <v>0</v>
      </c>
      <c r="E958" s="4" t="b">
        <v>1</v>
      </c>
      <c r="F958" s="4"/>
      <c r="G958" s="4" t="b">
        <f t="shared" si="14"/>
        <v>0</v>
      </c>
      <c r="H958" s="4"/>
      <c r="I958" s="4"/>
      <c r="J958" s="4" t="s">
        <v>14</v>
      </c>
      <c r="K958"/>
    </row>
    <row r="959" spans="1:11" ht="16" x14ac:dyDescent="0.2">
      <c r="A959" s="6" t="s">
        <v>1961</v>
      </c>
      <c r="B959" s="6" t="s">
        <v>1962</v>
      </c>
      <c r="C959" s="4" t="b">
        <v>0</v>
      </c>
      <c r="D959" s="4" t="b">
        <v>0</v>
      </c>
      <c r="E959" s="4" t="b">
        <v>1</v>
      </c>
      <c r="F959" s="4" t="s">
        <v>12</v>
      </c>
      <c r="G959" s="4" t="b">
        <f t="shared" si="14"/>
        <v>1</v>
      </c>
      <c r="H959" s="4" t="s">
        <v>2918</v>
      </c>
      <c r="I959" s="4"/>
      <c r="J959" s="4" t="s">
        <v>14</v>
      </c>
    </row>
    <row r="960" spans="1:11" ht="16" x14ac:dyDescent="0.2">
      <c r="A960" s="6" t="s">
        <v>1963</v>
      </c>
      <c r="B960" s="6" t="s">
        <v>1964</v>
      </c>
      <c r="C960" s="4" t="b">
        <v>0</v>
      </c>
      <c r="D960" s="4" t="b">
        <v>0</v>
      </c>
      <c r="E960" s="4" t="b">
        <v>1</v>
      </c>
      <c r="F960" s="4"/>
      <c r="G960" s="4" t="b">
        <f t="shared" si="14"/>
        <v>0</v>
      </c>
      <c r="H960" s="4"/>
      <c r="I960" s="4"/>
      <c r="J960" s="4" t="s">
        <v>14</v>
      </c>
      <c r="K960"/>
    </row>
    <row r="961" spans="1:11" ht="144" x14ac:dyDescent="0.2">
      <c r="A961" s="6" t="s">
        <v>1965</v>
      </c>
      <c r="B961" s="6" t="s">
        <v>1966</v>
      </c>
      <c r="C961" s="4" t="b">
        <v>1</v>
      </c>
      <c r="D961" s="4" t="b">
        <v>1</v>
      </c>
      <c r="E961" s="4" t="b">
        <v>1</v>
      </c>
      <c r="F961" s="4" t="s">
        <v>12</v>
      </c>
      <c r="G961" s="4" t="b">
        <f t="shared" si="14"/>
        <v>1</v>
      </c>
      <c r="H961" s="4" t="s">
        <v>3043</v>
      </c>
      <c r="I961" s="4"/>
      <c r="J961" s="4" t="s">
        <v>14</v>
      </c>
    </row>
    <row r="962" spans="1:11" ht="64" x14ac:dyDescent="0.2">
      <c r="A962" s="6" t="s">
        <v>1967</v>
      </c>
      <c r="B962" s="6" t="s">
        <v>1968</v>
      </c>
      <c r="C962" s="4" t="b">
        <v>1</v>
      </c>
      <c r="D962" s="4" t="b">
        <v>1</v>
      </c>
      <c r="E962" s="4" t="b">
        <v>1</v>
      </c>
      <c r="F962" s="4" t="s">
        <v>12</v>
      </c>
      <c r="G962" s="4" t="b">
        <f t="shared" ref="G962:G1025" si="15">IF(F962="✔", TRUE, FALSE)</f>
        <v>1</v>
      </c>
      <c r="H962" s="4" t="s">
        <v>3042</v>
      </c>
      <c r="I962" s="4"/>
      <c r="J962" s="4" t="s">
        <v>26</v>
      </c>
    </row>
    <row r="963" spans="1:11" ht="64" x14ac:dyDescent="0.2">
      <c r="A963" s="6" t="s">
        <v>1969</v>
      </c>
      <c r="B963" s="6" t="s">
        <v>1970</v>
      </c>
      <c r="C963" s="4" t="b">
        <v>0</v>
      </c>
      <c r="D963" s="4" t="b">
        <v>0</v>
      </c>
      <c r="E963" s="4" t="b">
        <v>0</v>
      </c>
      <c r="F963" s="4" t="s">
        <v>12</v>
      </c>
      <c r="G963" s="4" t="b">
        <f t="shared" si="15"/>
        <v>1</v>
      </c>
      <c r="H963" s="4" t="s">
        <v>3040</v>
      </c>
      <c r="I963" s="4"/>
      <c r="J963" s="4" t="s">
        <v>26</v>
      </c>
    </row>
    <row r="964" spans="1:11" ht="80" x14ac:dyDescent="0.2">
      <c r="A964" s="6" t="s">
        <v>1971</v>
      </c>
      <c r="B964" s="6" t="s">
        <v>1972</v>
      </c>
      <c r="C964" s="4" t="b">
        <v>1</v>
      </c>
      <c r="D964" s="4" t="b">
        <v>1</v>
      </c>
      <c r="E964" s="4" t="b">
        <v>1</v>
      </c>
      <c r="F964" s="4" t="s">
        <v>12</v>
      </c>
      <c r="G964" s="4" t="b">
        <f t="shared" si="15"/>
        <v>1</v>
      </c>
      <c r="H964" s="4" t="s">
        <v>3039</v>
      </c>
      <c r="I964" s="4"/>
      <c r="J964" s="4" t="s">
        <v>26</v>
      </c>
    </row>
    <row r="965" spans="1:11" ht="16" x14ac:dyDescent="0.2">
      <c r="A965" s="6" t="s">
        <v>1973</v>
      </c>
      <c r="B965" s="6" t="s">
        <v>1974</v>
      </c>
      <c r="C965" s="4" t="b">
        <v>0</v>
      </c>
      <c r="D965" s="4" t="b">
        <v>0</v>
      </c>
      <c r="E965" s="4" t="b">
        <v>0</v>
      </c>
      <c r="F965" s="4"/>
      <c r="G965" s="4" t="b">
        <f t="shared" si="15"/>
        <v>0</v>
      </c>
      <c r="H965" s="4"/>
      <c r="I965" s="4"/>
      <c r="J965" s="4" t="s">
        <v>26</v>
      </c>
      <c r="K965"/>
    </row>
    <row r="966" spans="1:11" ht="16" x14ac:dyDescent="0.2">
      <c r="A966" s="6" t="s">
        <v>1975</v>
      </c>
      <c r="B966" s="6" t="s">
        <v>1976</v>
      </c>
      <c r="C966" s="4" t="b">
        <v>0</v>
      </c>
      <c r="D966" s="4" t="b">
        <v>0</v>
      </c>
      <c r="E966" s="4" t="b">
        <v>0</v>
      </c>
      <c r="F966" s="4"/>
      <c r="G966" s="4" t="b">
        <f t="shared" si="15"/>
        <v>0</v>
      </c>
      <c r="H966" s="4"/>
      <c r="I966" s="4"/>
      <c r="J966" s="4" t="s">
        <v>26</v>
      </c>
      <c r="K966"/>
    </row>
    <row r="967" spans="1:11" ht="96" x14ac:dyDescent="0.2">
      <c r="A967" s="6" t="s">
        <v>1977</v>
      </c>
      <c r="B967" s="6" t="s">
        <v>1978</v>
      </c>
      <c r="C967" s="4" t="b">
        <v>1</v>
      </c>
      <c r="D967" s="4" t="b">
        <v>0</v>
      </c>
      <c r="E967" s="4" t="b">
        <v>1</v>
      </c>
      <c r="F967" s="4" t="s">
        <v>12</v>
      </c>
      <c r="G967" s="4" t="b">
        <f t="shared" si="15"/>
        <v>1</v>
      </c>
      <c r="H967" s="4" t="s">
        <v>3041</v>
      </c>
      <c r="I967" s="4"/>
      <c r="J967" s="4" t="s">
        <v>26</v>
      </c>
      <c r="K967" s="1" t="s">
        <v>2998</v>
      </c>
    </row>
    <row r="968" spans="1:11" ht="48" x14ac:dyDescent="0.2">
      <c r="A968" s="6" t="s">
        <v>1979</v>
      </c>
      <c r="B968" s="6" t="s">
        <v>1980</v>
      </c>
      <c r="C968" s="4" t="b">
        <v>1</v>
      </c>
      <c r="D968" s="4" t="b">
        <v>0</v>
      </c>
      <c r="E968" s="4" t="b">
        <v>1</v>
      </c>
      <c r="F968" s="4" t="s">
        <v>12</v>
      </c>
      <c r="G968" s="4" t="b">
        <f t="shared" si="15"/>
        <v>1</v>
      </c>
      <c r="H968" s="4" t="s">
        <v>3038</v>
      </c>
      <c r="I968" s="4"/>
      <c r="J968" s="4" t="s">
        <v>26</v>
      </c>
    </row>
    <row r="969" spans="1:11" ht="16" x14ac:dyDescent="0.2">
      <c r="A969" s="6" t="s">
        <v>1981</v>
      </c>
      <c r="B969" s="6" t="s">
        <v>1982</v>
      </c>
      <c r="C969" s="4" t="b">
        <v>0</v>
      </c>
      <c r="D969" s="4" t="b">
        <v>0</v>
      </c>
      <c r="E969" s="4" t="b">
        <v>1</v>
      </c>
      <c r="F969" s="4"/>
      <c r="G969" s="4" t="b">
        <f t="shared" si="15"/>
        <v>0</v>
      </c>
      <c r="H969" s="4"/>
      <c r="I969" s="4"/>
      <c r="J969" s="4" t="s">
        <v>26</v>
      </c>
      <c r="K969"/>
    </row>
    <row r="970" spans="1:11" ht="64" x14ac:dyDescent="0.2">
      <c r="A970" s="6" t="s">
        <v>1983</v>
      </c>
      <c r="B970" s="6" t="s">
        <v>1984</v>
      </c>
      <c r="C970" s="4" t="b">
        <v>1</v>
      </c>
      <c r="D970" s="4" t="b">
        <v>0</v>
      </c>
      <c r="E970" s="4" t="b">
        <v>1</v>
      </c>
      <c r="F970" s="4" t="s">
        <v>12</v>
      </c>
      <c r="G970" s="4" t="b">
        <f t="shared" si="15"/>
        <v>1</v>
      </c>
      <c r="H970" s="4" t="s">
        <v>3037</v>
      </c>
      <c r="I970" s="4"/>
      <c r="J970" s="4" t="s">
        <v>26</v>
      </c>
    </row>
    <row r="971" spans="1:11" ht="16" x14ac:dyDescent="0.2">
      <c r="A971" s="6" t="s">
        <v>1985</v>
      </c>
      <c r="B971" s="6" t="s">
        <v>1986</v>
      </c>
      <c r="C971" s="4" t="b">
        <v>0</v>
      </c>
      <c r="D971" s="4" t="b">
        <v>0</v>
      </c>
      <c r="E971" s="4" t="b">
        <v>0</v>
      </c>
      <c r="F971" s="4"/>
      <c r="G971" s="4" t="b">
        <f t="shared" si="15"/>
        <v>0</v>
      </c>
      <c r="H971" s="4"/>
      <c r="I971" s="4"/>
      <c r="J971" s="4" t="s">
        <v>26</v>
      </c>
      <c r="K971"/>
    </row>
    <row r="972" spans="1:11" ht="16" x14ac:dyDescent="0.2">
      <c r="A972" s="6" t="s">
        <v>1987</v>
      </c>
      <c r="B972" s="6" t="s">
        <v>1988</v>
      </c>
      <c r="C972" s="4" t="b">
        <v>0</v>
      </c>
      <c r="D972" s="4" t="b">
        <v>0</v>
      </c>
      <c r="E972" s="4" t="b">
        <v>0</v>
      </c>
      <c r="F972" s="4" t="s">
        <v>12</v>
      </c>
      <c r="G972" s="4" t="b">
        <f t="shared" si="15"/>
        <v>1</v>
      </c>
      <c r="H972" s="4"/>
      <c r="I972" s="4"/>
      <c r="J972" s="4" t="s">
        <v>26</v>
      </c>
    </row>
    <row r="973" spans="1:11" ht="16" x14ac:dyDescent="0.2">
      <c r="A973" s="6" t="s">
        <v>1989</v>
      </c>
      <c r="B973" s="6" t="s">
        <v>1990</v>
      </c>
      <c r="C973" s="4" t="b">
        <v>0</v>
      </c>
      <c r="D973" s="4" t="b">
        <v>0</v>
      </c>
      <c r="E973" s="4" t="b">
        <v>0</v>
      </c>
      <c r="F973" s="4"/>
      <c r="G973" s="4" t="b">
        <f t="shared" si="15"/>
        <v>0</v>
      </c>
      <c r="H973" s="4"/>
      <c r="I973" s="4"/>
      <c r="J973" s="4" t="s">
        <v>26</v>
      </c>
      <c r="K973"/>
    </row>
    <row r="974" spans="1:11" ht="16" x14ac:dyDescent="0.2">
      <c r="A974" s="6" t="s">
        <v>1991</v>
      </c>
      <c r="B974" s="6" t="s">
        <v>1992</v>
      </c>
      <c r="C974" s="4" t="b">
        <v>1</v>
      </c>
      <c r="D974" s="4" t="b">
        <v>0</v>
      </c>
      <c r="E974" s="4" t="b">
        <v>1</v>
      </c>
      <c r="F974" s="4" t="s">
        <v>12</v>
      </c>
      <c r="G974" s="4" t="b">
        <f t="shared" si="15"/>
        <v>1</v>
      </c>
      <c r="H974" s="4" t="s">
        <v>3036</v>
      </c>
      <c r="I974" s="4"/>
      <c r="J974" s="4" t="s">
        <v>26</v>
      </c>
    </row>
    <row r="975" spans="1:11" ht="16" x14ac:dyDescent="0.2">
      <c r="A975" s="6" t="s">
        <v>1993</v>
      </c>
      <c r="B975" s="6" t="s">
        <v>1994</v>
      </c>
      <c r="C975" s="4" t="b">
        <v>0</v>
      </c>
      <c r="D975" s="4" t="b">
        <v>0</v>
      </c>
      <c r="E975" s="4" t="b">
        <v>0</v>
      </c>
      <c r="F975" s="4"/>
      <c r="G975" s="4" t="b">
        <f t="shared" si="15"/>
        <v>0</v>
      </c>
      <c r="H975" s="4"/>
      <c r="I975" s="4"/>
      <c r="J975" s="4" t="s">
        <v>26</v>
      </c>
      <c r="K975"/>
    </row>
    <row r="976" spans="1:11" ht="16" x14ac:dyDescent="0.2">
      <c r="A976" s="6" t="s">
        <v>1995</v>
      </c>
      <c r="B976" s="6" t="s">
        <v>1996</v>
      </c>
      <c r="C976" s="4" t="b">
        <v>0</v>
      </c>
      <c r="D976" s="4" t="b">
        <v>0</v>
      </c>
      <c r="E976" s="4" t="b">
        <v>0</v>
      </c>
      <c r="F976" s="4"/>
      <c r="G976" s="4" t="b">
        <f t="shared" si="15"/>
        <v>0</v>
      </c>
      <c r="H976" s="4"/>
      <c r="I976" s="4"/>
      <c r="J976" s="4" t="s">
        <v>26</v>
      </c>
      <c r="K976"/>
    </row>
    <row r="977" spans="1:11" ht="16" x14ac:dyDescent="0.2">
      <c r="A977" s="6" t="s">
        <v>1997</v>
      </c>
      <c r="B977" s="6" t="s">
        <v>1998</v>
      </c>
      <c r="C977" s="4" t="b">
        <v>0</v>
      </c>
      <c r="D977" s="4" t="b">
        <v>0</v>
      </c>
      <c r="E977" s="4" t="b">
        <v>0</v>
      </c>
      <c r="F977" s="4"/>
      <c r="G977" s="4" t="b">
        <f t="shared" si="15"/>
        <v>0</v>
      </c>
      <c r="H977" s="4"/>
      <c r="I977" s="4"/>
      <c r="J977" s="4" t="s">
        <v>26</v>
      </c>
      <c r="K977"/>
    </row>
    <row r="978" spans="1:11" ht="16" x14ac:dyDescent="0.2">
      <c r="A978" s="6" t="s">
        <v>1999</v>
      </c>
      <c r="B978" s="6" t="s">
        <v>2000</v>
      </c>
      <c r="C978" s="4" t="b">
        <v>0</v>
      </c>
      <c r="D978" s="4" t="b">
        <v>0</v>
      </c>
      <c r="E978" s="4" t="b">
        <v>0</v>
      </c>
      <c r="F978" s="4"/>
      <c r="G978" s="4" t="b">
        <f t="shared" si="15"/>
        <v>0</v>
      </c>
      <c r="H978" s="4"/>
      <c r="I978" s="4"/>
      <c r="J978" s="4" t="s">
        <v>26</v>
      </c>
      <c r="K978"/>
    </row>
    <row r="979" spans="1:11" ht="16" x14ac:dyDescent="0.2">
      <c r="A979" s="6" t="s">
        <v>2001</v>
      </c>
      <c r="B979" s="6" t="s">
        <v>2002</v>
      </c>
      <c r="C979" s="4" t="b">
        <v>0</v>
      </c>
      <c r="D979" s="4" t="b">
        <v>0</v>
      </c>
      <c r="E979" s="4" t="b">
        <v>0</v>
      </c>
      <c r="F979" s="4" t="s">
        <v>12</v>
      </c>
      <c r="G979" s="4" t="b">
        <f t="shared" si="15"/>
        <v>1</v>
      </c>
      <c r="H979" s="4"/>
      <c r="I979" s="4"/>
      <c r="J979" s="4" t="s">
        <v>26</v>
      </c>
    </row>
    <row r="980" spans="1:11" ht="16" x14ac:dyDescent="0.2">
      <c r="A980" s="6" t="s">
        <v>2003</v>
      </c>
      <c r="B980" s="6" t="s">
        <v>2004</v>
      </c>
      <c r="C980" s="4" t="b">
        <v>0</v>
      </c>
      <c r="D980" s="4" t="b">
        <v>0</v>
      </c>
      <c r="E980" s="4" t="b">
        <v>0</v>
      </c>
      <c r="F980" s="4" t="s">
        <v>12</v>
      </c>
      <c r="G980" s="4" t="b">
        <f t="shared" si="15"/>
        <v>1</v>
      </c>
      <c r="H980" s="4"/>
      <c r="I980" s="4"/>
      <c r="J980" s="4" t="s">
        <v>2005</v>
      </c>
    </row>
    <row r="981" spans="1:11" ht="16" x14ac:dyDescent="0.2">
      <c r="A981" s="6" t="s">
        <v>2006</v>
      </c>
      <c r="B981" s="6" t="s">
        <v>2007</v>
      </c>
      <c r="C981" s="4" t="b">
        <v>0</v>
      </c>
      <c r="D981" s="4" t="b">
        <v>0</v>
      </c>
      <c r="E981" s="4" t="b">
        <v>0</v>
      </c>
      <c r="F981" s="4"/>
      <c r="G981" s="4" t="b">
        <f t="shared" si="15"/>
        <v>0</v>
      </c>
      <c r="H981" s="4"/>
      <c r="I981" s="4"/>
      <c r="J981" s="4" t="s">
        <v>2005</v>
      </c>
      <c r="K981"/>
    </row>
    <row r="982" spans="1:11" ht="16" x14ac:dyDescent="0.2">
      <c r="A982" s="6" t="s">
        <v>2008</v>
      </c>
      <c r="B982" s="6" t="s">
        <v>2009</v>
      </c>
      <c r="C982" s="4" t="b">
        <v>0</v>
      </c>
      <c r="D982" s="4" t="b">
        <v>0</v>
      </c>
      <c r="E982" s="4" t="b">
        <v>0</v>
      </c>
      <c r="F982" s="4"/>
      <c r="G982" s="4" t="b">
        <f t="shared" si="15"/>
        <v>0</v>
      </c>
      <c r="H982" s="4"/>
      <c r="I982" s="4"/>
      <c r="J982" s="4" t="s">
        <v>2005</v>
      </c>
      <c r="K982"/>
    </row>
    <row r="983" spans="1:11" ht="16" x14ac:dyDescent="0.2">
      <c r="A983" s="6" t="s">
        <v>2010</v>
      </c>
      <c r="B983" s="6" t="s">
        <v>2011</v>
      </c>
      <c r="C983" s="4" t="b">
        <v>0</v>
      </c>
      <c r="D983" s="4" t="b">
        <v>0</v>
      </c>
      <c r="E983" s="4" t="b">
        <v>0</v>
      </c>
      <c r="F983" s="4"/>
      <c r="G983" s="4" t="b">
        <f t="shared" si="15"/>
        <v>0</v>
      </c>
      <c r="H983" s="4"/>
      <c r="I983" s="4"/>
      <c r="J983" s="4" t="s">
        <v>2005</v>
      </c>
      <c r="K983"/>
    </row>
    <row r="984" spans="1:11" ht="16" x14ac:dyDescent="0.2">
      <c r="A984" s="6" t="s">
        <v>2012</v>
      </c>
      <c r="B984" s="6" t="s">
        <v>2013</v>
      </c>
      <c r="C984" s="4" t="b">
        <v>0</v>
      </c>
      <c r="D984" s="4" t="b">
        <v>0</v>
      </c>
      <c r="E984" s="4" t="b">
        <v>0</v>
      </c>
      <c r="F984" s="4"/>
      <c r="G984" s="4" t="b">
        <f t="shared" si="15"/>
        <v>0</v>
      </c>
      <c r="H984" s="4"/>
      <c r="I984" s="4"/>
      <c r="J984" s="4" t="s">
        <v>2005</v>
      </c>
      <c r="K984"/>
    </row>
    <row r="985" spans="1:11" ht="16" x14ac:dyDescent="0.2">
      <c r="A985" s="6" t="s">
        <v>2014</v>
      </c>
      <c r="B985" s="6" t="s">
        <v>2015</v>
      </c>
      <c r="C985" s="4" t="b">
        <v>0</v>
      </c>
      <c r="D985" s="4" t="b">
        <v>0</v>
      </c>
      <c r="E985" s="4" t="b">
        <v>1</v>
      </c>
      <c r="F985" s="4"/>
      <c r="G985" s="4" t="b">
        <f t="shared" si="15"/>
        <v>0</v>
      </c>
      <c r="H985" s="4"/>
      <c r="I985" s="4"/>
      <c r="J985" s="4" t="s">
        <v>2005</v>
      </c>
      <c r="K985"/>
    </row>
    <row r="986" spans="1:11" ht="16" x14ac:dyDescent="0.2">
      <c r="A986" s="6" t="s">
        <v>2016</v>
      </c>
      <c r="B986" s="6" t="s">
        <v>2017</v>
      </c>
      <c r="C986" s="4" t="b">
        <v>0</v>
      </c>
      <c r="D986" s="4" t="b">
        <v>0</v>
      </c>
      <c r="E986" s="4" t="b">
        <v>1</v>
      </c>
      <c r="F986" s="4"/>
      <c r="G986" s="4" t="b">
        <f t="shared" si="15"/>
        <v>0</v>
      </c>
      <c r="H986" s="4"/>
      <c r="I986" s="4"/>
      <c r="J986" s="4" t="s">
        <v>2005</v>
      </c>
      <c r="K986"/>
    </row>
    <row r="987" spans="1:11" ht="16" x14ac:dyDescent="0.2">
      <c r="A987" s="6" t="s">
        <v>2018</v>
      </c>
      <c r="B987" s="6" t="s">
        <v>2019</v>
      </c>
      <c r="C987" s="4" t="b">
        <v>0</v>
      </c>
      <c r="D987" s="4" t="b">
        <v>0</v>
      </c>
      <c r="E987" s="4" t="b">
        <v>1</v>
      </c>
      <c r="F987" s="4" t="s">
        <v>12</v>
      </c>
      <c r="G987" s="4" t="b">
        <f t="shared" si="15"/>
        <v>1</v>
      </c>
      <c r="H987" s="4"/>
      <c r="I987" s="4"/>
      <c r="J987" s="4" t="s">
        <v>2005</v>
      </c>
      <c r="K987"/>
    </row>
    <row r="988" spans="1:11" ht="16" x14ac:dyDescent="0.2">
      <c r="A988" s="6" t="s">
        <v>2020</v>
      </c>
      <c r="B988" s="6" t="s">
        <v>2021</v>
      </c>
      <c r="C988" s="4" t="b">
        <v>0</v>
      </c>
      <c r="D988" s="4" t="b">
        <v>0</v>
      </c>
      <c r="E988" s="4" t="b">
        <v>0</v>
      </c>
      <c r="F988" s="4"/>
      <c r="G988" s="4" t="b">
        <f t="shared" si="15"/>
        <v>0</v>
      </c>
      <c r="H988" s="4"/>
      <c r="I988" s="4"/>
      <c r="J988" s="4" t="s">
        <v>2005</v>
      </c>
      <c r="K988"/>
    </row>
    <row r="989" spans="1:11" ht="80" x14ac:dyDescent="0.2">
      <c r="A989" s="6" t="s">
        <v>2022</v>
      </c>
      <c r="B989" s="6" t="s">
        <v>2023</v>
      </c>
      <c r="C989" s="4" t="b">
        <v>1</v>
      </c>
      <c r="D989" s="4" t="b">
        <v>0</v>
      </c>
      <c r="E989" s="4" t="b">
        <v>1</v>
      </c>
      <c r="F989" s="4" t="s">
        <v>12</v>
      </c>
      <c r="G989" s="4" t="b">
        <f t="shared" si="15"/>
        <v>1</v>
      </c>
      <c r="H989" s="4" t="s">
        <v>3035</v>
      </c>
      <c r="I989" s="4"/>
      <c r="J989" s="4" t="s">
        <v>2005</v>
      </c>
    </row>
    <row r="990" spans="1:11" ht="112" x14ac:dyDescent="0.2">
      <c r="A990" s="6" t="s">
        <v>2024</v>
      </c>
      <c r="B990" s="6" t="s">
        <v>2025</v>
      </c>
      <c r="C990" s="4" t="b">
        <v>1</v>
      </c>
      <c r="D990" s="4" t="b">
        <v>0</v>
      </c>
      <c r="E990" s="4" t="b">
        <v>1</v>
      </c>
      <c r="F990" s="4" t="s">
        <v>12</v>
      </c>
      <c r="G990" s="4" t="b">
        <f t="shared" si="15"/>
        <v>1</v>
      </c>
      <c r="H990" s="4" t="s">
        <v>3034</v>
      </c>
      <c r="I990" s="4"/>
      <c r="J990" s="4" t="s">
        <v>2005</v>
      </c>
    </row>
    <row r="991" spans="1:11" ht="32" x14ac:dyDescent="0.2">
      <c r="A991" s="6" t="s">
        <v>2026</v>
      </c>
      <c r="B991" s="6" t="s">
        <v>2027</v>
      </c>
      <c r="C991" s="4" t="b">
        <v>0</v>
      </c>
      <c r="D991" s="4" t="b">
        <v>0</v>
      </c>
      <c r="E991" s="4" t="b">
        <v>1</v>
      </c>
      <c r="F991" s="4" t="s">
        <v>12</v>
      </c>
      <c r="G991" s="4" t="b">
        <f t="shared" si="15"/>
        <v>1</v>
      </c>
      <c r="H991" s="4" t="s">
        <v>3033</v>
      </c>
      <c r="I991" s="4"/>
      <c r="J991" s="4" t="s">
        <v>2005</v>
      </c>
    </row>
    <row r="992" spans="1:11" ht="16" x14ac:dyDescent="0.2">
      <c r="A992" s="6" t="s">
        <v>2028</v>
      </c>
      <c r="B992" s="6" t="s">
        <v>2029</v>
      </c>
      <c r="C992" s="4" t="b">
        <v>0</v>
      </c>
      <c r="D992" s="4" t="b">
        <v>0</v>
      </c>
      <c r="E992" s="4" t="b">
        <v>0</v>
      </c>
      <c r="F992" s="4"/>
      <c r="G992" s="4" t="b">
        <f t="shared" si="15"/>
        <v>0</v>
      </c>
      <c r="H992" s="4"/>
      <c r="I992" s="4"/>
      <c r="J992" s="4" t="s">
        <v>2005</v>
      </c>
      <c r="K992"/>
    </row>
    <row r="993" spans="1:10" customFormat="1" ht="16" x14ac:dyDescent="0.2">
      <c r="A993" s="6" t="s">
        <v>2030</v>
      </c>
      <c r="B993" s="6" t="s">
        <v>2031</v>
      </c>
      <c r="C993" s="4" t="b">
        <v>0</v>
      </c>
      <c r="D993" s="4" t="b">
        <v>0</v>
      </c>
      <c r="E993" s="4" t="b">
        <v>0</v>
      </c>
      <c r="F993" s="4"/>
      <c r="G993" s="4" t="b">
        <f t="shared" si="15"/>
        <v>0</v>
      </c>
      <c r="H993" s="4"/>
      <c r="I993" s="4"/>
      <c r="J993" s="4" t="s">
        <v>2005</v>
      </c>
    </row>
    <row r="994" spans="1:10" customFormat="1" ht="16" x14ac:dyDescent="0.2">
      <c r="A994" s="6" t="s">
        <v>2032</v>
      </c>
      <c r="B994" s="6" t="s">
        <v>2033</v>
      </c>
      <c r="C994" s="4" t="b">
        <v>0</v>
      </c>
      <c r="D994" s="4" t="b">
        <v>0</v>
      </c>
      <c r="E994" s="4" t="b">
        <v>0</v>
      </c>
      <c r="F994" s="4"/>
      <c r="G994" s="4" t="b">
        <f t="shared" si="15"/>
        <v>0</v>
      </c>
      <c r="H994" s="4"/>
      <c r="I994" s="4"/>
      <c r="J994" s="4" t="s">
        <v>2005</v>
      </c>
    </row>
    <row r="995" spans="1:10" customFormat="1" ht="16" x14ac:dyDescent="0.2">
      <c r="A995" s="6" t="s">
        <v>2034</v>
      </c>
      <c r="B995" s="6" t="s">
        <v>2035</v>
      </c>
      <c r="C995" s="4" t="b">
        <v>0</v>
      </c>
      <c r="D995" s="4" t="b">
        <v>0</v>
      </c>
      <c r="E995" s="4" t="b">
        <v>1</v>
      </c>
      <c r="F995" s="4"/>
      <c r="G995" s="4" t="b">
        <f t="shared" si="15"/>
        <v>0</v>
      </c>
      <c r="H995" s="4"/>
      <c r="I995" s="4"/>
      <c r="J995" s="4" t="s">
        <v>2005</v>
      </c>
    </row>
    <row r="996" spans="1:10" customFormat="1" ht="16" x14ac:dyDescent="0.2">
      <c r="A996" s="6" t="s">
        <v>2036</v>
      </c>
      <c r="B996" s="6" t="s">
        <v>2037</v>
      </c>
      <c r="C996" s="4" t="b">
        <v>0</v>
      </c>
      <c r="D996" s="4" t="b">
        <v>0</v>
      </c>
      <c r="E996" s="4" t="b">
        <v>1</v>
      </c>
      <c r="F996" s="4"/>
      <c r="G996" s="4" t="b">
        <f t="shared" si="15"/>
        <v>0</v>
      </c>
      <c r="H996" s="4"/>
      <c r="I996" s="4"/>
      <c r="J996" s="4" t="s">
        <v>2005</v>
      </c>
    </row>
    <row r="997" spans="1:10" customFormat="1" ht="16" x14ac:dyDescent="0.2">
      <c r="A997" s="6" t="s">
        <v>2038</v>
      </c>
      <c r="B997" s="6" t="s">
        <v>2039</v>
      </c>
      <c r="C997" s="4" t="b">
        <v>0</v>
      </c>
      <c r="D997" s="4" t="b">
        <v>0</v>
      </c>
      <c r="E997" s="4" t="b">
        <v>0</v>
      </c>
      <c r="F997" s="4"/>
      <c r="G997" s="4" t="b">
        <f t="shared" si="15"/>
        <v>0</v>
      </c>
      <c r="H997" s="4"/>
      <c r="I997" s="4"/>
      <c r="J997" s="4" t="s">
        <v>2005</v>
      </c>
    </row>
    <row r="998" spans="1:10" customFormat="1" ht="80" x14ac:dyDescent="0.2">
      <c r="A998" s="6" t="s">
        <v>2040</v>
      </c>
      <c r="B998" s="6" t="s">
        <v>2041</v>
      </c>
      <c r="C998" s="4" t="b">
        <v>1</v>
      </c>
      <c r="D998" s="4" t="b">
        <v>0</v>
      </c>
      <c r="E998" s="4" t="b">
        <v>1</v>
      </c>
      <c r="F998" s="4" t="s">
        <v>12</v>
      </c>
      <c r="G998" s="4" t="b">
        <f t="shared" si="15"/>
        <v>1</v>
      </c>
      <c r="H998" s="4" t="s">
        <v>3303</v>
      </c>
      <c r="I998" s="4"/>
      <c r="J998" s="4" t="s">
        <v>98</v>
      </c>
    </row>
    <row r="999" spans="1:10" customFormat="1" ht="16" x14ac:dyDescent="0.2">
      <c r="A999" s="6" t="s">
        <v>2042</v>
      </c>
      <c r="B999" s="6" t="s">
        <v>2043</v>
      </c>
      <c r="C999" s="4" t="b">
        <v>0</v>
      </c>
      <c r="D999" s="4" t="b">
        <v>0</v>
      </c>
      <c r="E999" s="4" t="b">
        <v>0</v>
      </c>
      <c r="F999" s="4"/>
      <c r="G999" s="4" t="b">
        <f t="shared" si="15"/>
        <v>0</v>
      </c>
      <c r="H999" s="4"/>
      <c r="I999" s="4"/>
      <c r="J999" s="4" t="s">
        <v>98</v>
      </c>
    </row>
    <row r="1000" spans="1:10" customFormat="1" ht="80" x14ac:dyDescent="0.2">
      <c r="A1000" s="6" t="s">
        <v>2044</v>
      </c>
      <c r="B1000" s="6" t="s">
        <v>2045</v>
      </c>
      <c r="C1000" s="4" t="b">
        <v>1</v>
      </c>
      <c r="D1000" s="4" t="b">
        <v>0</v>
      </c>
      <c r="E1000" s="4" t="b">
        <v>1</v>
      </c>
      <c r="F1000" s="4" t="s">
        <v>12</v>
      </c>
      <c r="G1000" s="4" t="b">
        <f t="shared" si="15"/>
        <v>1</v>
      </c>
      <c r="H1000" s="4" t="s">
        <v>3302</v>
      </c>
      <c r="I1000" s="4"/>
      <c r="J1000" s="4" t="s">
        <v>98</v>
      </c>
    </row>
    <row r="1001" spans="1:10" customFormat="1" ht="16" x14ac:dyDescent="0.2">
      <c r="A1001" s="6" t="s">
        <v>2046</v>
      </c>
      <c r="B1001" s="6" t="s">
        <v>2047</v>
      </c>
      <c r="C1001" s="4" t="b">
        <v>0</v>
      </c>
      <c r="D1001" s="4" t="b">
        <v>0</v>
      </c>
      <c r="E1001" s="4" t="b">
        <v>0</v>
      </c>
      <c r="F1001" s="4"/>
      <c r="G1001" s="4" t="b">
        <f t="shared" si="15"/>
        <v>0</v>
      </c>
      <c r="H1001" s="4"/>
      <c r="I1001" s="4"/>
      <c r="J1001" s="4" t="s">
        <v>98</v>
      </c>
    </row>
    <row r="1002" spans="1:10" customFormat="1" ht="16" x14ac:dyDescent="0.2">
      <c r="A1002" s="6" t="s">
        <v>2048</v>
      </c>
      <c r="B1002" s="6" t="s">
        <v>2049</v>
      </c>
      <c r="C1002" s="4" t="b">
        <v>0</v>
      </c>
      <c r="D1002" s="4" t="b">
        <v>0</v>
      </c>
      <c r="E1002" s="4" t="b">
        <v>0</v>
      </c>
      <c r="F1002" s="4"/>
      <c r="G1002" s="4" t="b">
        <f t="shared" si="15"/>
        <v>0</v>
      </c>
      <c r="H1002" s="4"/>
      <c r="I1002" s="4"/>
      <c r="J1002" s="4" t="s">
        <v>98</v>
      </c>
    </row>
    <row r="1003" spans="1:10" customFormat="1" ht="16" x14ac:dyDescent="0.2">
      <c r="A1003" s="6" t="s">
        <v>2050</v>
      </c>
      <c r="B1003" s="6" t="s">
        <v>2051</v>
      </c>
      <c r="C1003" s="4" t="b">
        <v>0</v>
      </c>
      <c r="D1003" s="4" t="b">
        <v>0</v>
      </c>
      <c r="E1003" s="4" t="b">
        <v>1</v>
      </c>
      <c r="F1003" s="4"/>
      <c r="G1003" s="4" t="b">
        <f t="shared" si="15"/>
        <v>0</v>
      </c>
      <c r="H1003" s="4"/>
      <c r="I1003" s="4"/>
      <c r="J1003" s="4" t="s">
        <v>98</v>
      </c>
    </row>
    <row r="1004" spans="1:10" customFormat="1" ht="16" x14ac:dyDescent="0.2">
      <c r="A1004" s="6" t="s">
        <v>2052</v>
      </c>
      <c r="B1004" s="6" t="s">
        <v>2053</v>
      </c>
      <c r="C1004" s="4" t="b">
        <v>0</v>
      </c>
      <c r="D1004" s="4" t="b">
        <v>0</v>
      </c>
      <c r="E1004" s="4" t="b">
        <v>0</v>
      </c>
      <c r="F1004" s="4"/>
      <c r="G1004" s="4" t="b">
        <f t="shared" si="15"/>
        <v>0</v>
      </c>
      <c r="H1004" s="4"/>
      <c r="I1004" s="4"/>
      <c r="J1004" s="4" t="s">
        <v>98</v>
      </c>
    </row>
    <row r="1005" spans="1:10" customFormat="1" ht="16" x14ac:dyDescent="0.2">
      <c r="A1005" s="6" t="s">
        <v>2054</v>
      </c>
      <c r="B1005" s="6" t="s">
        <v>2055</v>
      </c>
      <c r="C1005" s="4" t="b">
        <v>0</v>
      </c>
      <c r="D1005" s="4" t="b">
        <v>0</v>
      </c>
      <c r="E1005" s="4" t="b">
        <v>0</v>
      </c>
      <c r="F1005" s="4"/>
      <c r="G1005" s="4" t="b">
        <f t="shared" si="15"/>
        <v>0</v>
      </c>
      <c r="H1005" s="4"/>
      <c r="I1005" s="4"/>
      <c r="J1005" s="4" t="s">
        <v>98</v>
      </c>
    </row>
    <row r="1006" spans="1:10" customFormat="1" ht="16" x14ac:dyDescent="0.2">
      <c r="A1006" s="6" t="s">
        <v>2056</v>
      </c>
      <c r="B1006" s="6" t="s">
        <v>2057</v>
      </c>
      <c r="C1006" s="4" t="b">
        <v>1</v>
      </c>
      <c r="D1006" s="4" t="b">
        <v>0</v>
      </c>
      <c r="E1006" s="4" t="b">
        <v>1</v>
      </c>
      <c r="F1006" s="4" t="s">
        <v>12</v>
      </c>
      <c r="G1006" s="4" t="b">
        <f t="shared" si="15"/>
        <v>1</v>
      </c>
      <c r="H1006" s="4" t="s">
        <v>3301</v>
      </c>
      <c r="I1006" s="4"/>
      <c r="J1006" s="4" t="s">
        <v>98</v>
      </c>
    </row>
    <row r="1007" spans="1:10" customFormat="1" ht="16" x14ac:dyDescent="0.2">
      <c r="A1007" s="6" t="s">
        <v>2058</v>
      </c>
      <c r="B1007" s="6" t="s">
        <v>2059</v>
      </c>
      <c r="C1007" s="4" t="b">
        <v>0</v>
      </c>
      <c r="D1007" s="4" t="b">
        <v>0</v>
      </c>
      <c r="E1007" s="4" t="b">
        <v>0</v>
      </c>
      <c r="F1007" s="4"/>
      <c r="G1007" s="4" t="b">
        <f t="shared" si="15"/>
        <v>0</v>
      </c>
      <c r="H1007" s="4"/>
      <c r="I1007" s="4"/>
      <c r="J1007" s="4" t="s">
        <v>98</v>
      </c>
    </row>
    <row r="1008" spans="1:10" customFormat="1" ht="80" x14ac:dyDescent="0.2">
      <c r="A1008" s="6" t="s">
        <v>2060</v>
      </c>
      <c r="B1008" s="6" t="s">
        <v>2061</v>
      </c>
      <c r="C1008" s="4" t="b">
        <v>1</v>
      </c>
      <c r="D1008" s="4" t="b">
        <v>0</v>
      </c>
      <c r="E1008" s="4" t="b">
        <v>1</v>
      </c>
      <c r="F1008" s="4" t="s">
        <v>12</v>
      </c>
      <c r="G1008" s="4" t="b">
        <f t="shared" si="15"/>
        <v>1</v>
      </c>
      <c r="H1008" s="4" t="s">
        <v>3299</v>
      </c>
      <c r="I1008" s="4"/>
      <c r="J1008" s="4" t="s">
        <v>98</v>
      </c>
    </row>
    <row r="1009" spans="1:10" customFormat="1" ht="16" x14ac:dyDescent="0.2">
      <c r="A1009" s="6" t="s">
        <v>2062</v>
      </c>
      <c r="B1009" s="6" t="s">
        <v>2063</v>
      </c>
      <c r="C1009" s="4" t="b">
        <v>0</v>
      </c>
      <c r="D1009" s="4" t="b">
        <v>0</v>
      </c>
      <c r="E1009" s="4" t="b">
        <v>0</v>
      </c>
      <c r="F1009" s="4"/>
      <c r="G1009" s="4" t="b">
        <f t="shared" si="15"/>
        <v>0</v>
      </c>
      <c r="H1009" s="4"/>
      <c r="I1009" s="4"/>
      <c r="J1009" s="4" t="s">
        <v>98</v>
      </c>
    </row>
    <row r="1010" spans="1:10" customFormat="1" ht="16" x14ac:dyDescent="0.2">
      <c r="A1010" s="6" t="s">
        <v>2064</v>
      </c>
      <c r="B1010" s="6" t="s">
        <v>2065</v>
      </c>
      <c r="C1010" s="4" t="b">
        <v>1</v>
      </c>
      <c r="D1010" s="4" t="b">
        <v>0</v>
      </c>
      <c r="E1010" s="4" t="b">
        <v>1</v>
      </c>
      <c r="F1010" s="4" t="s">
        <v>12</v>
      </c>
      <c r="G1010" s="4" t="b">
        <f t="shared" si="15"/>
        <v>1</v>
      </c>
      <c r="H1010" s="4" t="s">
        <v>3298</v>
      </c>
      <c r="I1010" s="4"/>
      <c r="J1010" s="4" t="s">
        <v>98</v>
      </c>
    </row>
    <row r="1011" spans="1:10" customFormat="1" ht="16" x14ac:dyDescent="0.2">
      <c r="A1011" s="6" t="s">
        <v>2066</v>
      </c>
      <c r="B1011" s="6" t="s">
        <v>2067</v>
      </c>
      <c r="C1011" s="4" t="b">
        <v>1</v>
      </c>
      <c r="D1011" s="4" t="b">
        <v>0</v>
      </c>
      <c r="E1011" s="4" t="b">
        <v>1</v>
      </c>
      <c r="F1011" s="4" t="s">
        <v>12</v>
      </c>
      <c r="G1011" s="4" t="b">
        <f t="shared" si="15"/>
        <v>1</v>
      </c>
      <c r="H1011" s="4" t="s">
        <v>3297</v>
      </c>
      <c r="I1011" s="4"/>
      <c r="J1011" s="4" t="s">
        <v>98</v>
      </c>
    </row>
    <row r="1012" spans="1:10" customFormat="1" ht="80" x14ac:dyDescent="0.2">
      <c r="A1012" s="6" t="s">
        <v>2068</v>
      </c>
      <c r="B1012" s="6" t="s">
        <v>2069</v>
      </c>
      <c r="C1012" s="4" t="b">
        <v>1</v>
      </c>
      <c r="D1012" s="4" t="b">
        <v>0</v>
      </c>
      <c r="E1012" s="4" t="b">
        <v>1</v>
      </c>
      <c r="F1012" s="4" t="s">
        <v>12</v>
      </c>
      <c r="G1012" s="4" t="b">
        <f t="shared" si="15"/>
        <v>1</v>
      </c>
      <c r="H1012" s="4" t="s">
        <v>3296</v>
      </c>
      <c r="I1012" s="4"/>
      <c r="J1012" s="4" t="s">
        <v>98</v>
      </c>
    </row>
    <row r="1013" spans="1:10" customFormat="1" ht="16" x14ac:dyDescent="0.2">
      <c r="A1013" s="6" t="s">
        <v>2070</v>
      </c>
      <c r="B1013" s="6" t="s">
        <v>2071</v>
      </c>
      <c r="C1013" s="4" t="b">
        <v>0</v>
      </c>
      <c r="D1013" s="4" t="b">
        <v>0</v>
      </c>
      <c r="E1013" s="4" t="b">
        <v>1</v>
      </c>
      <c r="F1013" s="4"/>
      <c r="G1013" s="4" t="b">
        <f t="shared" si="15"/>
        <v>0</v>
      </c>
      <c r="H1013" s="4"/>
      <c r="I1013" s="4"/>
      <c r="J1013" s="4" t="s">
        <v>98</v>
      </c>
    </row>
    <row r="1014" spans="1:10" customFormat="1" ht="32" x14ac:dyDescent="0.2">
      <c r="A1014" s="6" t="s">
        <v>2072</v>
      </c>
      <c r="B1014" s="6" t="s">
        <v>2073</v>
      </c>
      <c r="C1014" s="4" t="b">
        <v>1</v>
      </c>
      <c r="D1014" s="4" t="b">
        <v>0</v>
      </c>
      <c r="E1014" s="4" t="b">
        <v>1</v>
      </c>
      <c r="F1014" s="4" t="s">
        <v>12</v>
      </c>
      <c r="G1014" s="4" t="b">
        <f t="shared" si="15"/>
        <v>1</v>
      </c>
      <c r="H1014" s="4" t="s">
        <v>3295</v>
      </c>
      <c r="I1014" s="4"/>
      <c r="J1014" s="4" t="s">
        <v>98</v>
      </c>
    </row>
    <row r="1015" spans="1:10" customFormat="1" ht="16" x14ac:dyDescent="0.2">
      <c r="A1015" s="6" t="s">
        <v>2074</v>
      </c>
      <c r="B1015" s="6" t="s">
        <v>2075</v>
      </c>
      <c r="C1015" s="4" t="b">
        <v>0</v>
      </c>
      <c r="D1015" s="4" t="b">
        <v>0</v>
      </c>
      <c r="E1015" s="4" t="b">
        <v>0</v>
      </c>
      <c r="F1015" s="4"/>
      <c r="G1015" s="4" t="b">
        <f t="shared" si="15"/>
        <v>0</v>
      </c>
      <c r="H1015" s="4"/>
      <c r="I1015" s="4"/>
      <c r="J1015" s="4" t="s">
        <v>98</v>
      </c>
    </row>
    <row r="1016" spans="1:10" customFormat="1" ht="16" x14ac:dyDescent="0.2">
      <c r="A1016" s="6" t="s">
        <v>2076</v>
      </c>
      <c r="B1016" s="6" t="s">
        <v>2077</v>
      </c>
      <c r="C1016" s="4" t="b">
        <v>0</v>
      </c>
      <c r="D1016" s="4" t="b">
        <v>0</v>
      </c>
      <c r="E1016" s="4" t="b">
        <v>1</v>
      </c>
      <c r="F1016" s="4"/>
      <c r="G1016" s="4" t="b">
        <f t="shared" si="15"/>
        <v>0</v>
      </c>
      <c r="H1016" s="4"/>
      <c r="I1016" s="4"/>
      <c r="J1016" s="4" t="s">
        <v>98</v>
      </c>
    </row>
    <row r="1017" spans="1:10" customFormat="1" ht="16" x14ac:dyDescent="0.2">
      <c r="A1017" s="6" t="s">
        <v>2078</v>
      </c>
      <c r="B1017" s="6" t="s">
        <v>2079</v>
      </c>
      <c r="C1017" s="4" t="b">
        <v>0</v>
      </c>
      <c r="D1017" s="4" t="b">
        <v>0</v>
      </c>
      <c r="E1017" s="4" t="b">
        <v>0</v>
      </c>
      <c r="F1017" s="4"/>
      <c r="G1017" s="4" t="b">
        <f t="shared" si="15"/>
        <v>0</v>
      </c>
      <c r="H1017" s="4"/>
      <c r="I1017" s="4"/>
      <c r="J1017" s="4" t="s">
        <v>98</v>
      </c>
    </row>
    <row r="1018" spans="1:10" customFormat="1" ht="16" x14ac:dyDescent="0.2">
      <c r="A1018" s="6" t="s">
        <v>2080</v>
      </c>
      <c r="B1018" s="6" t="s">
        <v>2081</v>
      </c>
      <c r="C1018" s="4" t="b">
        <v>0</v>
      </c>
      <c r="D1018" s="4" t="b">
        <v>0</v>
      </c>
      <c r="E1018" s="4" t="b">
        <v>0</v>
      </c>
      <c r="F1018" s="4"/>
      <c r="G1018" s="4" t="b">
        <f t="shared" si="15"/>
        <v>0</v>
      </c>
      <c r="H1018" s="4"/>
      <c r="I1018" s="4"/>
      <c r="J1018" s="4" t="s">
        <v>98</v>
      </c>
    </row>
    <row r="1019" spans="1:10" customFormat="1" ht="96" x14ac:dyDescent="0.2">
      <c r="A1019" s="6" t="s">
        <v>2082</v>
      </c>
      <c r="B1019" s="6" t="s">
        <v>2083</v>
      </c>
      <c r="C1019" s="4" t="b">
        <v>1</v>
      </c>
      <c r="D1019" s="4" t="b">
        <v>0</v>
      </c>
      <c r="E1019" s="4" t="b">
        <v>1</v>
      </c>
      <c r="F1019" s="4" t="s">
        <v>12</v>
      </c>
      <c r="G1019" s="4" t="b">
        <f t="shared" si="15"/>
        <v>1</v>
      </c>
      <c r="H1019" s="4" t="s">
        <v>3294</v>
      </c>
      <c r="I1019" s="4"/>
      <c r="J1019" s="4" t="s">
        <v>98</v>
      </c>
    </row>
    <row r="1020" spans="1:10" customFormat="1" ht="16" x14ac:dyDescent="0.2">
      <c r="A1020" s="6" t="s">
        <v>2084</v>
      </c>
      <c r="B1020" s="6" t="s">
        <v>2085</v>
      </c>
      <c r="C1020" s="4" t="b">
        <v>0</v>
      </c>
      <c r="D1020" s="4" t="b">
        <v>0</v>
      </c>
      <c r="E1020" s="4" t="b">
        <v>0</v>
      </c>
      <c r="F1020" s="4"/>
      <c r="G1020" s="4" t="b">
        <f t="shared" si="15"/>
        <v>0</v>
      </c>
      <c r="H1020" s="4"/>
      <c r="I1020" s="4"/>
      <c r="J1020" s="4" t="s">
        <v>98</v>
      </c>
    </row>
    <row r="1021" spans="1:10" customFormat="1" ht="16" x14ac:dyDescent="0.2">
      <c r="A1021" s="6" t="s">
        <v>2086</v>
      </c>
      <c r="B1021" s="6" t="s">
        <v>2087</v>
      </c>
      <c r="C1021" s="4" t="b">
        <v>0</v>
      </c>
      <c r="D1021" s="4" t="b">
        <v>0</v>
      </c>
      <c r="E1021" s="4" t="b">
        <v>0</v>
      </c>
      <c r="F1021" s="4"/>
      <c r="G1021" s="4" t="b">
        <f t="shared" si="15"/>
        <v>0</v>
      </c>
      <c r="H1021" s="4"/>
      <c r="I1021" s="4"/>
      <c r="J1021" s="4" t="s">
        <v>98</v>
      </c>
    </row>
    <row r="1022" spans="1:10" customFormat="1" ht="16" x14ac:dyDescent="0.2">
      <c r="A1022" s="6" t="s">
        <v>2088</v>
      </c>
      <c r="B1022" s="6" t="s">
        <v>2089</v>
      </c>
      <c r="C1022" s="4" t="b">
        <v>0</v>
      </c>
      <c r="D1022" s="4" t="b">
        <v>0</v>
      </c>
      <c r="E1022" s="4" t="b">
        <v>1</v>
      </c>
      <c r="F1022" s="4"/>
      <c r="G1022" s="4" t="b">
        <f t="shared" si="15"/>
        <v>0</v>
      </c>
      <c r="H1022" s="4"/>
      <c r="I1022" s="4"/>
      <c r="J1022" s="4" t="s">
        <v>98</v>
      </c>
    </row>
    <row r="1023" spans="1:10" customFormat="1" ht="16" x14ac:dyDescent="0.2">
      <c r="A1023" s="6" t="s">
        <v>2090</v>
      </c>
      <c r="B1023" s="6" t="s">
        <v>2091</v>
      </c>
      <c r="C1023" s="4" t="b">
        <v>0</v>
      </c>
      <c r="D1023" s="4" t="b">
        <v>0</v>
      </c>
      <c r="E1023" s="4" t="b">
        <v>0</v>
      </c>
      <c r="F1023" s="4"/>
      <c r="G1023" s="4" t="b">
        <f t="shared" si="15"/>
        <v>0</v>
      </c>
      <c r="H1023" s="4"/>
      <c r="I1023" s="4"/>
      <c r="J1023" s="4" t="s">
        <v>98</v>
      </c>
    </row>
    <row r="1024" spans="1:10" customFormat="1" ht="96" x14ac:dyDescent="0.2">
      <c r="A1024" s="6" t="s">
        <v>2092</v>
      </c>
      <c r="B1024" s="6" t="s">
        <v>2093</v>
      </c>
      <c r="C1024" s="4" t="b">
        <v>1</v>
      </c>
      <c r="D1024" s="4" t="b">
        <v>0</v>
      </c>
      <c r="E1024" s="4" t="b">
        <v>1</v>
      </c>
      <c r="F1024" s="4" t="s">
        <v>12</v>
      </c>
      <c r="G1024" s="4" t="b">
        <f t="shared" si="15"/>
        <v>1</v>
      </c>
      <c r="H1024" s="4" t="s">
        <v>3293</v>
      </c>
      <c r="I1024" s="4"/>
      <c r="J1024" s="4" t="s">
        <v>98</v>
      </c>
    </row>
    <row r="1025" spans="1:10" customFormat="1" ht="96" x14ac:dyDescent="0.2">
      <c r="A1025" s="6" t="s">
        <v>2094</v>
      </c>
      <c r="B1025" s="6" t="s">
        <v>2095</v>
      </c>
      <c r="C1025" s="4" t="b">
        <v>1</v>
      </c>
      <c r="D1025" s="4" t="b">
        <v>0</v>
      </c>
      <c r="E1025" s="4" t="b">
        <v>1</v>
      </c>
      <c r="F1025" s="4" t="s">
        <v>12</v>
      </c>
      <c r="G1025" s="4" t="b">
        <f t="shared" si="15"/>
        <v>1</v>
      </c>
      <c r="H1025" s="4" t="s">
        <v>3292</v>
      </c>
      <c r="I1025" s="4"/>
      <c r="J1025" s="4" t="s">
        <v>98</v>
      </c>
    </row>
    <row r="1026" spans="1:10" customFormat="1" ht="32" x14ac:dyDescent="0.2">
      <c r="A1026" s="6" t="s">
        <v>2096</v>
      </c>
      <c r="B1026" s="6" t="s">
        <v>2097</v>
      </c>
      <c r="C1026" s="4" t="b">
        <v>1</v>
      </c>
      <c r="D1026" s="4" t="b">
        <v>0</v>
      </c>
      <c r="E1026" s="4" t="b">
        <v>1</v>
      </c>
      <c r="F1026" s="4" t="s">
        <v>12</v>
      </c>
      <c r="G1026" s="4" t="b">
        <f t="shared" ref="G1026:G1089" si="16">IF(F1026="✔", TRUE, FALSE)</f>
        <v>1</v>
      </c>
      <c r="H1026" s="4" t="s">
        <v>3291</v>
      </c>
      <c r="I1026" s="4"/>
      <c r="J1026" s="4" t="s">
        <v>98</v>
      </c>
    </row>
    <row r="1027" spans="1:10" customFormat="1" ht="16" x14ac:dyDescent="0.2">
      <c r="A1027" s="6" t="s">
        <v>2098</v>
      </c>
      <c r="B1027" s="6" t="s">
        <v>2099</v>
      </c>
      <c r="C1027" s="4" t="b">
        <v>0</v>
      </c>
      <c r="D1027" s="4" t="b">
        <v>0</v>
      </c>
      <c r="E1027" s="4" t="b">
        <v>0</v>
      </c>
      <c r="F1027" s="4"/>
      <c r="G1027" s="4" t="b">
        <f t="shared" si="16"/>
        <v>0</v>
      </c>
      <c r="H1027" s="4"/>
      <c r="I1027" s="4"/>
      <c r="J1027" s="4" t="s">
        <v>98</v>
      </c>
    </row>
    <row r="1028" spans="1:10" customFormat="1" ht="16" x14ac:dyDescent="0.2">
      <c r="A1028" s="6" t="s">
        <v>2100</v>
      </c>
      <c r="B1028" s="6" t="s">
        <v>2101</v>
      </c>
      <c r="C1028" s="4" t="b">
        <v>0</v>
      </c>
      <c r="D1028" s="4" t="b">
        <v>0</v>
      </c>
      <c r="E1028" s="4" t="b">
        <v>0</v>
      </c>
      <c r="F1028" s="4"/>
      <c r="G1028" s="4" t="b">
        <f t="shared" si="16"/>
        <v>0</v>
      </c>
      <c r="H1028" s="4"/>
      <c r="I1028" s="4"/>
      <c r="J1028" s="4" t="s">
        <v>98</v>
      </c>
    </row>
    <row r="1029" spans="1:10" customFormat="1" ht="16" x14ac:dyDescent="0.2">
      <c r="A1029" s="6" t="s">
        <v>2102</v>
      </c>
      <c r="B1029" s="6" t="s">
        <v>2103</v>
      </c>
      <c r="C1029" s="4" t="b">
        <v>0</v>
      </c>
      <c r="D1029" s="4" t="b">
        <v>0</v>
      </c>
      <c r="E1029" s="4" t="b">
        <v>1</v>
      </c>
      <c r="F1029" s="4"/>
      <c r="G1029" s="4" t="b">
        <f t="shared" si="16"/>
        <v>0</v>
      </c>
      <c r="H1029" s="4"/>
      <c r="I1029" s="4"/>
      <c r="J1029" s="4" t="s">
        <v>98</v>
      </c>
    </row>
    <row r="1030" spans="1:10" customFormat="1" ht="16" x14ac:dyDescent="0.2">
      <c r="A1030" s="6" t="s">
        <v>2104</v>
      </c>
      <c r="B1030" s="6" t="s">
        <v>2105</v>
      </c>
      <c r="C1030" s="4" t="b">
        <v>0</v>
      </c>
      <c r="D1030" s="4" t="b">
        <v>0</v>
      </c>
      <c r="E1030" s="4" t="b">
        <v>1</v>
      </c>
      <c r="F1030" s="4"/>
      <c r="G1030" s="4" t="b">
        <f t="shared" si="16"/>
        <v>0</v>
      </c>
      <c r="H1030" s="4"/>
      <c r="I1030" s="4"/>
      <c r="J1030" s="4" t="s">
        <v>98</v>
      </c>
    </row>
    <row r="1031" spans="1:10" customFormat="1" ht="16" x14ac:dyDescent="0.2">
      <c r="A1031" s="6" t="s">
        <v>2106</v>
      </c>
      <c r="B1031" s="6" t="s">
        <v>2107</v>
      </c>
      <c r="C1031" s="4" t="b">
        <v>0</v>
      </c>
      <c r="D1031" s="4" t="b">
        <v>0</v>
      </c>
      <c r="E1031" s="4" t="b">
        <v>1</v>
      </c>
      <c r="F1031" s="4"/>
      <c r="G1031" s="4" t="b">
        <f t="shared" si="16"/>
        <v>0</v>
      </c>
      <c r="H1031" s="4"/>
      <c r="I1031" s="4"/>
      <c r="J1031" s="4" t="s">
        <v>98</v>
      </c>
    </row>
    <row r="1032" spans="1:10" customFormat="1" ht="16" x14ac:dyDescent="0.2">
      <c r="A1032" s="6" t="s">
        <v>2108</v>
      </c>
      <c r="B1032" s="6" t="s">
        <v>2109</v>
      </c>
      <c r="C1032" s="4" t="b">
        <v>0</v>
      </c>
      <c r="D1032" s="4" t="b">
        <v>0</v>
      </c>
      <c r="E1032" s="4" t="b">
        <v>1</v>
      </c>
      <c r="F1032" s="4"/>
      <c r="G1032" s="4" t="b">
        <f t="shared" si="16"/>
        <v>0</v>
      </c>
      <c r="H1032" s="4"/>
      <c r="I1032" s="4"/>
      <c r="J1032" s="4" t="s">
        <v>98</v>
      </c>
    </row>
    <row r="1033" spans="1:10" customFormat="1" ht="16" x14ac:dyDescent="0.2">
      <c r="A1033" s="6" t="s">
        <v>2110</v>
      </c>
      <c r="B1033" s="6" t="s">
        <v>2111</v>
      </c>
      <c r="C1033" s="4" t="b">
        <v>0</v>
      </c>
      <c r="D1033" s="4" t="b">
        <v>0</v>
      </c>
      <c r="E1033" s="4" t="b">
        <v>0</v>
      </c>
      <c r="F1033" s="4"/>
      <c r="G1033" s="4" t="b">
        <f t="shared" si="16"/>
        <v>0</v>
      </c>
      <c r="H1033" s="4"/>
      <c r="I1033" s="4"/>
      <c r="J1033" s="4" t="s">
        <v>98</v>
      </c>
    </row>
    <row r="1034" spans="1:10" customFormat="1" ht="16" x14ac:dyDescent="0.2">
      <c r="A1034" s="6" t="s">
        <v>2112</v>
      </c>
      <c r="B1034" s="6" t="s">
        <v>2113</v>
      </c>
      <c r="C1034" s="4" t="b">
        <v>0</v>
      </c>
      <c r="D1034" s="4" t="b">
        <v>0</v>
      </c>
      <c r="E1034" s="4" t="b">
        <v>0</v>
      </c>
      <c r="F1034" s="4"/>
      <c r="G1034" s="4" t="b">
        <f t="shared" si="16"/>
        <v>0</v>
      </c>
      <c r="H1034" s="4"/>
      <c r="I1034" s="4"/>
      <c r="J1034" s="4" t="s">
        <v>98</v>
      </c>
    </row>
    <row r="1035" spans="1:10" customFormat="1" ht="80" x14ac:dyDescent="0.2">
      <c r="A1035" s="6" t="s">
        <v>2114</v>
      </c>
      <c r="B1035" s="6" t="s">
        <v>2115</v>
      </c>
      <c r="C1035" s="4" t="b">
        <v>1</v>
      </c>
      <c r="D1035" s="4" t="b">
        <v>0</v>
      </c>
      <c r="E1035" s="4" t="b">
        <v>1</v>
      </c>
      <c r="F1035" s="4" t="s">
        <v>12</v>
      </c>
      <c r="G1035" s="4" t="b">
        <f t="shared" si="16"/>
        <v>1</v>
      </c>
      <c r="H1035" s="4" t="s">
        <v>3290</v>
      </c>
      <c r="I1035" s="4"/>
      <c r="J1035" s="4" t="s">
        <v>98</v>
      </c>
    </row>
    <row r="1036" spans="1:10" customFormat="1" ht="64" x14ac:dyDescent="0.2">
      <c r="A1036" s="6" t="s">
        <v>2116</v>
      </c>
      <c r="B1036" s="6" t="s">
        <v>2117</v>
      </c>
      <c r="C1036" s="4" t="b">
        <v>1</v>
      </c>
      <c r="D1036" s="4" t="b">
        <v>0</v>
      </c>
      <c r="E1036" s="4" t="b">
        <v>1</v>
      </c>
      <c r="F1036" s="4" t="s">
        <v>12</v>
      </c>
      <c r="G1036" s="4" t="b">
        <f t="shared" si="16"/>
        <v>1</v>
      </c>
      <c r="H1036" s="4" t="s">
        <v>3289</v>
      </c>
      <c r="I1036" s="4"/>
      <c r="J1036" s="4" t="s">
        <v>98</v>
      </c>
    </row>
    <row r="1037" spans="1:10" customFormat="1" ht="32" x14ac:dyDescent="0.2">
      <c r="A1037" s="6" t="s">
        <v>2118</v>
      </c>
      <c r="B1037" s="6" t="s">
        <v>2119</v>
      </c>
      <c r="C1037" s="4" t="b">
        <v>1</v>
      </c>
      <c r="D1037" s="4" t="b">
        <v>1</v>
      </c>
      <c r="E1037" s="4" t="b">
        <v>1</v>
      </c>
      <c r="F1037" s="4" t="s">
        <v>12</v>
      </c>
      <c r="G1037" s="4" t="b">
        <f t="shared" si="16"/>
        <v>1</v>
      </c>
      <c r="H1037" s="4" t="s">
        <v>3288</v>
      </c>
      <c r="I1037" s="4"/>
      <c r="J1037" s="4" t="s">
        <v>98</v>
      </c>
    </row>
    <row r="1038" spans="1:10" customFormat="1" ht="16" x14ac:dyDescent="0.2">
      <c r="A1038" s="6" t="s">
        <v>2120</v>
      </c>
      <c r="B1038" s="6" t="s">
        <v>2121</v>
      </c>
      <c r="C1038" s="4" t="b">
        <v>0</v>
      </c>
      <c r="D1038" s="4" t="b">
        <v>0</v>
      </c>
      <c r="E1038" s="4" t="b">
        <v>1</v>
      </c>
      <c r="F1038" s="4"/>
      <c r="G1038" s="4" t="b">
        <f t="shared" si="16"/>
        <v>0</v>
      </c>
      <c r="H1038" s="4"/>
      <c r="I1038" s="4"/>
      <c r="J1038" s="4" t="s">
        <v>98</v>
      </c>
    </row>
    <row r="1039" spans="1:10" customFormat="1" ht="48" x14ac:dyDescent="0.2">
      <c r="A1039" s="6" t="s">
        <v>2122</v>
      </c>
      <c r="B1039" s="6" t="s">
        <v>2123</v>
      </c>
      <c r="C1039" s="4" t="b">
        <v>1</v>
      </c>
      <c r="D1039" s="4" t="b">
        <v>0</v>
      </c>
      <c r="E1039" s="4" t="b">
        <v>1</v>
      </c>
      <c r="F1039" s="4" t="s">
        <v>12</v>
      </c>
      <c r="G1039" s="4" t="b">
        <f t="shared" si="16"/>
        <v>1</v>
      </c>
      <c r="H1039" s="4" t="s">
        <v>3287</v>
      </c>
      <c r="I1039" s="4"/>
      <c r="J1039" s="4" t="s">
        <v>98</v>
      </c>
    </row>
    <row r="1040" spans="1:10" customFormat="1" ht="16" x14ac:dyDescent="0.2">
      <c r="A1040" s="6" t="s">
        <v>2124</v>
      </c>
      <c r="B1040" s="6" t="s">
        <v>2125</v>
      </c>
      <c r="C1040" s="4" t="b">
        <v>0</v>
      </c>
      <c r="D1040" s="4" t="b">
        <v>0</v>
      </c>
      <c r="E1040" s="4" t="b">
        <v>1</v>
      </c>
      <c r="F1040" s="4"/>
      <c r="G1040" s="4" t="b">
        <f t="shared" si="16"/>
        <v>0</v>
      </c>
      <c r="H1040" s="4"/>
      <c r="I1040" s="4"/>
      <c r="J1040" s="4" t="s">
        <v>98</v>
      </c>
    </row>
    <row r="1041" spans="1:11" ht="16" x14ac:dyDescent="0.2">
      <c r="A1041" s="6" t="s">
        <v>2126</v>
      </c>
      <c r="B1041" s="6" t="s">
        <v>2127</v>
      </c>
      <c r="C1041" s="4" t="b">
        <v>1</v>
      </c>
      <c r="D1041" s="4" t="b">
        <v>0</v>
      </c>
      <c r="E1041" s="4" t="b">
        <v>1</v>
      </c>
      <c r="F1041" s="4" t="s">
        <v>12</v>
      </c>
      <c r="G1041" s="4" t="b">
        <f t="shared" si="16"/>
        <v>1</v>
      </c>
      <c r="H1041" s="4" t="s">
        <v>3286</v>
      </c>
      <c r="I1041" s="4"/>
      <c r="J1041" s="4" t="s">
        <v>98</v>
      </c>
      <c r="K1041"/>
    </row>
    <row r="1042" spans="1:11" ht="16" x14ac:dyDescent="0.2">
      <c r="A1042" s="6" t="s">
        <v>2128</v>
      </c>
      <c r="B1042" s="6" t="s">
        <v>2129</v>
      </c>
      <c r="C1042" s="4" t="b">
        <v>0</v>
      </c>
      <c r="D1042" s="4" t="b">
        <v>0</v>
      </c>
      <c r="E1042" s="4" t="b">
        <v>1</v>
      </c>
      <c r="F1042" s="4"/>
      <c r="G1042" s="4" t="b">
        <f t="shared" si="16"/>
        <v>0</v>
      </c>
      <c r="H1042" s="4"/>
      <c r="I1042" s="4"/>
      <c r="J1042" s="4" t="s">
        <v>98</v>
      </c>
      <c r="K1042"/>
    </row>
    <row r="1043" spans="1:11" ht="16" x14ac:dyDescent="0.2">
      <c r="A1043" s="6" t="s">
        <v>2130</v>
      </c>
      <c r="B1043" s="6" t="s">
        <v>2131</v>
      </c>
      <c r="C1043" s="4" t="b">
        <v>1</v>
      </c>
      <c r="D1043" s="4" t="b">
        <v>0</v>
      </c>
      <c r="E1043" s="4" t="b">
        <v>1</v>
      </c>
      <c r="F1043" s="4" t="s">
        <v>12</v>
      </c>
      <c r="G1043" s="4" t="b">
        <f t="shared" si="16"/>
        <v>1</v>
      </c>
      <c r="H1043" s="4" t="s">
        <v>3285</v>
      </c>
      <c r="I1043" s="4"/>
      <c r="J1043" s="4" t="s">
        <v>98</v>
      </c>
      <c r="K1043"/>
    </row>
    <row r="1044" spans="1:11" ht="16" x14ac:dyDescent="0.2">
      <c r="A1044" s="6" t="s">
        <v>2132</v>
      </c>
      <c r="B1044" s="6" t="s">
        <v>2133</v>
      </c>
      <c r="C1044" s="4" t="b">
        <v>0</v>
      </c>
      <c r="D1044" s="4" t="b">
        <v>0</v>
      </c>
      <c r="E1044" s="4" t="b">
        <v>1</v>
      </c>
      <c r="F1044" s="4"/>
      <c r="G1044" s="4" t="b">
        <f t="shared" si="16"/>
        <v>0</v>
      </c>
      <c r="H1044" s="4"/>
      <c r="I1044" s="4"/>
      <c r="J1044" s="4" t="s">
        <v>98</v>
      </c>
      <c r="K1044"/>
    </row>
    <row r="1045" spans="1:11" ht="160" x14ac:dyDescent="0.2">
      <c r="A1045" s="6" t="s">
        <v>2134</v>
      </c>
      <c r="B1045" s="6" t="s">
        <v>2135</v>
      </c>
      <c r="C1045" s="4" t="b">
        <v>1</v>
      </c>
      <c r="D1045" s="4" t="b">
        <v>1</v>
      </c>
      <c r="E1045" s="4" t="b">
        <v>1</v>
      </c>
      <c r="F1045" s="4" t="s">
        <v>12</v>
      </c>
      <c r="G1045" s="4" t="b">
        <f t="shared" si="16"/>
        <v>1</v>
      </c>
      <c r="H1045" s="4" t="s">
        <v>3284</v>
      </c>
      <c r="I1045" s="4"/>
      <c r="J1045" s="4" t="s">
        <v>98</v>
      </c>
      <c r="K1045"/>
    </row>
    <row r="1046" spans="1:11" ht="16" x14ac:dyDescent="0.2">
      <c r="A1046" s="6" t="s">
        <v>2136</v>
      </c>
      <c r="B1046" s="6" t="s">
        <v>2137</v>
      </c>
      <c r="C1046" s="4" t="b">
        <v>0</v>
      </c>
      <c r="D1046" s="4" t="b">
        <v>0</v>
      </c>
      <c r="E1046" s="4" t="b">
        <v>0</v>
      </c>
      <c r="F1046" s="4"/>
      <c r="G1046" s="4" t="b">
        <f t="shared" si="16"/>
        <v>0</v>
      </c>
      <c r="H1046" s="4"/>
      <c r="I1046" s="4"/>
      <c r="J1046" s="4" t="s">
        <v>98</v>
      </c>
      <c r="K1046"/>
    </row>
    <row r="1047" spans="1:11" ht="80" x14ac:dyDescent="0.2">
      <c r="A1047" s="6" t="s">
        <v>2138</v>
      </c>
      <c r="B1047" s="6" t="s">
        <v>2139</v>
      </c>
      <c r="C1047" s="4" t="b">
        <v>1</v>
      </c>
      <c r="D1047" s="4" t="b">
        <v>0</v>
      </c>
      <c r="E1047" s="4" t="b">
        <v>1</v>
      </c>
      <c r="F1047" s="4" t="s">
        <v>12</v>
      </c>
      <c r="G1047" s="4" t="b">
        <f t="shared" si="16"/>
        <v>1</v>
      </c>
      <c r="H1047" s="4" t="s">
        <v>3283</v>
      </c>
      <c r="I1047" s="4"/>
      <c r="J1047" s="4" t="s">
        <v>98</v>
      </c>
      <c r="K1047"/>
    </row>
    <row r="1048" spans="1:11" ht="16" x14ac:dyDescent="0.2">
      <c r="A1048" s="6" t="s">
        <v>2140</v>
      </c>
      <c r="B1048" s="6" t="s">
        <v>2141</v>
      </c>
      <c r="C1048" s="4" t="b">
        <v>0</v>
      </c>
      <c r="D1048" s="4" t="b">
        <v>0</v>
      </c>
      <c r="E1048" s="4" t="b">
        <v>0</v>
      </c>
      <c r="F1048" s="4"/>
      <c r="G1048" s="4" t="b">
        <f t="shared" si="16"/>
        <v>0</v>
      </c>
      <c r="H1048" s="4"/>
      <c r="I1048" s="4"/>
      <c r="J1048" s="4" t="s">
        <v>98</v>
      </c>
      <c r="K1048"/>
    </row>
    <row r="1049" spans="1:11" ht="64" x14ac:dyDescent="0.2">
      <c r="A1049" s="6" t="s">
        <v>2142</v>
      </c>
      <c r="B1049" s="6" t="s">
        <v>2143</v>
      </c>
      <c r="C1049" s="4" t="b">
        <v>1</v>
      </c>
      <c r="D1049" s="4" t="b">
        <v>1</v>
      </c>
      <c r="E1049" s="4" t="b">
        <v>1</v>
      </c>
      <c r="F1049" s="4" t="s">
        <v>12</v>
      </c>
      <c r="G1049" s="4" t="b">
        <f t="shared" si="16"/>
        <v>1</v>
      </c>
      <c r="H1049" s="4" t="s">
        <v>3032</v>
      </c>
      <c r="I1049" s="4"/>
      <c r="J1049" s="4" t="s">
        <v>94</v>
      </c>
    </row>
    <row r="1050" spans="1:11" ht="16" x14ac:dyDescent="0.2">
      <c r="A1050" s="6" t="s">
        <v>2144</v>
      </c>
      <c r="B1050" s="6" t="s">
        <v>2145</v>
      </c>
      <c r="C1050" s="4" t="b">
        <v>0</v>
      </c>
      <c r="D1050" s="4" t="b">
        <v>0</v>
      </c>
      <c r="E1050" s="4" t="b">
        <v>1</v>
      </c>
      <c r="F1050" s="4"/>
      <c r="G1050" s="4" t="b">
        <f t="shared" si="16"/>
        <v>0</v>
      </c>
      <c r="H1050" s="4"/>
      <c r="I1050" s="4"/>
      <c r="J1050" s="4" t="s">
        <v>94</v>
      </c>
      <c r="K1050"/>
    </row>
    <row r="1051" spans="1:11" ht="16" x14ac:dyDescent="0.2">
      <c r="A1051" s="6" t="s">
        <v>2146</v>
      </c>
      <c r="B1051" s="6" t="s">
        <v>2147</v>
      </c>
      <c r="C1051" s="4" t="b">
        <v>1</v>
      </c>
      <c r="D1051" s="4" t="b">
        <v>0</v>
      </c>
      <c r="E1051" s="4" t="b">
        <v>1</v>
      </c>
      <c r="F1051" s="4" t="s">
        <v>12</v>
      </c>
      <c r="G1051" s="4" t="b">
        <f t="shared" si="16"/>
        <v>1</v>
      </c>
      <c r="H1051" s="4"/>
      <c r="I1051" s="4"/>
      <c r="J1051" s="4" t="s">
        <v>94</v>
      </c>
    </row>
    <row r="1052" spans="1:11" ht="16" x14ac:dyDescent="0.2">
      <c r="A1052" s="6" t="s">
        <v>2148</v>
      </c>
      <c r="B1052" s="6" t="s">
        <v>2149</v>
      </c>
      <c r="C1052" s="4" t="b">
        <v>1</v>
      </c>
      <c r="D1052" s="4" t="b">
        <v>1</v>
      </c>
      <c r="E1052" s="4" t="b">
        <v>1</v>
      </c>
      <c r="F1052" s="4" t="s">
        <v>12</v>
      </c>
      <c r="G1052" s="4" t="b">
        <f t="shared" si="16"/>
        <v>1</v>
      </c>
      <c r="H1052" s="4" t="s">
        <v>3031</v>
      </c>
      <c r="I1052" s="4"/>
      <c r="J1052" s="4" t="s">
        <v>94</v>
      </c>
    </row>
    <row r="1053" spans="1:11" ht="16" x14ac:dyDescent="0.2">
      <c r="A1053" s="6" t="s">
        <v>2150</v>
      </c>
      <c r="B1053" s="6" t="s">
        <v>2151</v>
      </c>
      <c r="C1053" s="4" t="b">
        <v>0</v>
      </c>
      <c r="D1053" s="4" t="b">
        <v>0</v>
      </c>
      <c r="E1053" s="4" t="b">
        <v>0</v>
      </c>
      <c r="F1053" s="4"/>
      <c r="G1053" s="4" t="b">
        <f t="shared" si="16"/>
        <v>0</v>
      </c>
      <c r="H1053" s="4"/>
      <c r="I1053" s="4"/>
      <c r="J1053" s="4" t="s">
        <v>94</v>
      </c>
      <c r="K1053"/>
    </row>
    <row r="1054" spans="1:11" ht="80" x14ac:dyDescent="0.2">
      <c r="A1054" s="6" t="s">
        <v>2152</v>
      </c>
      <c r="B1054" s="6" t="s">
        <v>2153</v>
      </c>
      <c r="C1054" s="4" t="b">
        <v>1</v>
      </c>
      <c r="D1054" s="4" t="b">
        <v>0</v>
      </c>
      <c r="E1054" s="4" t="b">
        <v>1</v>
      </c>
      <c r="F1054" s="4" t="s">
        <v>12</v>
      </c>
      <c r="G1054" s="4" t="b">
        <f t="shared" si="16"/>
        <v>1</v>
      </c>
      <c r="H1054" s="4" t="s">
        <v>3030</v>
      </c>
      <c r="I1054" s="4"/>
      <c r="J1054" s="4" t="s">
        <v>94</v>
      </c>
    </row>
    <row r="1055" spans="1:11" ht="16" x14ac:dyDescent="0.2">
      <c r="A1055" s="6" t="s">
        <v>2154</v>
      </c>
      <c r="B1055" s="6" t="s">
        <v>2155</v>
      </c>
      <c r="C1055" s="4" t="b">
        <v>0</v>
      </c>
      <c r="D1055" s="4" t="b">
        <v>0</v>
      </c>
      <c r="E1055" s="4" t="b">
        <v>0</v>
      </c>
      <c r="F1055" s="4"/>
      <c r="G1055" s="4" t="b">
        <f t="shared" si="16"/>
        <v>0</v>
      </c>
      <c r="H1055" s="4"/>
      <c r="I1055" s="4"/>
      <c r="J1055" s="4" t="s">
        <v>94</v>
      </c>
      <c r="K1055"/>
    </row>
    <row r="1056" spans="1:11" ht="16" x14ac:dyDescent="0.2">
      <c r="A1056" s="6" t="s">
        <v>2156</v>
      </c>
      <c r="B1056" s="6" t="s">
        <v>2157</v>
      </c>
      <c r="C1056" s="4" t="b">
        <v>0</v>
      </c>
      <c r="D1056" s="4" t="b">
        <v>0</v>
      </c>
      <c r="E1056" s="4" t="b">
        <v>0</v>
      </c>
      <c r="F1056" s="4"/>
      <c r="G1056" s="4" t="b">
        <f t="shared" si="16"/>
        <v>0</v>
      </c>
      <c r="H1056" s="4"/>
      <c r="I1056" s="4"/>
      <c r="J1056" s="4" t="s">
        <v>94</v>
      </c>
      <c r="K1056"/>
    </row>
    <row r="1057" spans="1:11" ht="80" x14ac:dyDescent="0.2">
      <c r="A1057" s="6" t="s">
        <v>2158</v>
      </c>
      <c r="B1057" s="6" t="s">
        <v>2159</v>
      </c>
      <c r="C1057" s="4" t="b">
        <v>1</v>
      </c>
      <c r="D1057" s="4" t="b">
        <v>0</v>
      </c>
      <c r="E1057" s="4" t="b">
        <v>1</v>
      </c>
      <c r="F1057" s="4" t="s">
        <v>12</v>
      </c>
      <c r="G1057" s="4" t="b">
        <f t="shared" si="16"/>
        <v>1</v>
      </c>
      <c r="H1057" s="4" t="s">
        <v>3029</v>
      </c>
      <c r="I1057" s="4"/>
      <c r="J1057" s="4" t="s">
        <v>94</v>
      </c>
      <c r="K1057" s="1" t="s">
        <v>2998</v>
      </c>
    </row>
    <row r="1058" spans="1:11" ht="48" x14ac:dyDescent="0.2">
      <c r="A1058" s="6" t="s">
        <v>2160</v>
      </c>
      <c r="B1058" s="6" t="s">
        <v>2161</v>
      </c>
      <c r="C1058" s="4" t="b">
        <v>1</v>
      </c>
      <c r="D1058" s="4" t="b">
        <v>0</v>
      </c>
      <c r="E1058" s="4" t="b">
        <v>1</v>
      </c>
      <c r="F1058" s="4" t="s">
        <v>12</v>
      </c>
      <c r="G1058" s="4" t="b">
        <f t="shared" si="16"/>
        <v>1</v>
      </c>
      <c r="H1058" s="4" t="s">
        <v>3028</v>
      </c>
      <c r="I1058" s="4"/>
      <c r="J1058" s="4" t="s">
        <v>94</v>
      </c>
    </row>
    <row r="1059" spans="1:11" ht="16" x14ac:dyDescent="0.2">
      <c r="A1059" s="6" t="s">
        <v>2162</v>
      </c>
      <c r="B1059" s="6" t="s">
        <v>2163</v>
      </c>
      <c r="C1059" s="4" t="b">
        <v>0</v>
      </c>
      <c r="D1059" s="4" t="b">
        <v>0</v>
      </c>
      <c r="E1059" s="4" t="b">
        <v>0</v>
      </c>
      <c r="F1059" s="4"/>
      <c r="G1059" s="4" t="b">
        <f t="shared" si="16"/>
        <v>0</v>
      </c>
      <c r="H1059" s="4"/>
      <c r="I1059" s="4"/>
      <c r="J1059" s="4" t="s">
        <v>94</v>
      </c>
      <c r="K1059"/>
    </row>
    <row r="1060" spans="1:11" ht="16" x14ac:dyDescent="0.2">
      <c r="A1060" s="6" t="s">
        <v>2164</v>
      </c>
      <c r="B1060" s="6" t="s">
        <v>2165</v>
      </c>
      <c r="C1060" s="4" t="b">
        <v>0</v>
      </c>
      <c r="D1060" s="4" t="b">
        <v>0</v>
      </c>
      <c r="E1060" s="4" t="b">
        <v>1</v>
      </c>
      <c r="F1060" s="4"/>
      <c r="G1060" s="4" t="b">
        <f t="shared" si="16"/>
        <v>0</v>
      </c>
      <c r="H1060" s="4"/>
      <c r="I1060" s="4"/>
      <c r="J1060" s="4" t="s">
        <v>94</v>
      </c>
      <c r="K1060"/>
    </row>
    <row r="1061" spans="1:11" ht="16" x14ac:dyDescent="0.2">
      <c r="A1061" s="6" t="s">
        <v>2166</v>
      </c>
      <c r="B1061" s="6" t="s">
        <v>2167</v>
      </c>
      <c r="C1061" s="4" t="b">
        <v>0</v>
      </c>
      <c r="D1061" s="4" t="b">
        <v>0</v>
      </c>
      <c r="E1061" s="4" t="b">
        <v>0</v>
      </c>
      <c r="F1061" s="4" t="s">
        <v>12</v>
      </c>
      <c r="G1061" s="4" t="b">
        <f t="shared" si="16"/>
        <v>1</v>
      </c>
      <c r="H1061" s="4"/>
      <c r="I1061" s="4"/>
      <c r="J1061" s="4" t="s">
        <v>94</v>
      </c>
    </row>
    <row r="1062" spans="1:11" ht="16" x14ac:dyDescent="0.2">
      <c r="A1062" s="6" t="s">
        <v>2168</v>
      </c>
      <c r="B1062" s="6" t="s">
        <v>2169</v>
      </c>
      <c r="C1062" s="4" t="b">
        <v>0</v>
      </c>
      <c r="D1062" s="4" t="b">
        <v>0</v>
      </c>
      <c r="E1062" s="4" t="b">
        <v>1</v>
      </c>
      <c r="F1062" s="4"/>
      <c r="G1062" s="4" t="b">
        <f t="shared" si="16"/>
        <v>0</v>
      </c>
      <c r="H1062" s="4"/>
      <c r="I1062" s="4"/>
      <c r="J1062" s="4" t="s">
        <v>94</v>
      </c>
      <c r="K1062"/>
    </row>
    <row r="1063" spans="1:11" ht="16" x14ac:dyDescent="0.2">
      <c r="A1063" s="6" t="s">
        <v>2170</v>
      </c>
      <c r="B1063" s="6" t="s">
        <v>2171</v>
      </c>
      <c r="C1063" s="4" t="b">
        <v>0</v>
      </c>
      <c r="D1063" s="4" t="b">
        <v>0</v>
      </c>
      <c r="E1063" s="4" t="b">
        <v>1</v>
      </c>
      <c r="F1063" s="4"/>
      <c r="G1063" s="4" t="b">
        <f t="shared" si="16"/>
        <v>0</v>
      </c>
      <c r="H1063" s="4"/>
      <c r="I1063" s="4"/>
      <c r="J1063" s="4" t="s">
        <v>94</v>
      </c>
      <c r="K1063"/>
    </row>
    <row r="1064" spans="1:11" ht="16" x14ac:dyDescent="0.2">
      <c r="A1064" s="6" t="s">
        <v>2172</v>
      </c>
      <c r="B1064" s="6" t="s">
        <v>2173</v>
      </c>
      <c r="C1064" s="4" t="b">
        <v>0</v>
      </c>
      <c r="D1064" s="4" t="b">
        <v>0</v>
      </c>
      <c r="E1064" s="4" t="b">
        <v>1</v>
      </c>
      <c r="F1064" s="4"/>
      <c r="G1064" s="4" t="b">
        <f t="shared" si="16"/>
        <v>0</v>
      </c>
      <c r="H1064" s="4"/>
      <c r="I1064" s="4"/>
      <c r="J1064" s="4" t="s">
        <v>94</v>
      </c>
      <c r="K1064"/>
    </row>
    <row r="1065" spans="1:11" ht="16" x14ac:dyDescent="0.2">
      <c r="A1065" s="6" t="s">
        <v>2174</v>
      </c>
      <c r="B1065" s="6" t="s">
        <v>2175</v>
      </c>
      <c r="C1065" s="4" t="b">
        <v>0</v>
      </c>
      <c r="D1065" s="4" t="b">
        <v>0</v>
      </c>
      <c r="E1065" s="4" t="b">
        <v>0</v>
      </c>
      <c r="F1065" s="4"/>
      <c r="G1065" s="4" t="b">
        <f t="shared" si="16"/>
        <v>0</v>
      </c>
      <c r="H1065" s="4"/>
      <c r="I1065" s="4"/>
      <c r="J1065" s="4" t="s">
        <v>94</v>
      </c>
      <c r="K1065"/>
    </row>
    <row r="1066" spans="1:11" ht="16" x14ac:dyDescent="0.2">
      <c r="A1066" s="6" t="s">
        <v>2176</v>
      </c>
      <c r="B1066" s="6" t="s">
        <v>2177</v>
      </c>
      <c r="C1066" s="4" t="b">
        <v>0</v>
      </c>
      <c r="D1066" s="4" t="b">
        <v>0</v>
      </c>
      <c r="E1066" s="4" t="b">
        <v>0</v>
      </c>
      <c r="F1066" s="4"/>
      <c r="G1066" s="4" t="b">
        <f t="shared" si="16"/>
        <v>0</v>
      </c>
      <c r="H1066" s="4"/>
      <c r="I1066" s="4"/>
      <c r="J1066" s="4" t="s">
        <v>94</v>
      </c>
      <c r="K1066"/>
    </row>
    <row r="1067" spans="1:11" ht="16" x14ac:dyDescent="0.2">
      <c r="A1067" s="6" t="s">
        <v>2178</v>
      </c>
      <c r="B1067" s="6" t="s">
        <v>2179</v>
      </c>
      <c r="C1067" s="4" t="b">
        <v>0</v>
      </c>
      <c r="D1067" s="4" t="b">
        <v>0</v>
      </c>
      <c r="E1067" s="4" t="b">
        <v>0</v>
      </c>
      <c r="F1067" s="4"/>
      <c r="G1067" s="4" t="b">
        <f t="shared" si="16"/>
        <v>0</v>
      </c>
      <c r="H1067" s="4"/>
      <c r="I1067" s="4"/>
      <c r="J1067" s="4" t="s">
        <v>94</v>
      </c>
      <c r="K1067"/>
    </row>
    <row r="1068" spans="1:11" ht="16" x14ac:dyDescent="0.2">
      <c r="A1068" s="6" t="s">
        <v>2180</v>
      </c>
      <c r="B1068" s="6" t="s">
        <v>2181</v>
      </c>
      <c r="C1068" s="4" t="b">
        <v>0</v>
      </c>
      <c r="D1068" s="4" t="b">
        <v>0</v>
      </c>
      <c r="E1068" s="4" t="b">
        <v>1</v>
      </c>
      <c r="F1068" s="4"/>
      <c r="G1068" s="4" t="b">
        <f t="shared" si="16"/>
        <v>0</v>
      </c>
      <c r="H1068" s="4"/>
      <c r="I1068" s="4"/>
      <c r="J1068" s="4" t="s">
        <v>94</v>
      </c>
      <c r="K1068"/>
    </row>
    <row r="1069" spans="1:11" ht="96" x14ac:dyDescent="0.2">
      <c r="A1069" s="6" t="s">
        <v>2182</v>
      </c>
      <c r="B1069" s="6" t="s">
        <v>2183</v>
      </c>
      <c r="C1069" s="4" t="b">
        <v>1</v>
      </c>
      <c r="D1069" s="4" t="b">
        <v>0</v>
      </c>
      <c r="E1069" s="4" t="b">
        <v>1</v>
      </c>
      <c r="F1069" s="4" t="s">
        <v>12</v>
      </c>
      <c r="G1069" s="4" t="b">
        <f t="shared" si="16"/>
        <v>1</v>
      </c>
      <c r="H1069" s="4" t="s">
        <v>3027</v>
      </c>
      <c r="I1069" s="4"/>
      <c r="J1069" s="4" t="s">
        <v>94</v>
      </c>
    </row>
    <row r="1070" spans="1:11" ht="48" x14ac:dyDescent="0.2">
      <c r="A1070" s="6" t="s">
        <v>2184</v>
      </c>
      <c r="B1070" s="6" t="s">
        <v>2185</v>
      </c>
      <c r="C1070" s="4" t="b">
        <v>1</v>
      </c>
      <c r="D1070" s="4" t="b">
        <v>0</v>
      </c>
      <c r="E1070" s="4" t="b">
        <v>1</v>
      </c>
      <c r="F1070" s="4" t="s">
        <v>12</v>
      </c>
      <c r="G1070" s="4" t="b">
        <f t="shared" si="16"/>
        <v>1</v>
      </c>
      <c r="H1070" s="4" t="s">
        <v>3026</v>
      </c>
      <c r="I1070" s="4"/>
      <c r="J1070" s="4" t="s">
        <v>94</v>
      </c>
    </row>
    <row r="1071" spans="1:11" ht="80" x14ac:dyDescent="0.2">
      <c r="A1071" s="6" t="s">
        <v>2186</v>
      </c>
      <c r="B1071" s="6" t="s">
        <v>2187</v>
      </c>
      <c r="C1071" s="4" t="b">
        <v>1</v>
      </c>
      <c r="D1071" s="4" t="b">
        <v>1</v>
      </c>
      <c r="E1071" s="4" t="b">
        <v>1</v>
      </c>
      <c r="F1071" s="4" t="s">
        <v>12</v>
      </c>
      <c r="G1071" s="4" t="b">
        <f t="shared" si="16"/>
        <v>1</v>
      </c>
      <c r="H1071" s="4" t="s">
        <v>3025</v>
      </c>
      <c r="I1071" s="4"/>
      <c r="J1071" s="4" t="s">
        <v>94</v>
      </c>
    </row>
    <row r="1072" spans="1:11" ht="16" x14ac:dyDescent="0.2">
      <c r="A1072" s="6" t="s">
        <v>2188</v>
      </c>
      <c r="B1072" s="6" t="s">
        <v>2189</v>
      </c>
      <c r="C1072" s="4" t="b">
        <v>0</v>
      </c>
      <c r="D1072" s="4" t="b">
        <v>0</v>
      </c>
      <c r="E1072" s="4" t="b">
        <v>0</v>
      </c>
      <c r="F1072" s="4"/>
      <c r="G1072" s="4" t="b">
        <f t="shared" si="16"/>
        <v>0</v>
      </c>
      <c r="H1072" s="4"/>
      <c r="I1072" s="4"/>
      <c r="J1072" s="4" t="s">
        <v>94</v>
      </c>
      <c r="K1072"/>
    </row>
    <row r="1073" spans="1:11" ht="48" x14ac:dyDescent="0.2">
      <c r="A1073" s="6" t="s">
        <v>2190</v>
      </c>
      <c r="B1073" s="6" t="s">
        <v>2191</v>
      </c>
      <c r="C1073" s="4" t="b">
        <v>1</v>
      </c>
      <c r="D1073" s="4" t="b">
        <v>1</v>
      </c>
      <c r="E1073" s="4" t="b">
        <v>1</v>
      </c>
      <c r="F1073" s="4" t="s">
        <v>12</v>
      </c>
      <c r="G1073" s="4" t="b">
        <f t="shared" si="16"/>
        <v>1</v>
      </c>
      <c r="H1073" s="4" t="s">
        <v>3024</v>
      </c>
      <c r="I1073" s="4"/>
      <c r="J1073" s="4" t="s">
        <v>94</v>
      </c>
    </row>
    <row r="1074" spans="1:11" ht="16" x14ac:dyDescent="0.2">
      <c r="A1074" s="6" t="s">
        <v>2192</v>
      </c>
      <c r="B1074" s="6" t="s">
        <v>2193</v>
      </c>
      <c r="C1074" s="4" t="b">
        <v>0</v>
      </c>
      <c r="D1074" s="4" t="b">
        <v>0</v>
      </c>
      <c r="E1074" s="4" t="b">
        <v>0</v>
      </c>
      <c r="F1074" s="4"/>
      <c r="G1074" s="4" t="b">
        <f t="shared" si="16"/>
        <v>0</v>
      </c>
      <c r="H1074" s="4"/>
      <c r="I1074" s="4"/>
      <c r="J1074" s="4" t="s">
        <v>94</v>
      </c>
      <c r="K1074"/>
    </row>
    <row r="1075" spans="1:11" ht="16" x14ac:dyDescent="0.2">
      <c r="A1075" s="6" t="s">
        <v>2194</v>
      </c>
      <c r="B1075" s="6" t="s">
        <v>2195</v>
      </c>
      <c r="C1075" s="4" t="b">
        <v>0</v>
      </c>
      <c r="D1075" s="4" t="b">
        <v>0</v>
      </c>
      <c r="E1075" s="4" t="b">
        <v>1</v>
      </c>
      <c r="F1075" s="4"/>
      <c r="G1075" s="4" t="b">
        <f t="shared" si="16"/>
        <v>0</v>
      </c>
      <c r="H1075" s="4"/>
      <c r="I1075" s="4"/>
      <c r="J1075" s="4" t="s">
        <v>94</v>
      </c>
      <c r="K1075"/>
    </row>
    <row r="1076" spans="1:11" ht="32" x14ac:dyDescent="0.2">
      <c r="A1076" s="6" t="s">
        <v>2196</v>
      </c>
      <c r="B1076" s="6" t="s">
        <v>2197</v>
      </c>
      <c r="C1076" s="4" t="b">
        <v>1</v>
      </c>
      <c r="D1076" s="4" t="b">
        <v>1</v>
      </c>
      <c r="E1076" s="4" t="b">
        <v>1</v>
      </c>
      <c r="F1076" s="4" t="s">
        <v>12</v>
      </c>
      <c r="G1076" s="4" t="b">
        <f t="shared" si="16"/>
        <v>1</v>
      </c>
      <c r="H1076" s="4" t="s">
        <v>3023</v>
      </c>
      <c r="I1076" s="4"/>
      <c r="J1076" s="4" t="s">
        <v>94</v>
      </c>
    </row>
    <row r="1077" spans="1:11" ht="16" x14ac:dyDescent="0.2">
      <c r="A1077" s="6" t="s">
        <v>2198</v>
      </c>
      <c r="B1077" s="6" t="s">
        <v>2199</v>
      </c>
      <c r="C1077" s="4" t="b">
        <v>0</v>
      </c>
      <c r="D1077" s="4" t="b">
        <v>0</v>
      </c>
      <c r="E1077" s="4" t="b">
        <v>0</v>
      </c>
      <c r="F1077" s="4"/>
      <c r="G1077" s="4" t="b">
        <f t="shared" si="16"/>
        <v>0</v>
      </c>
      <c r="H1077" s="4"/>
      <c r="I1077" s="4"/>
      <c r="J1077" s="4" t="s">
        <v>94</v>
      </c>
      <c r="K1077"/>
    </row>
    <row r="1078" spans="1:11" ht="16" x14ac:dyDescent="0.2">
      <c r="A1078" s="6" t="s">
        <v>2200</v>
      </c>
      <c r="B1078" s="6" t="s">
        <v>2201</v>
      </c>
      <c r="C1078" s="4" t="b">
        <v>0</v>
      </c>
      <c r="D1078" s="4" t="b">
        <v>0</v>
      </c>
      <c r="E1078" s="4" t="b">
        <v>1</v>
      </c>
      <c r="F1078" s="4"/>
      <c r="G1078" s="4" t="b">
        <f t="shared" si="16"/>
        <v>0</v>
      </c>
      <c r="H1078" s="4"/>
      <c r="I1078" s="4"/>
      <c r="J1078" s="4" t="s">
        <v>94</v>
      </c>
      <c r="K1078"/>
    </row>
    <row r="1079" spans="1:11" ht="16" x14ac:dyDescent="0.2">
      <c r="A1079" s="6" t="s">
        <v>2202</v>
      </c>
      <c r="B1079" s="6" t="s">
        <v>2203</v>
      </c>
      <c r="C1079" s="4" t="b">
        <v>0</v>
      </c>
      <c r="D1079" s="4" t="b">
        <v>0</v>
      </c>
      <c r="E1079" s="4" t="b">
        <v>1</v>
      </c>
      <c r="F1079" s="4"/>
      <c r="G1079" s="4" t="b">
        <f t="shared" si="16"/>
        <v>0</v>
      </c>
      <c r="H1079" s="4"/>
      <c r="I1079" s="4"/>
      <c r="J1079" s="4" t="s">
        <v>94</v>
      </c>
      <c r="K1079"/>
    </row>
    <row r="1080" spans="1:11" ht="16" x14ac:dyDescent="0.2">
      <c r="A1080" s="6" t="s">
        <v>2204</v>
      </c>
      <c r="B1080" s="6" t="s">
        <v>2205</v>
      </c>
      <c r="C1080" s="4" t="b">
        <v>0</v>
      </c>
      <c r="D1080" s="4" t="b">
        <v>0</v>
      </c>
      <c r="E1080" s="4" t="b">
        <v>1</v>
      </c>
      <c r="F1080" s="4"/>
      <c r="G1080" s="4" t="b">
        <f t="shared" si="16"/>
        <v>0</v>
      </c>
      <c r="H1080" s="4"/>
      <c r="I1080" s="4"/>
      <c r="J1080" s="4" t="s">
        <v>94</v>
      </c>
      <c r="K1080"/>
    </row>
    <row r="1081" spans="1:11" ht="16" x14ac:dyDescent="0.2">
      <c r="A1081" s="6" t="s">
        <v>2206</v>
      </c>
      <c r="B1081" s="6" t="s">
        <v>2207</v>
      </c>
      <c r="C1081" s="4" t="b">
        <v>0</v>
      </c>
      <c r="D1081" s="4" t="b">
        <v>0</v>
      </c>
      <c r="E1081" s="4" t="b">
        <v>0</v>
      </c>
      <c r="F1081" s="4"/>
      <c r="G1081" s="4" t="b">
        <f t="shared" si="16"/>
        <v>0</v>
      </c>
      <c r="H1081" s="4"/>
      <c r="I1081" s="4"/>
      <c r="J1081" s="4" t="s">
        <v>94</v>
      </c>
      <c r="K1081"/>
    </row>
    <row r="1082" spans="1:11" ht="80" x14ac:dyDescent="0.2">
      <c r="A1082" s="6" t="s">
        <v>2208</v>
      </c>
      <c r="B1082" s="6" t="s">
        <v>2209</v>
      </c>
      <c r="C1082" s="4" t="b">
        <v>1</v>
      </c>
      <c r="D1082" s="4" t="b">
        <v>1</v>
      </c>
      <c r="E1082" s="4" t="b">
        <v>1</v>
      </c>
      <c r="F1082" s="4" t="s">
        <v>12</v>
      </c>
      <c r="G1082" s="4" t="b">
        <f t="shared" si="16"/>
        <v>1</v>
      </c>
      <c r="H1082" s="4" t="s">
        <v>3022</v>
      </c>
      <c r="I1082" s="4"/>
      <c r="J1082" s="4" t="s">
        <v>94</v>
      </c>
    </row>
    <row r="1083" spans="1:11" ht="32" x14ac:dyDescent="0.2">
      <c r="A1083" s="6" t="s">
        <v>2210</v>
      </c>
      <c r="B1083" s="6" t="s">
        <v>2211</v>
      </c>
      <c r="C1083" s="4" t="b">
        <v>0</v>
      </c>
      <c r="D1083" s="4" t="b">
        <v>1</v>
      </c>
      <c r="E1083" s="4" t="b">
        <v>1</v>
      </c>
      <c r="F1083" s="4" t="s">
        <v>12</v>
      </c>
      <c r="G1083" s="4" t="b">
        <f t="shared" si="16"/>
        <v>1</v>
      </c>
      <c r="H1083" s="4" t="s">
        <v>3018</v>
      </c>
      <c r="I1083" s="4"/>
      <c r="J1083" s="4" t="s">
        <v>94</v>
      </c>
    </row>
    <row r="1084" spans="1:11" ht="32" x14ac:dyDescent="0.2">
      <c r="A1084" s="6" t="s">
        <v>2212</v>
      </c>
      <c r="B1084" s="6" t="s">
        <v>2213</v>
      </c>
      <c r="C1084" s="4" t="b">
        <v>1</v>
      </c>
      <c r="D1084" s="4" t="b">
        <v>0</v>
      </c>
      <c r="E1084" s="4" t="b">
        <v>1</v>
      </c>
      <c r="F1084" s="4" t="s">
        <v>12</v>
      </c>
      <c r="G1084" s="4" t="b">
        <f t="shared" si="16"/>
        <v>1</v>
      </c>
      <c r="H1084" s="4" t="s">
        <v>3017</v>
      </c>
      <c r="I1084" s="4"/>
      <c r="J1084" s="4" t="s">
        <v>94</v>
      </c>
    </row>
    <row r="1085" spans="1:11" ht="16" x14ac:dyDescent="0.2">
      <c r="A1085" s="6" t="s">
        <v>2214</v>
      </c>
      <c r="B1085" s="6" t="s">
        <v>2215</v>
      </c>
      <c r="C1085" s="4" t="b">
        <v>0</v>
      </c>
      <c r="D1085" s="4" t="b">
        <v>0</v>
      </c>
      <c r="E1085" s="4" t="b">
        <v>0</v>
      </c>
      <c r="F1085" s="4"/>
      <c r="G1085" s="4" t="b">
        <f t="shared" si="16"/>
        <v>0</v>
      </c>
      <c r="H1085" s="4"/>
      <c r="I1085" s="4"/>
      <c r="J1085" s="4" t="s">
        <v>94</v>
      </c>
      <c r="K1085"/>
    </row>
    <row r="1086" spans="1:11" ht="16" x14ac:dyDescent="0.2">
      <c r="A1086" s="6" t="s">
        <v>2216</v>
      </c>
      <c r="B1086" s="6" t="s">
        <v>2217</v>
      </c>
      <c r="C1086" s="4" t="b">
        <v>0</v>
      </c>
      <c r="D1086" s="4" t="b">
        <v>0</v>
      </c>
      <c r="E1086" s="4" t="b">
        <v>0</v>
      </c>
      <c r="F1086" s="4"/>
      <c r="G1086" s="4" t="b">
        <f t="shared" si="16"/>
        <v>0</v>
      </c>
      <c r="H1086" s="4"/>
      <c r="I1086" s="4"/>
      <c r="J1086" s="4" t="s">
        <v>94</v>
      </c>
      <c r="K1086"/>
    </row>
    <row r="1087" spans="1:11" ht="16" x14ac:dyDescent="0.2">
      <c r="A1087" s="6" t="s">
        <v>2218</v>
      </c>
      <c r="B1087" s="6" t="s">
        <v>2219</v>
      </c>
      <c r="C1087" s="4" t="b">
        <v>0</v>
      </c>
      <c r="D1087" s="4" t="b">
        <v>0</v>
      </c>
      <c r="E1087" s="4" t="b">
        <v>1</v>
      </c>
      <c r="F1087" s="4"/>
      <c r="G1087" s="4" t="b">
        <f t="shared" si="16"/>
        <v>0</v>
      </c>
      <c r="H1087" s="4"/>
      <c r="I1087" s="4"/>
      <c r="J1087" s="4" t="s">
        <v>20</v>
      </c>
      <c r="K1087"/>
    </row>
    <row r="1088" spans="1:11" ht="16" x14ac:dyDescent="0.2">
      <c r="A1088" s="6" t="s">
        <v>2220</v>
      </c>
      <c r="B1088" s="6" t="s">
        <v>2221</v>
      </c>
      <c r="C1088" s="4" t="b">
        <v>0</v>
      </c>
      <c r="D1088" s="4" t="b">
        <v>0</v>
      </c>
      <c r="E1088" s="4" t="b">
        <v>1</v>
      </c>
      <c r="F1088" s="4"/>
      <c r="G1088" s="4" t="b">
        <f t="shared" si="16"/>
        <v>0</v>
      </c>
      <c r="H1088" s="4"/>
      <c r="I1088" s="4"/>
      <c r="J1088" s="4" t="s">
        <v>20</v>
      </c>
      <c r="K1088"/>
    </row>
    <row r="1089" spans="1:11" ht="16" x14ac:dyDescent="0.2">
      <c r="A1089" s="6" t="s">
        <v>2222</v>
      </c>
      <c r="B1089" s="6" t="s">
        <v>2223</v>
      </c>
      <c r="C1089" s="4" t="b">
        <v>1</v>
      </c>
      <c r="D1089" s="4" t="b">
        <v>0</v>
      </c>
      <c r="E1089" s="4" t="b">
        <v>1</v>
      </c>
      <c r="F1089" s="4" t="s">
        <v>12</v>
      </c>
      <c r="G1089" s="4" t="b">
        <f t="shared" si="16"/>
        <v>1</v>
      </c>
      <c r="H1089" s="4" t="s">
        <v>3016</v>
      </c>
      <c r="I1089" s="4"/>
      <c r="J1089" s="4" t="s">
        <v>20</v>
      </c>
    </row>
    <row r="1090" spans="1:11" ht="32" x14ac:dyDescent="0.2">
      <c r="A1090" s="6" t="s">
        <v>2224</v>
      </c>
      <c r="B1090" s="6" t="s">
        <v>2225</v>
      </c>
      <c r="C1090" s="4" t="b">
        <v>1</v>
      </c>
      <c r="D1090" s="4" t="b">
        <v>0</v>
      </c>
      <c r="E1090" s="4" t="b">
        <v>1</v>
      </c>
      <c r="F1090" s="4" t="s">
        <v>12</v>
      </c>
      <c r="G1090" s="4" t="b">
        <f t="shared" ref="G1090:G1153" si="17">IF(F1090="✔", TRUE, FALSE)</f>
        <v>1</v>
      </c>
      <c r="H1090" s="4" t="s">
        <v>3015</v>
      </c>
      <c r="I1090" s="4"/>
      <c r="J1090" s="4" t="s">
        <v>20</v>
      </c>
    </row>
    <row r="1091" spans="1:11" ht="16" x14ac:dyDescent="0.2">
      <c r="A1091" s="6" t="s">
        <v>2226</v>
      </c>
      <c r="B1091" s="6" t="s">
        <v>2227</v>
      </c>
      <c r="C1091" s="4" t="b">
        <v>0</v>
      </c>
      <c r="D1091" s="4" t="b">
        <v>0</v>
      </c>
      <c r="E1091" s="4" t="b">
        <v>0</v>
      </c>
      <c r="F1091" s="4"/>
      <c r="G1091" s="4" t="b">
        <f t="shared" si="17"/>
        <v>0</v>
      </c>
      <c r="H1091" s="4"/>
      <c r="I1091" s="4"/>
      <c r="J1091" s="4" t="s">
        <v>20</v>
      </c>
      <c r="K1091"/>
    </row>
    <row r="1092" spans="1:11" ht="16" x14ac:dyDescent="0.2">
      <c r="A1092" s="6" t="s">
        <v>2228</v>
      </c>
      <c r="B1092" s="6" t="s">
        <v>2229</v>
      </c>
      <c r="C1092" s="4" t="b">
        <v>0</v>
      </c>
      <c r="D1092" s="4" t="b">
        <v>0</v>
      </c>
      <c r="E1092" s="4" t="b">
        <v>0</v>
      </c>
      <c r="F1092" s="4"/>
      <c r="G1092" s="4" t="b">
        <f t="shared" si="17"/>
        <v>0</v>
      </c>
      <c r="H1092" s="4"/>
      <c r="I1092" s="4"/>
      <c r="J1092" s="4" t="s">
        <v>20</v>
      </c>
      <c r="K1092"/>
    </row>
    <row r="1093" spans="1:11" ht="16" x14ac:dyDescent="0.2">
      <c r="A1093" s="6" t="s">
        <v>2230</v>
      </c>
      <c r="B1093" s="6" t="s">
        <v>2231</v>
      </c>
      <c r="C1093" s="4" t="b">
        <v>0</v>
      </c>
      <c r="D1093" s="4" t="b">
        <v>0</v>
      </c>
      <c r="E1093" s="4" t="b">
        <v>0</v>
      </c>
      <c r="F1093" s="4"/>
      <c r="G1093" s="4" t="b">
        <f t="shared" si="17"/>
        <v>0</v>
      </c>
      <c r="H1093" s="4"/>
      <c r="I1093" s="4"/>
      <c r="J1093" s="4" t="s">
        <v>20</v>
      </c>
      <c r="K1093"/>
    </row>
    <row r="1094" spans="1:11" ht="16" x14ac:dyDescent="0.2">
      <c r="A1094" s="6" t="s">
        <v>2232</v>
      </c>
      <c r="B1094" s="6" t="s">
        <v>2233</v>
      </c>
      <c r="C1094" s="4" t="b">
        <v>0</v>
      </c>
      <c r="D1094" s="4" t="b">
        <v>0</v>
      </c>
      <c r="E1094" s="4" t="b">
        <v>1</v>
      </c>
      <c r="F1094" s="4"/>
      <c r="G1094" s="4" t="b">
        <f t="shared" si="17"/>
        <v>0</v>
      </c>
      <c r="H1094" s="4"/>
      <c r="I1094" s="4"/>
      <c r="J1094" s="4" t="s">
        <v>20</v>
      </c>
      <c r="K1094"/>
    </row>
    <row r="1095" spans="1:11" ht="16" x14ac:dyDescent="0.2">
      <c r="A1095" s="6" t="s">
        <v>2234</v>
      </c>
      <c r="B1095" s="6" t="s">
        <v>2235</v>
      </c>
      <c r="C1095" s="4" t="b">
        <v>0</v>
      </c>
      <c r="D1095" s="4" t="b">
        <v>0</v>
      </c>
      <c r="E1095" s="4" t="b">
        <v>0</v>
      </c>
      <c r="F1095" s="4"/>
      <c r="G1095" s="4" t="b">
        <f t="shared" si="17"/>
        <v>0</v>
      </c>
      <c r="H1095" s="4"/>
      <c r="I1095" s="4"/>
      <c r="J1095" s="4" t="s">
        <v>20</v>
      </c>
      <c r="K1095"/>
    </row>
    <row r="1096" spans="1:11" ht="16" x14ac:dyDescent="0.2">
      <c r="A1096" s="6" t="s">
        <v>2236</v>
      </c>
      <c r="B1096" s="6" t="s">
        <v>2237</v>
      </c>
      <c r="C1096" s="4" t="b">
        <v>0</v>
      </c>
      <c r="D1096" s="4" t="b">
        <v>0</v>
      </c>
      <c r="E1096" s="4" t="b">
        <v>0</v>
      </c>
      <c r="F1096" s="4"/>
      <c r="G1096" s="4" t="b">
        <f t="shared" si="17"/>
        <v>0</v>
      </c>
      <c r="H1096" s="4"/>
      <c r="I1096" s="4"/>
      <c r="J1096" s="4" t="s">
        <v>20</v>
      </c>
      <c r="K1096"/>
    </row>
    <row r="1097" spans="1:11" ht="32" x14ac:dyDescent="0.2">
      <c r="A1097" s="6" t="s">
        <v>2238</v>
      </c>
      <c r="B1097" s="6" t="s">
        <v>2239</v>
      </c>
      <c r="C1097" s="4" t="b">
        <v>1</v>
      </c>
      <c r="D1097" s="4" t="b">
        <v>0</v>
      </c>
      <c r="E1097" s="4" t="b">
        <v>1</v>
      </c>
      <c r="F1097" s="4" t="s">
        <v>12</v>
      </c>
      <c r="G1097" s="4" t="b">
        <f t="shared" si="17"/>
        <v>1</v>
      </c>
      <c r="H1097" s="4" t="s">
        <v>3014</v>
      </c>
      <c r="I1097" s="4"/>
      <c r="J1097" s="4" t="s">
        <v>20</v>
      </c>
    </row>
    <row r="1098" spans="1:11" ht="16" x14ac:dyDescent="0.2">
      <c r="A1098" s="6" t="s">
        <v>2240</v>
      </c>
      <c r="B1098" s="6" t="s">
        <v>2241</v>
      </c>
      <c r="C1098" s="4" t="b">
        <v>0</v>
      </c>
      <c r="D1098" s="4" t="b">
        <v>0</v>
      </c>
      <c r="E1098" s="4" t="b">
        <v>0</v>
      </c>
      <c r="F1098" s="4"/>
      <c r="G1098" s="4" t="b">
        <f t="shared" si="17"/>
        <v>0</v>
      </c>
      <c r="H1098" s="4"/>
      <c r="I1098" s="4"/>
      <c r="J1098" s="4" t="s">
        <v>20</v>
      </c>
      <c r="K1098"/>
    </row>
    <row r="1099" spans="1:11" ht="64" x14ac:dyDescent="0.2">
      <c r="A1099" s="6" t="s">
        <v>2242</v>
      </c>
      <c r="B1099" s="6" t="s">
        <v>2243</v>
      </c>
      <c r="C1099" s="4" t="b">
        <v>1</v>
      </c>
      <c r="D1099" s="4" t="b">
        <v>0</v>
      </c>
      <c r="E1099" s="4" t="b">
        <v>1</v>
      </c>
      <c r="F1099" s="4" t="s">
        <v>12</v>
      </c>
      <c r="G1099" s="4" t="b">
        <f t="shared" si="17"/>
        <v>1</v>
      </c>
      <c r="H1099" s="4" t="s">
        <v>3013</v>
      </c>
      <c r="I1099" s="4"/>
      <c r="J1099" s="4" t="s">
        <v>20</v>
      </c>
    </row>
    <row r="1100" spans="1:11" ht="16" x14ac:dyDescent="0.2">
      <c r="A1100" s="6" t="s">
        <v>2244</v>
      </c>
      <c r="B1100" s="6" t="s">
        <v>2245</v>
      </c>
      <c r="C1100" s="4" t="b">
        <v>0</v>
      </c>
      <c r="D1100" s="4" t="b">
        <v>0</v>
      </c>
      <c r="E1100" s="4" t="b">
        <v>1</v>
      </c>
      <c r="F1100" s="4"/>
      <c r="G1100" s="4" t="b">
        <f t="shared" si="17"/>
        <v>0</v>
      </c>
      <c r="H1100" s="4"/>
      <c r="I1100" s="4"/>
      <c r="J1100" s="4" t="s">
        <v>20</v>
      </c>
      <c r="K1100"/>
    </row>
    <row r="1101" spans="1:11" ht="16" x14ac:dyDescent="0.2">
      <c r="A1101" s="6" t="s">
        <v>2246</v>
      </c>
      <c r="B1101" s="6" t="s">
        <v>2247</v>
      </c>
      <c r="C1101" s="4" t="b">
        <v>0</v>
      </c>
      <c r="D1101" s="4" t="b">
        <v>0</v>
      </c>
      <c r="E1101" s="4" t="b">
        <v>1</v>
      </c>
      <c r="F1101" s="4"/>
      <c r="G1101" s="4" t="b">
        <f t="shared" si="17"/>
        <v>0</v>
      </c>
      <c r="H1101" s="4"/>
      <c r="I1101" s="4"/>
      <c r="J1101" s="4" t="s">
        <v>20</v>
      </c>
      <c r="K1101"/>
    </row>
    <row r="1102" spans="1:11" ht="16" x14ac:dyDescent="0.2">
      <c r="A1102" s="6" t="s">
        <v>2248</v>
      </c>
      <c r="B1102" s="6" t="s">
        <v>2249</v>
      </c>
      <c r="C1102" s="4" t="b">
        <v>0</v>
      </c>
      <c r="D1102" s="4" t="b">
        <v>0</v>
      </c>
      <c r="E1102" s="4" t="b">
        <v>1</v>
      </c>
      <c r="F1102" s="4"/>
      <c r="G1102" s="4" t="b">
        <f t="shared" si="17"/>
        <v>0</v>
      </c>
      <c r="H1102" s="4"/>
      <c r="I1102" s="4"/>
      <c r="J1102" s="4" t="s">
        <v>20</v>
      </c>
      <c r="K1102"/>
    </row>
    <row r="1103" spans="1:11" ht="16" x14ac:dyDescent="0.2">
      <c r="A1103" s="6" t="s">
        <v>2250</v>
      </c>
      <c r="B1103" s="6" t="s">
        <v>2251</v>
      </c>
      <c r="C1103" s="4" t="b">
        <v>0</v>
      </c>
      <c r="D1103" s="4" t="b">
        <v>0</v>
      </c>
      <c r="E1103" s="4" t="b">
        <v>0</v>
      </c>
      <c r="F1103" s="4"/>
      <c r="G1103" s="4" t="b">
        <f t="shared" si="17"/>
        <v>0</v>
      </c>
      <c r="H1103" s="4"/>
      <c r="I1103" s="4"/>
      <c r="J1103" s="4" t="s">
        <v>20</v>
      </c>
      <c r="K1103"/>
    </row>
    <row r="1104" spans="1:11" ht="16" x14ac:dyDescent="0.2">
      <c r="A1104" s="6" t="s">
        <v>2252</v>
      </c>
      <c r="B1104" s="6" t="s">
        <v>2253</v>
      </c>
      <c r="C1104" s="4" t="b">
        <v>0</v>
      </c>
      <c r="D1104" s="4" t="b">
        <v>0</v>
      </c>
      <c r="E1104" s="4" t="b">
        <v>0</v>
      </c>
      <c r="F1104" s="4"/>
      <c r="G1104" s="4" t="b">
        <f t="shared" si="17"/>
        <v>0</v>
      </c>
      <c r="H1104" s="4"/>
      <c r="I1104" s="4"/>
      <c r="J1104" s="4" t="s">
        <v>20</v>
      </c>
      <c r="K1104"/>
    </row>
    <row r="1105" spans="1:11" ht="16" x14ac:dyDescent="0.2">
      <c r="A1105" s="6" t="s">
        <v>2254</v>
      </c>
      <c r="B1105" s="6" t="s">
        <v>2255</v>
      </c>
      <c r="C1105" s="4" t="b">
        <v>0</v>
      </c>
      <c r="D1105" s="4" t="b">
        <v>0</v>
      </c>
      <c r="E1105" s="4" t="b">
        <v>1</v>
      </c>
      <c r="F1105" s="4"/>
      <c r="G1105" s="4" t="b">
        <f t="shared" si="17"/>
        <v>0</v>
      </c>
      <c r="H1105" s="4"/>
      <c r="I1105" s="4"/>
      <c r="J1105" s="4" t="s">
        <v>20</v>
      </c>
      <c r="K1105"/>
    </row>
    <row r="1106" spans="1:11" ht="32" x14ac:dyDescent="0.2">
      <c r="A1106" s="6" t="s">
        <v>2256</v>
      </c>
      <c r="B1106" s="6" t="s">
        <v>2257</v>
      </c>
      <c r="C1106" s="4" t="b">
        <v>1</v>
      </c>
      <c r="D1106" s="4" t="b">
        <v>0</v>
      </c>
      <c r="E1106" s="4" t="b">
        <v>1</v>
      </c>
      <c r="F1106" s="4" t="s">
        <v>12</v>
      </c>
      <c r="G1106" s="4" t="b">
        <f t="shared" si="17"/>
        <v>1</v>
      </c>
      <c r="H1106" s="4" t="s">
        <v>3012</v>
      </c>
      <c r="I1106" s="4"/>
      <c r="J1106" s="4" t="s">
        <v>20</v>
      </c>
    </row>
    <row r="1107" spans="1:11" ht="16" x14ac:dyDescent="0.2">
      <c r="A1107" s="6" t="s">
        <v>2258</v>
      </c>
      <c r="B1107" s="6" t="s">
        <v>2259</v>
      </c>
      <c r="C1107" s="4" t="b">
        <v>0</v>
      </c>
      <c r="D1107" s="4" t="b">
        <v>0</v>
      </c>
      <c r="E1107" s="4" t="b">
        <v>1</v>
      </c>
      <c r="F1107" s="4"/>
      <c r="G1107" s="4" t="b">
        <f t="shared" si="17"/>
        <v>0</v>
      </c>
      <c r="H1107" s="4"/>
      <c r="I1107" s="4"/>
      <c r="J1107" s="4" t="s">
        <v>20</v>
      </c>
      <c r="K1107"/>
    </row>
    <row r="1108" spans="1:11" ht="64" x14ac:dyDescent="0.2">
      <c r="A1108" s="6" t="s">
        <v>2260</v>
      </c>
      <c r="B1108" s="6" t="s">
        <v>2261</v>
      </c>
      <c r="C1108" s="4" t="b">
        <v>1</v>
      </c>
      <c r="D1108" s="4" t="b">
        <v>0</v>
      </c>
      <c r="E1108" s="4" t="b">
        <v>1</v>
      </c>
      <c r="F1108" s="4" t="s">
        <v>12</v>
      </c>
      <c r="G1108" s="4" t="b">
        <f t="shared" si="17"/>
        <v>1</v>
      </c>
      <c r="H1108" s="4" t="s">
        <v>3011</v>
      </c>
      <c r="I1108" s="4"/>
      <c r="J1108" s="4" t="s">
        <v>1336</v>
      </c>
    </row>
    <row r="1109" spans="1:11" ht="32" x14ac:dyDescent="0.2">
      <c r="A1109" s="6" t="s">
        <v>2262</v>
      </c>
      <c r="B1109" s="6" t="s">
        <v>2263</v>
      </c>
      <c r="C1109" s="4" t="b">
        <v>0</v>
      </c>
      <c r="D1109" s="4" t="b">
        <v>0</v>
      </c>
      <c r="E1109" s="4" t="b">
        <v>1</v>
      </c>
      <c r="F1109" s="4"/>
      <c r="G1109" s="4" t="b">
        <f t="shared" si="17"/>
        <v>0</v>
      </c>
      <c r="H1109" s="4"/>
      <c r="I1109" s="4"/>
      <c r="J1109" s="4" t="s">
        <v>1336</v>
      </c>
      <c r="K1109"/>
    </row>
    <row r="1110" spans="1:11" ht="32" x14ac:dyDescent="0.2">
      <c r="A1110" s="6" t="s">
        <v>2264</v>
      </c>
      <c r="B1110" s="6" t="s">
        <v>2265</v>
      </c>
      <c r="C1110" s="4" t="b">
        <v>0</v>
      </c>
      <c r="D1110" s="4" t="b">
        <v>0</v>
      </c>
      <c r="E1110" s="4" t="b">
        <v>1</v>
      </c>
      <c r="F1110" s="4"/>
      <c r="G1110" s="4" t="b">
        <f t="shared" si="17"/>
        <v>0</v>
      </c>
      <c r="H1110" s="4"/>
      <c r="I1110" s="4"/>
      <c r="J1110" s="4" t="s">
        <v>1336</v>
      </c>
      <c r="K1110"/>
    </row>
    <row r="1111" spans="1:11" ht="32" x14ac:dyDescent="0.2">
      <c r="A1111" s="6" t="s">
        <v>2266</v>
      </c>
      <c r="B1111" s="6" t="s">
        <v>2267</v>
      </c>
      <c r="C1111" s="4" t="b">
        <v>0</v>
      </c>
      <c r="D1111" s="4" t="b">
        <v>0</v>
      </c>
      <c r="E1111" s="4" t="b">
        <v>0</v>
      </c>
      <c r="F1111" s="4"/>
      <c r="G1111" s="4" t="b">
        <f t="shared" si="17"/>
        <v>0</v>
      </c>
      <c r="H1111" s="4"/>
      <c r="I1111" s="4"/>
      <c r="J1111" s="4" t="s">
        <v>1336</v>
      </c>
      <c r="K1111"/>
    </row>
    <row r="1112" spans="1:11" ht="80" x14ac:dyDescent="0.2">
      <c r="A1112" s="6" t="s">
        <v>2268</v>
      </c>
      <c r="B1112" s="6" t="s">
        <v>2269</v>
      </c>
      <c r="C1112" s="4" t="b">
        <v>1</v>
      </c>
      <c r="D1112" s="4" t="b">
        <v>1</v>
      </c>
      <c r="E1112" s="4" t="b">
        <v>1</v>
      </c>
      <c r="F1112" s="4" t="s">
        <v>12</v>
      </c>
      <c r="G1112" s="4" t="b">
        <f t="shared" si="17"/>
        <v>1</v>
      </c>
      <c r="H1112" s="4" t="s">
        <v>3010</v>
      </c>
      <c r="I1112" s="4"/>
      <c r="J1112" s="4" t="s">
        <v>621</v>
      </c>
    </row>
    <row r="1113" spans="1:11" ht="48" x14ac:dyDescent="0.2">
      <c r="A1113" s="6" t="s">
        <v>2270</v>
      </c>
      <c r="B1113" s="6" t="s">
        <v>2271</v>
      </c>
      <c r="C1113" s="4" t="b">
        <v>1</v>
      </c>
      <c r="D1113" s="4" t="b">
        <v>1</v>
      </c>
      <c r="E1113" s="4" t="b">
        <v>1</v>
      </c>
      <c r="F1113" s="4" t="s">
        <v>12</v>
      </c>
      <c r="G1113" s="4" t="b">
        <f t="shared" si="17"/>
        <v>1</v>
      </c>
      <c r="H1113" s="4" t="s">
        <v>3009</v>
      </c>
      <c r="I1113" s="4"/>
      <c r="J1113" s="4" t="s">
        <v>621</v>
      </c>
    </row>
    <row r="1114" spans="1:11" ht="16" x14ac:dyDescent="0.2">
      <c r="A1114" s="6" t="s">
        <v>2272</v>
      </c>
      <c r="B1114" s="6" t="s">
        <v>2273</v>
      </c>
      <c r="C1114" s="4" t="b">
        <v>0</v>
      </c>
      <c r="D1114" s="4" t="b">
        <v>0</v>
      </c>
      <c r="E1114" s="4" t="b">
        <v>0</v>
      </c>
      <c r="F1114" s="4"/>
      <c r="G1114" s="4" t="b">
        <f t="shared" si="17"/>
        <v>0</v>
      </c>
      <c r="H1114" s="4"/>
      <c r="I1114" s="4"/>
      <c r="J1114" s="4" t="s">
        <v>621</v>
      </c>
      <c r="K1114"/>
    </row>
    <row r="1115" spans="1:11" ht="16" x14ac:dyDescent="0.2">
      <c r="A1115" s="6" t="s">
        <v>2274</v>
      </c>
      <c r="B1115" s="6" t="s">
        <v>2275</v>
      </c>
      <c r="C1115" s="4" t="b">
        <v>0</v>
      </c>
      <c r="D1115" s="4" t="b">
        <v>0</v>
      </c>
      <c r="E1115" s="4" t="b">
        <v>0</v>
      </c>
      <c r="F1115" s="4"/>
      <c r="G1115" s="4" t="b">
        <f t="shared" si="17"/>
        <v>0</v>
      </c>
      <c r="H1115" s="4"/>
      <c r="I1115" s="4"/>
      <c r="J1115" s="4" t="s">
        <v>621</v>
      </c>
      <c r="K1115"/>
    </row>
    <row r="1116" spans="1:11" ht="32" x14ac:dyDescent="0.2">
      <c r="A1116" s="6" t="s">
        <v>2276</v>
      </c>
      <c r="B1116" s="6" t="s">
        <v>2277</v>
      </c>
      <c r="C1116" s="4" t="b">
        <v>1</v>
      </c>
      <c r="D1116" s="4" t="b">
        <v>0</v>
      </c>
      <c r="E1116" s="4" t="b">
        <v>1</v>
      </c>
      <c r="F1116" s="4" t="s">
        <v>12</v>
      </c>
      <c r="G1116" s="4" t="b">
        <f t="shared" si="17"/>
        <v>1</v>
      </c>
      <c r="H1116" s="4" t="s">
        <v>3008</v>
      </c>
      <c r="I1116" s="4"/>
      <c r="J1116" s="4" t="s">
        <v>621</v>
      </c>
    </row>
    <row r="1117" spans="1:11" ht="16" x14ac:dyDescent="0.2">
      <c r="A1117" s="6" t="s">
        <v>2278</v>
      </c>
      <c r="B1117" s="6" t="s">
        <v>2279</v>
      </c>
      <c r="C1117" s="4" t="b">
        <v>0</v>
      </c>
      <c r="D1117" s="4" t="b">
        <v>0</v>
      </c>
      <c r="E1117" s="4" t="b">
        <v>1</v>
      </c>
      <c r="F1117" s="4"/>
      <c r="G1117" s="4" t="b">
        <f t="shared" si="17"/>
        <v>0</v>
      </c>
      <c r="H1117" s="4"/>
      <c r="I1117" s="4"/>
      <c r="J1117" s="4" t="s">
        <v>621</v>
      </c>
      <c r="K1117"/>
    </row>
    <row r="1118" spans="1:11" ht="16" x14ac:dyDescent="0.2">
      <c r="A1118" s="6" t="s">
        <v>2280</v>
      </c>
      <c r="B1118" s="6" t="s">
        <v>2281</v>
      </c>
      <c r="C1118" s="4" t="b">
        <v>1</v>
      </c>
      <c r="D1118" s="4" t="b">
        <v>0</v>
      </c>
      <c r="E1118" s="4" t="b">
        <v>1</v>
      </c>
      <c r="F1118" s="4" t="s">
        <v>12</v>
      </c>
      <c r="G1118" s="4" t="b">
        <f t="shared" si="17"/>
        <v>1</v>
      </c>
      <c r="H1118" s="4"/>
      <c r="I1118" s="4"/>
      <c r="J1118" s="4" t="s">
        <v>621</v>
      </c>
    </row>
    <row r="1119" spans="1:11" ht="96" x14ac:dyDescent="0.2">
      <c r="A1119" s="6" t="s">
        <v>2282</v>
      </c>
      <c r="B1119" s="6" t="s">
        <v>2283</v>
      </c>
      <c r="C1119" s="4" t="b">
        <v>0</v>
      </c>
      <c r="D1119" s="4" t="b">
        <v>0</v>
      </c>
      <c r="E1119" s="4" t="b">
        <v>0</v>
      </c>
      <c r="F1119" s="4" t="s">
        <v>12</v>
      </c>
      <c r="G1119" s="4" t="b">
        <f t="shared" si="17"/>
        <v>1</v>
      </c>
      <c r="H1119" s="4" t="s">
        <v>3007</v>
      </c>
      <c r="I1119" s="4"/>
      <c r="J1119" s="4" t="s">
        <v>621</v>
      </c>
    </row>
    <row r="1120" spans="1:11" ht="16" x14ac:dyDescent="0.2">
      <c r="A1120" s="6" t="s">
        <v>2284</v>
      </c>
      <c r="B1120" s="6" t="s">
        <v>2285</v>
      </c>
      <c r="C1120" s="4" t="b">
        <v>0</v>
      </c>
      <c r="D1120" s="4" t="b">
        <v>0</v>
      </c>
      <c r="E1120" s="4" t="b">
        <v>0</v>
      </c>
      <c r="F1120" s="4"/>
      <c r="G1120" s="4" t="b">
        <f t="shared" si="17"/>
        <v>0</v>
      </c>
      <c r="H1120" s="4"/>
      <c r="I1120" s="4"/>
      <c r="J1120" s="4" t="s">
        <v>621</v>
      </c>
      <c r="K1120"/>
    </row>
    <row r="1121" spans="1:11" ht="96" x14ac:dyDescent="0.2">
      <c r="A1121" s="6" t="s">
        <v>2286</v>
      </c>
      <c r="B1121" s="6" t="s">
        <v>2287</v>
      </c>
      <c r="C1121" s="4" t="b">
        <v>1</v>
      </c>
      <c r="D1121" s="4" t="b">
        <v>1</v>
      </c>
      <c r="E1121" s="4" t="b">
        <v>1</v>
      </c>
      <c r="F1121" s="4" t="s">
        <v>12</v>
      </c>
      <c r="G1121" s="4" t="b">
        <f t="shared" si="17"/>
        <v>1</v>
      </c>
      <c r="H1121" s="4" t="s">
        <v>3186</v>
      </c>
      <c r="I1121" s="4"/>
      <c r="J1121" s="4" t="s">
        <v>621</v>
      </c>
    </row>
    <row r="1122" spans="1:11" ht="96" x14ac:dyDescent="0.2">
      <c r="A1122" s="6" t="s">
        <v>2288</v>
      </c>
      <c r="B1122" s="6" t="s">
        <v>2289</v>
      </c>
      <c r="C1122" s="4" t="b">
        <v>1</v>
      </c>
      <c r="D1122" s="4" t="b">
        <v>0</v>
      </c>
      <c r="E1122" s="4" t="b">
        <v>1</v>
      </c>
      <c r="F1122" s="4" t="s">
        <v>12</v>
      </c>
      <c r="G1122" s="4" t="b">
        <f t="shared" si="17"/>
        <v>1</v>
      </c>
      <c r="H1122" s="4" t="s">
        <v>3005</v>
      </c>
      <c r="I1122" s="4"/>
      <c r="J1122" s="4" t="s">
        <v>621</v>
      </c>
    </row>
    <row r="1123" spans="1:11" ht="16" x14ac:dyDescent="0.2">
      <c r="A1123" s="6" t="s">
        <v>2290</v>
      </c>
      <c r="B1123" s="6" t="s">
        <v>2291</v>
      </c>
      <c r="C1123" s="4" t="b">
        <v>0</v>
      </c>
      <c r="D1123" s="4" t="b">
        <v>0</v>
      </c>
      <c r="E1123" s="4" t="b">
        <v>0</v>
      </c>
      <c r="F1123" s="4"/>
      <c r="G1123" s="4" t="b">
        <f t="shared" si="17"/>
        <v>0</v>
      </c>
      <c r="H1123" s="4"/>
      <c r="I1123" s="4"/>
      <c r="J1123" s="4" t="s">
        <v>621</v>
      </c>
      <c r="K1123"/>
    </row>
    <row r="1124" spans="1:11" ht="16" x14ac:dyDescent="0.2">
      <c r="A1124" s="6" t="s">
        <v>2292</v>
      </c>
      <c r="B1124" s="6" t="s">
        <v>2293</v>
      </c>
      <c r="C1124" s="4" t="b">
        <v>1</v>
      </c>
      <c r="D1124" s="4" t="b">
        <v>0</v>
      </c>
      <c r="E1124" s="4" t="b">
        <v>1</v>
      </c>
      <c r="F1124" s="4" t="s">
        <v>12</v>
      </c>
      <c r="G1124" s="4" t="b">
        <f t="shared" si="17"/>
        <v>1</v>
      </c>
      <c r="H1124" s="4"/>
      <c r="I1124" s="4"/>
      <c r="J1124" s="4" t="s">
        <v>621</v>
      </c>
    </row>
    <row r="1125" spans="1:11" ht="16" x14ac:dyDescent="0.2">
      <c r="A1125" s="6" t="s">
        <v>2294</v>
      </c>
      <c r="B1125" s="6" t="s">
        <v>2295</v>
      </c>
      <c r="C1125" s="4" t="b">
        <v>0</v>
      </c>
      <c r="D1125" s="4" t="b">
        <v>0</v>
      </c>
      <c r="E1125" s="4" t="b">
        <v>0</v>
      </c>
      <c r="F1125" s="4"/>
      <c r="G1125" s="4" t="b">
        <f t="shared" si="17"/>
        <v>0</v>
      </c>
      <c r="H1125" s="4"/>
      <c r="I1125" s="4"/>
      <c r="J1125" s="4" t="s">
        <v>621</v>
      </c>
      <c r="K1125"/>
    </row>
    <row r="1126" spans="1:11" ht="16" x14ac:dyDescent="0.2">
      <c r="A1126" s="6" t="s">
        <v>2296</v>
      </c>
      <c r="B1126" s="6" t="s">
        <v>2297</v>
      </c>
      <c r="C1126" s="4" t="b">
        <v>0</v>
      </c>
      <c r="D1126" s="4" t="b">
        <v>0</v>
      </c>
      <c r="E1126" s="4" t="b">
        <v>1</v>
      </c>
      <c r="F1126" s="4"/>
      <c r="G1126" s="4" t="b">
        <f t="shared" si="17"/>
        <v>0</v>
      </c>
      <c r="H1126" s="4"/>
      <c r="I1126" s="4"/>
      <c r="J1126" s="4" t="s">
        <v>621</v>
      </c>
      <c r="K1126"/>
    </row>
    <row r="1127" spans="1:11" ht="16" x14ac:dyDescent="0.2">
      <c r="A1127" s="6" t="s">
        <v>2298</v>
      </c>
      <c r="B1127" s="6" t="s">
        <v>2299</v>
      </c>
      <c r="C1127" s="4" t="b">
        <v>0</v>
      </c>
      <c r="D1127" s="4" t="b">
        <v>0</v>
      </c>
      <c r="E1127" s="4" t="b">
        <v>1</v>
      </c>
      <c r="F1127" s="4"/>
      <c r="G1127" s="4" t="b">
        <f t="shared" si="17"/>
        <v>0</v>
      </c>
      <c r="H1127" s="4"/>
      <c r="I1127" s="4"/>
      <c r="J1127" s="4" t="s">
        <v>621</v>
      </c>
      <c r="K1127"/>
    </row>
    <row r="1128" spans="1:11" ht="16" x14ac:dyDescent="0.2">
      <c r="A1128" s="6" t="s">
        <v>2300</v>
      </c>
      <c r="B1128" s="6" t="s">
        <v>2301</v>
      </c>
      <c r="C1128" s="4" t="b">
        <v>1</v>
      </c>
      <c r="D1128" s="4" t="b">
        <v>0</v>
      </c>
      <c r="E1128" s="4" t="b">
        <v>1</v>
      </c>
      <c r="F1128" s="4" t="s">
        <v>12</v>
      </c>
      <c r="G1128" s="4" t="b">
        <f t="shared" si="17"/>
        <v>1</v>
      </c>
      <c r="H1128" s="4"/>
      <c r="I1128" s="4"/>
      <c r="J1128" s="4" t="s">
        <v>621</v>
      </c>
    </row>
    <row r="1129" spans="1:11" ht="16" x14ac:dyDescent="0.2">
      <c r="A1129" s="6" t="s">
        <v>2302</v>
      </c>
      <c r="B1129" s="6" t="s">
        <v>2303</v>
      </c>
      <c r="C1129" s="4" t="b">
        <v>0</v>
      </c>
      <c r="D1129" s="4" t="b">
        <v>0</v>
      </c>
      <c r="E1129" s="4" t="b">
        <v>0</v>
      </c>
      <c r="F1129" s="4"/>
      <c r="G1129" s="4" t="b">
        <f t="shared" si="17"/>
        <v>0</v>
      </c>
      <c r="H1129" s="4"/>
      <c r="I1129" s="4"/>
      <c r="J1129" s="4" t="s">
        <v>621</v>
      </c>
      <c r="K1129"/>
    </row>
    <row r="1130" spans="1:11" ht="16" x14ac:dyDescent="0.2">
      <c r="A1130" s="6" t="s">
        <v>2304</v>
      </c>
      <c r="B1130" s="6" t="s">
        <v>2305</v>
      </c>
      <c r="C1130" s="4" t="b">
        <v>0</v>
      </c>
      <c r="D1130" s="4" t="b">
        <v>0</v>
      </c>
      <c r="E1130" s="4" t="b">
        <v>0</v>
      </c>
      <c r="F1130" s="4"/>
      <c r="G1130" s="4" t="b">
        <f t="shared" si="17"/>
        <v>0</v>
      </c>
      <c r="H1130" s="4"/>
      <c r="I1130" s="4"/>
      <c r="J1130" s="4" t="s">
        <v>621</v>
      </c>
      <c r="K1130"/>
    </row>
    <row r="1131" spans="1:11" ht="16" x14ac:dyDescent="0.2">
      <c r="A1131" s="6" t="s">
        <v>2306</v>
      </c>
      <c r="B1131" s="6" t="s">
        <v>2307</v>
      </c>
      <c r="C1131" s="4" t="b">
        <v>1</v>
      </c>
      <c r="D1131" s="4" t="b">
        <v>0</v>
      </c>
      <c r="E1131" s="4" t="b">
        <v>1</v>
      </c>
      <c r="F1131" s="4" t="s">
        <v>12</v>
      </c>
      <c r="G1131" s="4" t="b">
        <f t="shared" si="17"/>
        <v>1</v>
      </c>
      <c r="H1131" s="4"/>
      <c r="I1131" s="4"/>
      <c r="J1131" s="4" t="s">
        <v>621</v>
      </c>
    </row>
    <row r="1132" spans="1:11" ht="16" x14ac:dyDescent="0.2">
      <c r="A1132" s="6" t="s">
        <v>2308</v>
      </c>
      <c r="B1132" s="6" t="s">
        <v>2309</v>
      </c>
      <c r="C1132" s="4" t="b">
        <v>1</v>
      </c>
      <c r="D1132" s="4" t="b">
        <v>0</v>
      </c>
      <c r="E1132" s="4" t="b">
        <v>1</v>
      </c>
      <c r="F1132" s="4" t="s">
        <v>12</v>
      </c>
      <c r="G1132" s="4" t="b">
        <f t="shared" si="17"/>
        <v>1</v>
      </c>
      <c r="H1132" s="4" t="s">
        <v>3004</v>
      </c>
      <c r="I1132" s="4"/>
      <c r="J1132" s="4" t="s">
        <v>621</v>
      </c>
    </row>
    <row r="1133" spans="1:11" ht="16" x14ac:dyDescent="0.2">
      <c r="A1133" s="6" t="s">
        <v>2310</v>
      </c>
      <c r="B1133" s="6" t="s">
        <v>2311</v>
      </c>
      <c r="C1133" s="4" t="b">
        <v>0</v>
      </c>
      <c r="D1133" s="4" t="b">
        <v>0</v>
      </c>
      <c r="E1133" s="4" t="b">
        <v>1</v>
      </c>
      <c r="F1133" s="4"/>
      <c r="G1133" s="4" t="b">
        <f t="shared" si="17"/>
        <v>0</v>
      </c>
      <c r="H1133" s="4"/>
      <c r="I1133" s="4"/>
      <c r="J1133" s="4" t="s">
        <v>621</v>
      </c>
      <c r="K1133"/>
    </row>
    <row r="1134" spans="1:11" ht="16" x14ac:dyDescent="0.2">
      <c r="A1134" s="6" t="s">
        <v>2312</v>
      </c>
      <c r="B1134" s="6" t="s">
        <v>2313</v>
      </c>
      <c r="C1134" s="4" t="b">
        <v>0</v>
      </c>
      <c r="D1134" s="4" t="b">
        <v>0</v>
      </c>
      <c r="E1134" s="4" t="b">
        <v>1</v>
      </c>
      <c r="F1134" s="4"/>
      <c r="G1134" s="4" t="b">
        <f t="shared" si="17"/>
        <v>0</v>
      </c>
      <c r="H1134" s="4"/>
      <c r="I1134" s="4"/>
      <c r="J1134" s="4" t="s">
        <v>621</v>
      </c>
      <c r="K1134"/>
    </row>
    <row r="1135" spans="1:11" ht="64" x14ac:dyDescent="0.2">
      <c r="A1135" s="6" t="s">
        <v>2314</v>
      </c>
      <c r="B1135" s="6" t="s">
        <v>2315</v>
      </c>
      <c r="C1135" s="4" t="b">
        <v>1</v>
      </c>
      <c r="D1135" s="4" t="b">
        <v>0</v>
      </c>
      <c r="E1135" s="4" t="b">
        <v>1</v>
      </c>
      <c r="F1135" s="4" t="s">
        <v>12</v>
      </c>
      <c r="G1135" s="4" t="b">
        <f t="shared" si="17"/>
        <v>1</v>
      </c>
      <c r="H1135" s="4" t="s">
        <v>3002</v>
      </c>
      <c r="I1135" s="4"/>
      <c r="J1135" s="4" t="s">
        <v>621</v>
      </c>
    </row>
    <row r="1136" spans="1:11" ht="80" x14ac:dyDescent="0.2">
      <c r="A1136" s="6" t="s">
        <v>2316</v>
      </c>
      <c r="B1136" s="6" t="s">
        <v>2317</v>
      </c>
      <c r="C1136" s="4" t="b">
        <v>1</v>
      </c>
      <c r="D1136" s="4" t="b">
        <v>1</v>
      </c>
      <c r="E1136" s="4" t="b">
        <v>1</v>
      </c>
      <c r="F1136" s="4" t="s">
        <v>12</v>
      </c>
      <c r="G1136" s="4" t="b">
        <f t="shared" si="17"/>
        <v>1</v>
      </c>
      <c r="H1136" s="4" t="s">
        <v>3001</v>
      </c>
      <c r="I1136" s="4"/>
      <c r="J1136" s="4" t="s">
        <v>621</v>
      </c>
    </row>
    <row r="1137" spans="1:11" ht="16" x14ac:dyDescent="0.2">
      <c r="A1137" s="6" t="s">
        <v>2318</v>
      </c>
      <c r="B1137" s="6" t="s">
        <v>2319</v>
      </c>
      <c r="C1137" s="4" t="b">
        <v>0</v>
      </c>
      <c r="D1137" s="4" t="b">
        <v>0</v>
      </c>
      <c r="E1137" s="4" t="b">
        <v>0</v>
      </c>
      <c r="F1137" s="4"/>
      <c r="G1137" s="4" t="b">
        <f t="shared" si="17"/>
        <v>0</v>
      </c>
      <c r="H1137" s="4"/>
      <c r="I1137" s="4"/>
      <c r="J1137" s="4" t="s">
        <v>621</v>
      </c>
      <c r="K1137"/>
    </row>
    <row r="1138" spans="1:11" ht="16" x14ac:dyDescent="0.2">
      <c r="A1138" s="6" t="s">
        <v>2320</v>
      </c>
      <c r="B1138" s="6" t="s">
        <v>2321</v>
      </c>
      <c r="C1138" s="4" t="b">
        <v>0</v>
      </c>
      <c r="D1138" s="4" t="b">
        <v>0</v>
      </c>
      <c r="E1138" s="4" t="b">
        <v>0</v>
      </c>
      <c r="F1138" s="4"/>
      <c r="G1138" s="4" t="b">
        <f t="shared" si="17"/>
        <v>0</v>
      </c>
      <c r="H1138" s="4"/>
      <c r="I1138" s="4"/>
      <c r="J1138" s="4" t="s">
        <v>621</v>
      </c>
      <c r="K1138"/>
    </row>
    <row r="1139" spans="1:11" ht="80" x14ac:dyDescent="0.2">
      <c r="A1139" s="6" t="s">
        <v>2322</v>
      </c>
      <c r="B1139" s="6" t="s">
        <v>2323</v>
      </c>
      <c r="C1139" s="4" t="b">
        <v>1</v>
      </c>
      <c r="D1139" s="4" t="b">
        <v>1</v>
      </c>
      <c r="E1139" s="4" t="b">
        <v>1</v>
      </c>
      <c r="F1139" s="4" t="s">
        <v>12</v>
      </c>
      <c r="G1139" s="4" t="b">
        <f t="shared" si="17"/>
        <v>1</v>
      </c>
      <c r="H1139" s="4" t="s">
        <v>3003</v>
      </c>
      <c r="I1139" s="4"/>
      <c r="J1139" s="4" t="s">
        <v>621</v>
      </c>
    </row>
    <row r="1140" spans="1:11" ht="16" x14ac:dyDescent="0.2">
      <c r="A1140" s="6" t="s">
        <v>2324</v>
      </c>
      <c r="B1140" s="6" t="s">
        <v>2325</v>
      </c>
      <c r="C1140" s="4" t="b">
        <v>1</v>
      </c>
      <c r="D1140" s="4" t="b">
        <v>1</v>
      </c>
      <c r="E1140" s="4" t="b">
        <v>1</v>
      </c>
      <c r="F1140" s="4" t="s">
        <v>12</v>
      </c>
      <c r="G1140" s="4" t="b">
        <f t="shared" si="17"/>
        <v>1</v>
      </c>
      <c r="H1140" s="4" t="s">
        <v>3000</v>
      </c>
      <c r="I1140" s="4"/>
      <c r="J1140" s="4" t="s">
        <v>1451</v>
      </c>
    </row>
    <row r="1141" spans="1:11" ht="32" x14ac:dyDescent="0.2">
      <c r="A1141" s="6" t="s">
        <v>2326</v>
      </c>
      <c r="B1141" s="6" t="s">
        <v>2327</v>
      </c>
      <c r="C1141" s="4" t="b">
        <v>1</v>
      </c>
      <c r="D1141" s="4" t="b">
        <v>0</v>
      </c>
      <c r="E1141" s="4" t="b">
        <v>1</v>
      </c>
      <c r="F1141" s="4" t="s">
        <v>12</v>
      </c>
      <c r="G1141" s="4" t="b">
        <f t="shared" si="17"/>
        <v>1</v>
      </c>
      <c r="H1141" s="4" t="s">
        <v>2999</v>
      </c>
      <c r="I1141" s="4"/>
      <c r="J1141" s="4" t="s">
        <v>1451</v>
      </c>
      <c r="K1141" s="1" t="s">
        <v>2998</v>
      </c>
    </row>
    <row r="1142" spans="1:11" ht="16" x14ac:dyDescent="0.2">
      <c r="A1142" s="6" t="s">
        <v>2328</v>
      </c>
      <c r="B1142" s="6" t="s">
        <v>2329</v>
      </c>
      <c r="C1142" s="4" t="b">
        <v>0</v>
      </c>
      <c r="D1142" s="4" t="b">
        <v>0</v>
      </c>
      <c r="E1142" s="4" t="b">
        <v>1</v>
      </c>
      <c r="F1142" s="4"/>
      <c r="G1142" s="4" t="b">
        <f t="shared" si="17"/>
        <v>0</v>
      </c>
      <c r="H1142" s="4"/>
      <c r="I1142" s="4"/>
      <c r="J1142" s="4" t="s">
        <v>1451</v>
      </c>
      <c r="K1142"/>
    </row>
    <row r="1143" spans="1:11" ht="16" x14ac:dyDescent="0.2">
      <c r="A1143" s="6" t="s">
        <v>2330</v>
      </c>
      <c r="B1143" s="6" t="s">
        <v>2331</v>
      </c>
      <c r="C1143" s="4" t="b">
        <v>0</v>
      </c>
      <c r="D1143" s="4" t="b">
        <v>0</v>
      </c>
      <c r="E1143" s="4" t="b">
        <v>1</v>
      </c>
      <c r="F1143" s="4"/>
      <c r="G1143" s="4" t="b">
        <f t="shared" si="17"/>
        <v>0</v>
      </c>
      <c r="H1143" s="4"/>
      <c r="I1143" s="4"/>
      <c r="J1143" s="4" t="s">
        <v>1451</v>
      </c>
      <c r="K1143"/>
    </row>
    <row r="1144" spans="1:11" ht="16" x14ac:dyDescent="0.2">
      <c r="A1144" s="6" t="s">
        <v>2332</v>
      </c>
      <c r="B1144" s="6" t="s">
        <v>2333</v>
      </c>
      <c r="C1144" s="4" t="b">
        <v>0</v>
      </c>
      <c r="D1144" s="4" t="b">
        <v>0</v>
      </c>
      <c r="E1144" s="4" t="b">
        <v>0</v>
      </c>
      <c r="F1144" s="4"/>
      <c r="G1144" s="4" t="b">
        <f t="shared" si="17"/>
        <v>0</v>
      </c>
      <c r="H1144" s="4"/>
      <c r="I1144" s="4"/>
      <c r="J1144" s="4" t="s">
        <v>1451</v>
      </c>
      <c r="K1144"/>
    </row>
    <row r="1145" spans="1:11" ht="64" x14ac:dyDescent="0.2">
      <c r="A1145" s="6" t="s">
        <v>2334</v>
      </c>
      <c r="B1145" s="6" t="s">
        <v>2335</v>
      </c>
      <c r="C1145" s="4" t="b">
        <v>1</v>
      </c>
      <c r="D1145" s="4" t="b">
        <v>1</v>
      </c>
      <c r="E1145" s="4" t="b">
        <v>1</v>
      </c>
      <c r="F1145" s="4" t="s">
        <v>12</v>
      </c>
      <c r="G1145" s="4" t="b">
        <f t="shared" si="17"/>
        <v>1</v>
      </c>
      <c r="H1145" s="4" t="s">
        <v>2997</v>
      </c>
      <c r="I1145" s="4"/>
      <c r="J1145" s="4" t="s">
        <v>14</v>
      </c>
    </row>
    <row r="1146" spans="1:11" ht="16" x14ac:dyDescent="0.2">
      <c r="A1146" s="6" t="s">
        <v>2336</v>
      </c>
      <c r="B1146" s="6" t="s">
        <v>2337</v>
      </c>
      <c r="C1146" s="4" t="b">
        <v>1</v>
      </c>
      <c r="D1146" s="4" t="b">
        <v>0</v>
      </c>
      <c r="E1146" s="4" t="b">
        <v>1</v>
      </c>
      <c r="F1146" s="4" t="s">
        <v>12</v>
      </c>
      <c r="G1146" s="4" t="b">
        <f t="shared" si="17"/>
        <v>1</v>
      </c>
      <c r="H1146" s="4" t="s">
        <v>2996</v>
      </c>
      <c r="I1146" s="4"/>
      <c r="J1146" s="4" t="s">
        <v>14</v>
      </c>
    </row>
    <row r="1147" spans="1:11" ht="16" x14ac:dyDescent="0.2">
      <c r="A1147" s="6" t="s">
        <v>2338</v>
      </c>
      <c r="B1147" s="6" t="s">
        <v>2339</v>
      </c>
      <c r="C1147" s="4" t="b">
        <v>0</v>
      </c>
      <c r="D1147" s="4" t="b">
        <v>0</v>
      </c>
      <c r="E1147" s="4" t="b">
        <v>0</v>
      </c>
      <c r="F1147" s="4"/>
      <c r="G1147" s="4" t="b">
        <f t="shared" si="17"/>
        <v>0</v>
      </c>
      <c r="H1147" s="4"/>
      <c r="I1147" s="4"/>
      <c r="J1147" s="4" t="s">
        <v>14</v>
      </c>
      <c r="K1147"/>
    </row>
    <row r="1148" spans="1:11" ht="48" x14ac:dyDescent="0.2">
      <c r="A1148" s="6" t="s">
        <v>2340</v>
      </c>
      <c r="B1148" s="6" t="s">
        <v>2341</v>
      </c>
      <c r="C1148" s="4" t="b">
        <v>1</v>
      </c>
      <c r="D1148" s="4" t="b">
        <v>1</v>
      </c>
      <c r="E1148" s="4" t="b">
        <v>1</v>
      </c>
      <c r="F1148" s="4" t="s">
        <v>12</v>
      </c>
      <c r="G1148" s="4" t="b">
        <f t="shared" si="17"/>
        <v>1</v>
      </c>
      <c r="H1148" s="4" t="s">
        <v>2995</v>
      </c>
      <c r="I1148" s="4"/>
      <c r="J1148" s="4" t="s">
        <v>14</v>
      </c>
    </row>
    <row r="1149" spans="1:11" ht="16" x14ac:dyDescent="0.2">
      <c r="A1149" s="6" t="s">
        <v>2342</v>
      </c>
      <c r="B1149" s="6" t="s">
        <v>2343</v>
      </c>
      <c r="C1149" s="4" t="b">
        <v>0</v>
      </c>
      <c r="D1149" s="4" t="b">
        <v>0</v>
      </c>
      <c r="E1149" s="4" t="b">
        <v>0</v>
      </c>
      <c r="F1149" s="4"/>
      <c r="G1149" s="4" t="b">
        <f t="shared" si="17"/>
        <v>0</v>
      </c>
      <c r="H1149" s="4"/>
      <c r="I1149" s="4"/>
      <c r="J1149" s="4" t="s">
        <v>26</v>
      </c>
      <c r="K1149"/>
    </row>
    <row r="1150" spans="1:11" ht="16" x14ac:dyDescent="0.2">
      <c r="A1150" s="6" t="s">
        <v>2344</v>
      </c>
      <c r="B1150" s="6" t="s">
        <v>2345</v>
      </c>
      <c r="C1150" s="4" t="b">
        <v>1</v>
      </c>
      <c r="D1150" s="4" t="b">
        <v>0</v>
      </c>
      <c r="E1150" s="4" t="b">
        <v>1</v>
      </c>
      <c r="F1150" s="4" t="s">
        <v>12</v>
      </c>
      <c r="G1150" s="4" t="b">
        <f t="shared" si="17"/>
        <v>1</v>
      </c>
      <c r="H1150" s="4" t="s">
        <v>2994</v>
      </c>
      <c r="I1150" s="4"/>
      <c r="J1150" s="4" t="s">
        <v>26</v>
      </c>
    </row>
    <row r="1151" spans="1:11" ht="16" x14ac:dyDescent="0.2">
      <c r="A1151" s="6" t="s">
        <v>2346</v>
      </c>
      <c r="B1151" s="6" t="s">
        <v>2347</v>
      </c>
      <c r="C1151" s="4" t="b">
        <v>1</v>
      </c>
      <c r="D1151" s="4" t="b">
        <v>0</v>
      </c>
      <c r="E1151" s="4" t="b">
        <v>1</v>
      </c>
      <c r="F1151" s="4" t="s">
        <v>12</v>
      </c>
      <c r="G1151" s="4" t="b">
        <f t="shared" si="17"/>
        <v>1</v>
      </c>
      <c r="H1151" s="4"/>
      <c r="I1151" s="4"/>
      <c r="J1151" s="4" t="s">
        <v>26</v>
      </c>
    </row>
    <row r="1152" spans="1:11" ht="48" x14ac:dyDescent="0.2">
      <c r="A1152" s="6" t="s">
        <v>2348</v>
      </c>
      <c r="B1152" s="6" t="s">
        <v>2349</v>
      </c>
      <c r="C1152" s="4" t="b">
        <v>1</v>
      </c>
      <c r="D1152" s="4" t="b">
        <v>0</v>
      </c>
      <c r="E1152" s="4" t="b">
        <v>1</v>
      </c>
      <c r="F1152" s="4" t="s">
        <v>12</v>
      </c>
      <c r="G1152" s="4" t="b">
        <f t="shared" si="17"/>
        <v>1</v>
      </c>
      <c r="H1152" s="4" t="s">
        <v>2993</v>
      </c>
      <c r="I1152" s="4"/>
      <c r="J1152" s="4" t="s">
        <v>26</v>
      </c>
    </row>
    <row r="1153" spans="1:11" ht="16" x14ac:dyDescent="0.2">
      <c r="A1153" s="6" t="s">
        <v>2350</v>
      </c>
      <c r="B1153" s="6" t="s">
        <v>2351</v>
      </c>
      <c r="C1153" s="4" t="b">
        <v>0</v>
      </c>
      <c r="D1153" s="4" t="b">
        <v>0</v>
      </c>
      <c r="E1153" s="4" t="b">
        <v>1</v>
      </c>
      <c r="F1153" s="4"/>
      <c r="G1153" s="4" t="b">
        <f t="shared" si="17"/>
        <v>0</v>
      </c>
      <c r="H1153" s="4"/>
      <c r="I1153" s="4"/>
      <c r="J1153" s="4" t="s">
        <v>26</v>
      </c>
      <c r="K1153"/>
    </row>
    <row r="1154" spans="1:11" ht="16" x14ac:dyDescent="0.2">
      <c r="A1154" s="6" t="s">
        <v>2352</v>
      </c>
      <c r="B1154" s="6" t="s">
        <v>2353</v>
      </c>
      <c r="C1154" s="4" t="b">
        <v>0</v>
      </c>
      <c r="D1154" s="4" t="b">
        <v>0</v>
      </c>
      <c r="E1154" s="4" t="b">
        <v>0</v>
      </c>
      <c r="F1154" s="4"/>
      <c r="G1154" s="4" t="b">
        <f t="shared" ref="G1154:G1217" si="18">IF(F1154="✔", TRUE, FALSE)</f>
        <v>0</v>
      </c>
      <c r="H1154" s="4"/>
      <c r="I1154" s="4"/>
      <c r="J1154" s="4" t="s">
        <v>26</v>
      </c>
      <c r="K1154"/>
    </row>
    <row r="1155" spans="1:11" ht="160" x14ac:dyDescent="0.2">
      <c r="A1155" s="6" t="s">
        <v>2354</v>
      </c>
      <c r="B1155" s="6" t="s">
        <v>2355</v>
      </c>
      <c r="C1155" s="4" t="b">
        <v>1</v>
      </c>
      <c r="D1155" s="4" t="b">
        <v>0</v>
      </c>
      <c r="E1155" s="4" t="b">
        <v>1</v>
      </c>
      <c r="F1155" s="4" t="s">
        <v>12</v>
      </c>
      <c r="G1155" s="4" t="b">
        <f t="shared" si="18"/>
        <v>1</v>
      </c>
      <c r="H1155" s="4" t="s">
        <v>2990</v>
      </c>
      <c r="I1155" s="4"/>
      <c r="J1155" s="4" t="s">
        <v>26</v>
      </c>
      <c r="K1155" s="4" t="s">
        <v>2998</v>
      </c>
    </row>
    <row r="1156" spans="1:11" ht="16" x14ac:dyDescent="0.2">
      <c r="A1156" s="6" t="s">
        <v>2356</v>
      </c>
      <c r="B1156" s="6" t="s">
        <v>2357</v>
      </c>
      <c r="C1156" s="4" t="b">
        <v>0</v>
      </c>
      <c r="D1156" s="4" t="b">
        <v>0</v>
      </c>
      <c r="E1156" s="4" t="b">
        <v>1</v>
      </c>
      <c r="F1156" s="4"/>
      <c r="G1156" s="4" t="b">
        <f t="shared" si="18"/>
        <v>0</v>
      </c>
      <c r="H1156" s="4"/>
      <c r="I1156" s="4"/>
      <c r="J1156" s="4" t="s">
        <v>26</v>
      </c>
      <c r="K1156"/>
    </row>
    <row r="1157" spans="1:11" ht="16" x14ac:dyDescent="0.2">
      <c r="A1157" s="6" t="s">
        <v>2358</v>
      </c>
      <c r="B1157" s="6" t="s">
        <v>2359</v>
      </c>
      <c r="C1157" s="4" t="b">
        <v>0</v>
      </c>
      <c r="D1157" s="4" t="b">
        <v>0</v>
      </c>
      <c r="E1157" s="4" t="b">
        <v>1</v>
      </c>
      <c r="F1157" s="4"/>
      <c r="G1157" s="4" t="b">
        <f t="shared" si="18"/>
        <v>0</v>
      </c>
      <c r="H1157" s="4"/>
      <c r="I1157" s="4"/>
      <c r="J1157" s="4" t="s">
        <v>26</v>
      </c>
      <c r="K1157"/>
    </row>
    <row r="1158" spans="1:11" ht="16" x14ac:dyDescent="0.2">
      <c r="A1158" s="6" t="s">
        <v>2360</v>
      </c>
      <c r="B1158" s="6" t="s">
        <v>2361</v>
      </c>
      <c r="C1158" s="4" t="b">
        <v>0</v>
      </c>
      <c r="D1158" s="4" t="b">
        <v>0</v>
      </c>
      <c r="E1158" s="4" t="b">
        <v>1</v>
      </c>
      <c r="F1158" s="4"/>
      <c r="G1158" s="4" t="b">
        <f t="shared" si="18"/>
        <v>0</v>
      </c>
      <c r="H1158" s="4"/>
      <c r="I1158" s="4"/>
      <c r="J1158" s="4" t="s">
        <v>26</v>
      </c>
      <c r="K1158"/>
    </row>
    <row r="1159" spans="1:11" ht="64" x14ac:dyDescent="0.2">
      <c r="A1159" s="6" t="s">
        <v>2362</v>
      </c>
      <c r="B1159" s="6" t="s">
        <v>2363</v>
      </c>
      <c r="C1159" s="4" t="b">
        <v>1</v>
      </c>
      <c r="D1159" s="4" t="b">
        <v>0</v>
      </c>
      <c r="E1159" s="4" t="b">
        <v>1</v>
      </c>
      <c r="F1159" s="4" t="s">
        <v>12</v>
      </c>
      <c r="G1159" s="4" t="b">
        <f t="shared" si="18"/>
        <v>1</v>
      </c>
      <c r="H1159" s="4" t="s">
        <v>2989</v>
      </c>
      <c r="I1159" s="4"/>
      <c r="J1159" s="4" t="s">
        <v>26</v>
      </c>
    </row>
    <row r="1160" spans="1:11" ht="16" x14ac:dyDescent="0.2">
      <c r="A1160" s="6" t="s">
        <v>2364</v>
      </c>
      <c r="B1160" s="6" t="s">
        <v>2365</v>
      </c>
      <c r="C1160" s="4" t="b">
        <v>0</v>
      </c>
      <c r="D1160" s="4" t="b">
        <v>0</v>
      </c>
      <c r="E1160" s="4" t="b">
        <v>0</v>
      </c>
      <c r="F1160" s="4"/>
      <c r="G1160" s="4" t="b">
        <f t="shared" si="18"/>
        <v>0</v>
      </c>
      <c r="H1160" s="4"/>
      <c r="I1160" s="4"/>
      <c r="J1160" s="4" t="s">
        <v>26</v>
      </c>
      <c r="K1160"/>
    </row>
    <row r="1161" spans="1:11" ht="112" x14ac:dyDescent="0.2">
      <c r="A1161" s="6" t="s">
        <v>2366</v>
      </c>
      <c r="B1161" s="6" t="s">
        <v>2367</v>
      </c>
      <c r="C1161" s="4" t="b">
        <v>1</v>
      </c>
      <c r="D1161" s="4" t="b">
        <v>1</v>
      </c>
      <c r="E1161" s="4" t="b">
        <v>1</v>
      </c>
      <c r="F1161" s="4" t="s">
        <v>12</v>
      </c>
      <c r="G1161" s="4" t="b">
        <f t="shared" si="18"/>
        <v>1</v>
      </c>
      <c r="H1161" s="4" t="s">
        <v>2988</v>
      </c>
      <c r="I1161" s="4"/>
      <c r="J1161" s="4" t="s">
        <v>26</v>
      </c>
    </row>
    <row r="1162" spans="1:11" ht="16" x14ac:dyDescent="0.2">
      <c r="A1162" s="6" t="s">
        <v>2368</v>
      </c>
      <c r="B1162" s="6" t="s">
        <v>2369</v>
      </c>
      <c r="C1162" s="4" t="b">
        <v>0</v>
      </c>
      <c r="D1162" s="4" t="b">
        <v>0</v>
      </c>
      <c r="E1162" s="4" t="b">
        <v>1</v>
      </c>
      <c r="F1162" s="4"/>
      <c r="G1162" s="4" t="b">
        <f t="shared" si="18"/>
        <v>0</v>
      </c>
      <c r="H1162" s="4"/>
      <c r="I1162" s="4"/>
      <c r="J1162" s="4" t="s">
        <v>26</v>
      </c>
      <c r="K1162"/>
    </row>
    <row r="1163" spans="1:11" ht="80" x14ac:dyDescent="0.2">
      <c r="A1163" s="6" t="s">
        <v>2370</v>
      </c>
      <c r="B1163" s="6" t="s">
        <v>2371</v>
      </c>
      <c r="C1163" s="4" t="b">
        <v>1</v>
      </c>
      <c r="D1163" s="4" t="b">
        <v>1</v>
      </c>
      <c r="E1163" s="4" t="b">
        <v>1</v>
      </c>
      <c r="F1163" s="4" t="s">
        <v>12</v>
      </c>
      <c r="G1163" s="4" t="b">
        <f t="shared" si="18"/>
        <v>1</v>
      </c>
      <c r="H1163" s="4" t="s">
        <v>2987</v>
      </c>
      <c r="I1163" s="4"/>
      <c r="J1163" s="4" t="s">
        <v>26</v>
      </c>
    </row>
    <row r="1164" spans="1:11" ht="16" x14ac:dyDescent="0.2">
      <c r="A1164" s="6" t="s">
        <v>2372</v>
      </c>
      <c r="B1164" s="6" t="s">
        <v>2373</v>
      </c>
      <c r="C1164" s="4" t="b">
        <v>0</v>
      </c>
      <c r="D1164" s="4" t="b">
        <v>0</v>
      </c>
      <c r="E1164" s="4" t="b">
        <v>0</v>
      </c>
      <c r="F1164" s="4" t="s">
        <v>12</v>
      </c>
      <c r="G1164" s="4" t="b">
        <f t="shared" si="18"/>
        <v>1</v>
      </c>
      <c r="H1164" s="4" t="s">
        <v>2986</v>
      </c>
      <c r="I1164" s="4"/>
      <c r="J1164" s="4" t="s">
        <v>26</v>
      </c>
    </row>
    <row r="1165" spans="1:11" ht="16" x14ac:dyDescent="0.2">
      <c r="A1165" s="6" t="s">
        <v>2374</v>
      </c>
      <c r="B1165" s="6" t="s">
        <v>2375</v>
      </c>
      <c r="C1165" s="4" t="b">
        <v>1</v>
      </c>
      <c r="D1165" s="4" t="b">
        <v>0</v>
      </c>
      <c r="E1165" s="4" t="b">
        <v>1</v>
      </c>
      <c r="F1165" s="4" t="s">
        <v>12</v>
      </c>
      <c r="G1165" s="4" t="b">
        <f t="shared" si="18"/>
        <v>1</v>
      </c>
      <c r="H1165" s="4" t="s">
        <v>2985</v>
      </c>
      <c r="I1165" s="4"/>
      <c r="J1165" s="4" t="s">
        <v>26</v>
      </c>
    </row>
    <row r="1166" spans="1:11" ht="16" x14ac:dyDescent="0.2">
      <c r="A1166" s="6" t="s">
        <v>2376</v>
      </c>
      <c r="B1166" s="6" t="s">
        <v>2377</v>
      </c>
      <c r="C1166" s="4" t="b">
        <v>0</v>
      </c>
      <c r="D1166" s="4" t="b">
        <v>0</v>
      </c>
      <c r="E1166" s="4" t="b">
        <v>1</v>
      </c>
      <c r="F1166" s="4"/>
      <c r="G1166" s="4" t="b">
        <f t="shared" si="18"/>
        <v>0</v>
      </c>
      <c r="H1166" s="4"/>
      <c r="I1166" s="4"/>
      <c r="J1166" s="4" t="s">
        <v>26</v>
      </c>
      <c r="K1166"/>
    </row>
    <row r="1167" spans="1:11" ht="48" x14ac:dyDescent="0.2">
      <c r="A1167" s="6" t="s">
        <v>2378</v>
      </c>
      <c r="B1167" s="6" t="s">
        <v>2379</v>
      </c>
      <c r="C1167" s="4" t="b">
        <v>1</v>
      </c>
      <c r="D1167" s="4" t="b">
        <v>0</v>
      </c>
      <c r="E1167" s="4" t="b">
        <v>1</v>
      </c>
      <c r="F1167" s="4" t="s">
        <v>12</v>
      </c>
      <c r="G1167" s="4" t="b">
        <f t="shared" si="18"/>
        <v>1</v>
      </c>
      <c r="H1167" s="4" t="s">
        <v>2984</v>
      </c>
      <c r="I1167" s="4"/>
      <c r="J1167" s="4" t="s">
        <v>26</v>
      </c>
    </row>
    <row r="1168" spans="1:11" ht="16" x14ac:dyDescent="0.2">
      <c r="A1168" s="6" t="s">
        <v>2380</v>
      </c>
      <c r="B1168" s="6" t="s">
        <v>2381</v>
      </c>
      <c r="C1168" s="4" t="b">
        <v>0</v>
      </c>
      <c r="D1168" s="4" t="b">
        <v>0</v>
      </c>
      <c r="E1168" s="4" t="b">
        <v>0</v>
      </c>
      <c r="F1168" s="4"/>
      <c r="G1168" s="4" t="b">
        <f t="shared" si="18"/>
        <v>0</v>
      </c>
      <c r="H1168" s="4"/>
      <c r="I1168" s="4"/>
      <c r="J1168" s="4" t="s">
        <v>26</v>
      </c>
      <c r="K1168"/>
    </row>
    <row r="1169" spans="1:11" ht="16" x14ac:dyDescent="0.2">
      <c r="A1169" s="6" t="s">
        <v>2382</v>
      </c>
      <c r="B1169" s="6" t="s">
        <v>2383</v>
      </c>
      <c r="C1169" s="4" t="b">
        <v>0</v>
      </c>
      <c r="D1169" s="4" t="b">
        <v>0</v>
      </c>
      <c r="E1169" s="4" t="b">
        <v>0</v>
      </c>
      <c r="F1169" s="4"/>
      <c r="G1169" s="4" t="b">
        <f t="shared" si="18"/>
        <v>0</v>
      </c>
      <c r="H1169" s="4"/>
      <c r="I1169" s="4"/>
      <c r="J1169" s="4" t="s">
        <v>26</v>
      </c>
      <c r="K1169"/>
    </row>
    <row r="1170" spans="1:11" ht="16" x14ac:dyDescent="0.2">
      <c r="A1170" s="6" t="s">
        <v>2384</v>
      </c>
      <c r="B1170" s="6" t="s">
        <v>2385</v>
      </c>
      <c r="C1170" s="4" t="b">
        <v>0</v>
      </c>
      <c r="D1170" s="4" t="b">
        <v>0</v>
      </c>
      <c r="E1170" s="4" t="b">
        <v>0</v>
      </c>
      <c r="F1170" s="4"/>
      <c r="G1170" s="4" t="b">
        <f t="shared" si="18"/>
        <v>0</v>
      </c>
      <c r="H1170" s="4"/>
      <c r="I1170" s="4"/>
      <c r="J1170" s="4" t="s">
        <v>26</v>
      </c>
      <c r="K1170"/>
    </row>
    <row r="1171" spans="1:11" ht="32" x14ac:dyDescent="0.2">
      <c r="A1171" s="6" t="s">
        <v>2386</v>
      </c>
      <c r="B1171" s="6" t="s">
        <v>2387</v>
      </c>
      <c r="C1171" s="4" t="b">
        <v>1</v>
      </c>
      <c r="D1171" s="4" t="b">
        <v>0</v>
      </c>
      <c r="E1171" s="4" t="b">
        <v>1</v>
      </c>
      <c r="F1171" s="4" t="s">
        <v>12</v>
      </c>
      <c r="G1171" s="4" t="b">
        <f t="shared" si="18"/>
        <v>1</v>
      </c>
      <c r="H1171" s="4" t="s">
        <v>2983</v>
      </c>
      <c r="I1171" s="4"/>
      <c r="J1171" s="4" t="s">
        <v>2981</v>
      </c>
    </row>
    <row r="1172" spans="1:11" ht="16" x14ac:dyDescent="0.2">
      <c r="A1172" s="6" t="s">
        <v>2388</v>
      </c>
      <c r="B1172" s="6" t="s">
        <v>2389</v>
      </c>
      <c r="C1172" s="4" t="b">
        <v>0</v>
      </c>
      <c r="D1172" s="4" t="b">
        <v>0</v>
      </c>
      <c r="E1172" s="4" t="b">
        <v>0</v>
      </c>
      <c r="F1172" s="4"/>
      <c r="G1172" s="4" t="b">
        <f t="shared" si="18"/>
        <v>0</v>
      </c>
      <c r="H1172" s="4"/>
      <c r="I1172" s="4"/>
      <c r="J1172" s="4" t="s">
        <v>98</v>
      </c>
      <c r="K1172"/>
    </row>
    <row r="1173" spans="1:11" ht="16" x14ac:dyDescent="0.2">
      <c r="A1173" s="6" t="s">
        <v>2390</v>
      </c>
      <c r="B1173" s="6" t="s">
        <v>2391</v>
      </c>
      <c r="C1173" s="4" t="b">
        <v>1</v>
      </c>
      <c r="D1173" s="4" t="b">
        <v>0</v>
      </c>
      <c r="E1173" s="4" t="b">
        <v>1</v>
      </c>
      <c r="F1173" s="4" t="s">
        <v>12</v>
      </c>
      <c r="G1173" s="4" t="b">
        <f t="shared" si="18"/>
        <v>1</v>
      </c>
      <c r="H1173" s="4" t="s">
        <v>3282</v>
      </c>
      <c r="I1173" s="4"/>
      <c r="J1173" s="4" t="s">
        <v>98</v>
      </c>
      <c r="K1173"/>
    </row>
    <row r="1174" spans="1:11" ht="32" x14ac:dyDescent="0.2">
      <c r="A1174" s="6" t="s">
        <v>2392</v>
      </c>
      <c r="B1174" s="6" t="s">
        <v>2393</v>
      </c>
      <c r="C1174" s="4" t="b">
        <v>1</v>
      </c>
      <c r="D1174" s="4" t="b">
        <v>0</v>
      </c>
      <c r="E1174" s="4" t="b">
        <v>1</v>
      </c>
      <c r="F1174" s="4" t="s">
        <v>12</v>
      </c>
      <c r="G1174" s="4" t="b">
        <f t="shared" si="18"/>
        <v>1</v>
      </c>
      <c r="H1174" s="4" t="s">
        <v>3281</v>
      </c>
      <c r="I1174" s="4"/>
      <c r="J1174" s="4" t="s">
        <v>98</v>
      </c>
      <c r="K1174"/>
    </row>
    <row r="1175" spans="1:11" ht="16" x14ac:dyDescent="0.2">
      <c r="A1175" s="6" t="s">
        <v>2394</v>
      </c>
      <c r="B1175" s="6" t="s">
        <v>2395</v>
      </c>
      <c r="C1175" s="4" t="b">
        <v>0</v>
      </c>
      <c r="D1175" s="4" t="b">
        <v>0</v>
      </c>
      <c r="E1175" s="4" t="b">
        <v>0</v>
      </c>
      <c r="F1175" s="4"/>
      <c r="G1175" s="4" t="b">
        <f t="shared" si="18"/>
        <v>0</v>
      </c>
      <c r="H1175" s="4"/>
      <c r="I1175" s="4"/>
      <c r="J1175" s="4" t="s">
        <v>98</v>
      </c>
      <c r="K1175"/>
    </row>
    <row r="1176" spans="1:11" ht="16" x14ac:dyDescent="0.2">
      <c r="A1176" s="6" t="s">
        <v>2396</v>
      </c>
      <c r="B1176" s="6" t="s">
        <v>2397</v>
      </c>
      <c r="C1176" s="4" t="b">
        <v>0</v>
      </c>
      <c r="D1176" s="4" t="b">
        <v>0</v>
      </c>
      <c r="E1176" s="4" t="b">
        <v>0</v>
      </c>
      <c r="F1176" s="4"/>
      <c r="G1176" s="4" t="b">
        <f t="shared" si="18"/>
        <v>0</v>
      </c>
      <c r="H1176" s="4"/>
      <c r="I1176" s="4"/>
      <c r="J1176" s="4" t="s">
        <v>98</v>
      </c>
      <c r="K1176"/>
    </row>
    <row r="1177" spans="1:11" ht="16" x14ac:dyDescent="0.2">
      <c r="A1177" s="6" t="s">
        <v>2398</v>
      </c>
      <c r="B1177" s="6" t="s">
        <v>2399</v>
      </c>
      <c r="C1177" s="4" t="b">
        <v>0</v>
      </c>
      <c r="D1177" s="4" t="b">
        <v>0</v>
      </c>
      <c r="E1177" s="4" t="b">
        <v>0</v>
      </c>
      <c r="F1177" s="4"/>
      <c r="G1177" s="4" t="b">
        <f t="shared" si="18"/>
        <v>0</v>
      </c>
      <c r="H1177" s="4"/>
      <c r="I1177" s="4"/>
      <c r="J1177" s="4" t="s">
        <v>98</v>
      </c>
      <c r="K1177"/>
    </row>
    <row r="1178" spans="1:11" ht="16" x14ac:dyDescent="0.2">
      <c r="A1178" s="6" t="s">
        <v>2400</v>
      </c>
      <c r="B1178" s="6" t="s">
        <v>2401</v>
      </c>
      <c r="C1178" s="4" t="b">
        <v>0</v>
      </c>
      <c r="D1178" s="4" t="b">
        <v>0</v>
      </c>
      <c r="E1178" s="4" t="b">
        <v>0</v>
      </c>
      <c r="F1178" s="4"/>
      <c r="G1178" s="4" t="b">
        <f t="shared" si="18"/>
        <v>0</v>
      </c>
      <c r="H1178" s="4"/>
      <c r="I1178" s="4"/>
      <c r="J1178" s="4" t="s">
        <v>98</v>
      </c>
      <c r="K1178"/>
    </row>
    <row r="1179" spans="1:11" ht="16" x14ac:dyDescent="0.2">
      <c r="A1179" s="6" t="s">
        <v>2402</v>
      </c>
      <c r="B1179" s="6" t="s">
        <v>2403</v>
      </c>
      <c r="C1179" s="4" t="b">
        <v>0</v>
      </c>
      <c r="D1179" s="4" t="b">
        <v>0</v>
      </c>
      <c r="E1179" s="4" t="b">
        <v>0</v>
      </c>
      <c r="F1179" s="4"/>
      <c r="G1179" s="4" t="b">
        <f t="shared" si="18"/>
        <v>0</v>
      </c>
      <c r="H1179" s="4"/>
      <c r="I1179" s="4"/>
      <c r="J1179" s="4" t="s">
        <v>98</v>
      </c>
      <c r="K1179"/>
    </row>
    <row r="1180" spans="1:11" ht="16" x14ac:dyDescent="0.2">
      <c r="A1180" s="6" t="s">
        <v>2404</v>
      </c>
      <c r="B1180" s="6" t="s">
        <v>2405</v>
      </c>
      <c r="C1180" s="4" t="b">
        <v>0</v>
      </c>
      <c r="D1180" s="4" t="b">
        <v>0</v>
      </c>
      <c r="E1180" s="4" t="b">
        <v>1</v>
      </c>
      <c r="F1180" s="4"/>
      <c r="G1180" s="4" t="b">
        <f t="shared" si="18"/>
        <v>0</v>
      </c>
      <c r="H1180" s="4"/>
      <c r="I1180" s="4"/>
      <c r="J1180" s="4" t="s">
        <v>98</v>
      </c>
      <c r="K1180"/>
    </row>
    <row r="1181" spans="1:11" ht="16" x14ac:dyDescent="0.2">
      <c r="A1181" s="6" t="s">
        <v>2406</v>
      </c>
      <c r="B1181" s="6" t="s">
        <v>2407</v>
      </c>
      <c r="C1181" s="4" t="b">
        <v>0</v>
      </c>
      <c r="D1181" s="4" t="b">
        <v>0</v>
      </c>
      <c r="E1181" s="4" t="b">
        <v>0</v>
      </c>
      <c r="F1181" s="4"/>
      <c r="G1181" s="4" t="b">
        <f t="shared" si="18"/>
        <v>0</v>
      </c>
      <c r="H1181" s="4"/>
      <c r="I1181" s="4"/>
      <c r="J1181" s="4" t="s">
        <v>98</v>
      </c>
      <c r="K1181"/>
    </row>
    <row r="1182" spans="1:11" ht="80" x14ac:dyDescent="0.2">
      <c r="A1182" s="6" t="s">
        <v>2408</v>
      </c>
      <c r="B1182" s="6" t="s">
        <v>2409</v>
      </c>
      <c r="C1182" s="4" t="b">
        <v>1</v>
      </c>
      <c r="D1182" s="4" t="b">
        <v>1</v>
      </c>
      <c r="E1182" s="4" t="b">
        <v>1</v>
      </c>
      <c r="F1182" s="4" t="s">
        <v>12</v>
      </c>
      <c r="G1182" s="4" t="b">
        <f t="shared" si="18"/>
        <v>1</v>
      </c>
      <c r="H1182" s="4" t="s">
        <v>3280</v>
      </c>
      <c r="I1182" s="4"/>
      <c r="J1182" s="4" t="s">
        <v>98</v>
      </c>
      <c r="K1182"/>
    </row>
    <row r="1183" spans="1:11" ht="16" x14ac:dyDescent="0.2">
      <c r="A1183" s="6" t="s">
        <v>2410</v>
      </c>
      <c r="B1183" s="6" t="s">
        <v>2411</v>
      </c>
      <c r="C1183" s="4" t="b">
        <v>0</v>
      </c>
      <c r="D1183" s="4" t="b">
        <v>0</v>
      </c>
      <c r="E1183" s="4" t="b">
        <v>0</v>
      </c>
      <c r="F1183" s="4"/>
      <c r="G1183" s="4" t="b">
        <f t="shared" si="18"/>
        <v>0</v>
      </c>
      <c r="H1183" s="4"/>
      <c r="I1183" s="4"/>
      <c r="J1183" s="4" t="s">
        <v>98</v>
      </c>
      <c r="K1183"/>
    </row>
    <row r="1184" spans="1:11" ht="64" x14ac:dyDescent="0.2">
      <c r="A1184" s="6" t="s">
        <v>2412</v>
      </c>
      <c r="B1184" s="6" t="s">
        <v>2413</v>
      </c>
      <c r="C1184" s="4" t="b">
        <v>1</v>
      </c>
      <c r="D1184" s="4" t="b">
        <v>0</v>
      </c>
      <c r="E1184" s="4" t="b">
        <v>1</v>
      </c>
      <c r="F1184" s="4" t="s">
        <v>12</v>
      </c>
      <c r="G1184" s="4" t="b">
        <f t="shared" si="18"/>
        <v>1</v>
      </c>
      <c r="H1184" s="4" t="s">
        <v>3279</v>
      </c>
      <c r="I1184" s="4"/>
      <c r="J1184" s="4" t="s">
        <v>98</v>
      </c>
      <c r="K1184"/>
    </row>
    <row r="1185" spans="1:10" customFormat="1" ht="16" x14ac:dyDescent="0.2">
      <c r="A1185" s="6" t="s">
        <v>2414</v>
      </c>
      <c r="B1185" s="6" t="s">
        <v>2415</v>
      </c>
      <c r="C1185" s="4" t="b">
        <v>0</v>
      </c>
      <c r="D1185" s="4" t="b">
        <v>0</v>
      </c>
      <c r="E1185" s="4" t="b">
        <v>0</v>
      </c>
      <c r="F1185" s="4"/>
      <c r="G1185" s="4" t="b">
        <f t="shared" si="18"/>
        <v>0</v>
      </c>
      <c r="H1185" s="4"/>
      <c r="I1185" s="4"/>
      <c r="J1185" s="4" t="s">
        <v>98</v>
      </c>
    </row>
    <row r="1186" spans="1:10" customFormat="1" ht="16" x14ac:dyDescent="0.2">
      <c r="A1186" s="6" t="s">
        <v>2416</v>
      </c>
      <c r="B1186" s="6" t="s">
        <v>2417</v>
      </c>
      <c r="C1186" s="4" t="b">
        <v>0</v>
      </c>
      <c r="D1186" s="4" t="b">
        <v>0</v>
      </c>
      <c r="E1186" s="4" t="b">
        <v>1</v>
      </c>
      <c r="F1186" s="4"/>
      <c r="G1186" s="4" t="b">
        <f t="shared" si="18"/>
        <v>0</v>
      </c>
      <c r="H1186" s="4"/>
      <c r="I1186" s="4"/>
      <c r="J1186" s="4" t="s">
        <v>98</v>
      </c>
    </row>
    <row r="1187" spans="1:10" customFormat="1" ht="64" x14ac:dyDescent="0.2">
      <c r="A1187" s="6" t="s">
        <v>2418</v>
      </c>
      <c r="B1187" s="6" t="s">
        <v>2419</v>
      </c>
      <c r="C1187" s="4" t="b">
        <v>1</v>
      </c>
      <c r="D1187" s="4" t="b">
        <v>1</v>
      </c>
      <c r="E1187" s="4" t="b">
        <v>1</v>
      </c>
      <c r="F1187" s="4" t="s">
        <v>12</v>
      </c>
      <c r="G1187" s="4" t="b">
        <f t="shared" si="18"/>
        <v>1</v>
      </c>
      <c r="H1187" s="4" t="s">
        <v>3278</v>
      </c>
      <c r="I1187" s="4"/>
      <c r="J1187" s="4" t="s">
        <v>98</v>
      </c>
    </row>
    <row r="1188" spans="1:10" customFormat="1" ht="16" x14ac:dyDescent="0.2">
      <c r="A1188" s="6" t="s">
        <v>2420</v>
      </c>
      <c r="B1188" s="6" t="s">
        <v>2421</v>
      </c>
      <c r="C1188" s="4" t="b">
        <v>0</v>
      </c>
      <c r="D1188" s="4" t="b">
        <v>0</v>
      </c>
      <c r="E1188" s="4" t="b">
        <v>0</v>
      </c>
      <c r="F1188" s="4"/>
      <c r="G1188" s="4" t="b">
        <f t="shared" si="18"/>
        <v>0</v>
      </c>
      <c r="H1188" s="4"/>
      <c r="I1188" s="4"/>
      <c r="J1188" s="4" t="s">
        <v>98</v>
      </c>
    </row>
    <row r="1189" spans="1:10" customFormat="1" ht="16" x14ac:dyDescent="0.2">
      <c r="A1189" s="6" t="s">
        <v>2422</v>
      </c>
      <c r="B1189" s="6" t="s">
        <v>2423</v>
      </c>
      <c r="C1189" s="4" t="b">
        <v>0</v>
      </c>
      <c r="D1189" s="4" t="b">
        <v>0</v>
      </c>
      <c r="E1189" s="4" t="b">
        <v>0</v>
      </c>
      <c r="F1189" s="4"/>
      <c r="G1189" s="4" t="b">
        <f t="shared" si="18"/>
        <v>0</v>
      </c>
      <c r="H1189" s="4"/>
      <c r="I1189" s="4"/>
      <c r="J1189" s="4" t="s">
        <v>98</v>
      </c>
    </row>
    <row r="1190" spans="1:10" customFormat="1" ht="16" x14ac:dyDescent="0.2">
      <c r="A1190" s="6" t="s">
        <v>2424</v>
      </c>
      <c r="B1190" s="6" t="s">
        <v>2425</v>
      </c>
      <c r="C1190" s="4" t="b">
        <v>0</v>
      </c>
      <c r="D1190" s="4" t="b">
        <v>0</v>
      </c>
      <c r="E1190" s="4" t="b">
        <v>0</v>
      </c>
      <c r="F1190" s="4"/>
      <c r="G1190" s="4" t="b">
        <f t="shared" si="18"/>
        <v>0</v>
      </c>
      <c r="H1190" s="4"/>
      <c r="I1190" s="4"/>
      <c r="J1190" s="4" t="s">
        <v>98</v>
      </c>
    </row>
    <row r="1191" spans="1:10" customFormat="1" ht="16" x14ac:dyDescent="0.2">
      <c r="A1191" s="6" t="s">
        <v>2426</v>
      </c>
      <c r="B1191" s="6" t="s">
        <v>2427</v>
      </c>
      <c r="C1191" s="4" t="b">
        <v>0</v>
      </c>
      <c r="D1191" s="4" t="b">
        <v>0</v>
      </c>
      <c r="E1191" s="4" t="b">
        <v>0</v>
      </c>
      <c r="F1191" s="4"/>
      <c r="G1191" s="4" t="b">
        <f t="shared" si="18"/>
        <v>0</v>
      </c>
      <c r="H1191" s="4"/>
      <c r="I1191" s="4"/>
      <c r="J1191" s="4" t="s">
        <v>98</v>
      </c>
    </row>
    <row r="1192" spans="1:10" customFormat="1" ht="16" x14ac:dyDescent="0.2">
      <c r="A1192" s="6" t="s">
        <v>2428</v>
      </c>
      <c r="B1192" s="6" t="s">
        <v>2429</v>
      </c>
      <c r="C1192" s="4" t="b">
        <v>0</v>
      </c>
      <c r="D1192" s="4" t="b">
        <v>0</v>
      </c>
      <c r="E1192" s="4" t="b">
        <v>0</v>
      </c>
      <c r="F1192" s="4"/>
      <c r="G1192" s="4" t="b">
        <f t="shared" si="18"/>
        <v>0</v>
      </c>
      <c r="H1192" s="4"/>
      <c r="I1192" s="4"/>
      <c r="J1192" s="4" t="s">
        <v>98</v>
      </c>
    </row>
    <row r="1193" spans="1:10" customFormat="1" ht="16" x14ac:dyDescent="0.2">
      <c r="A1193" s="6" t="s">
        <v>2430</v>
      </c>
      <c r="B1193" s="6" t="s">
        <v>2431</v>
      </c>
      <c r="C1193" s="4" t="b">
        <v>0</v>
      </c>
      <c r="D1193" s="4" t="b">
        <v>0</v>
      </c>
      <c r="E1193" s="4" t="b">
        <v>0</v>
      </c>
      <c r="F1193" s="4"/>
      <c r="G1193" s="4" t="b">
        <f t="shared" si="18"/>
        <v>0</v>
      </c>
      <c r="H1193" s="4"/>
      <c r="I1193" s="4"/>
      <c r="J1193" s="4" t="s">
        <v>98</v>
      </c>
    </row>
    <row r="1194" spans="1:10" customFormat="1" ht="16" x14ac:dyDescent="0.2">
      <c r="A1194" s="6" t="s">
        <v>2432</v>
      </c>
      <c r="B1194" s="6" t="s">
        <v>2433</v>
      </c>
      <c r="C1194" s="4" t="b">
        <v>0</v>
      </c>
      <c r="D1194" s="4" t="b">
        <v>0</v>
      </c>
      <c r="E1194" s="4" t="b">
        <v>0</v>
      </c>
      <c r="F1194" s="4"/>
      <c r="G1194" s="4" t="b">
        <f t="shared" si="18"/>
        <v>0</v>
      </c>
      <c r="H1194" s="4"/>
      <c r="I1194" s="4"/>
      <c r="J1194" s="4" t="s">
        <v>98</v>
      </c>
    </row>
    <row r="1195" spans="1:10" customFormat="1" ht="16" x14ac:dyDescent="0.2">
      <c r="A1195" s="6" t="s">
        <v>2434</v>
      </c>
      <c r="B1195" s="6" t="s">
        <v>2435</v>
      </c>
      <c r="C1195" s="4" t="b">
        <v>0</v>
      </c>
      <c r="D1195" s="4" t="b">
        <v>0</v>
      </c>
      <c r="E1195" s="4" t="b">
        <v>1</v>
      </c>
      <c r="F1195" s="4"/>
      <c r="G1195" s="4" t="b">
        <f t="shared" si="18"/>
        <v>0</v>
      </c>
      <c r="H1195" s="4"/>
      <c r="I1195" s="4"/>
      <c r="J1195" s="4" t="s">
        <v>98</v>
      </c>
    </row>
    <row r="1196" spans="1:10" customFormat="1" ht="16" x14ac:dyDescent="0.2">
      <c r="A1196" s="6" t="s">
        <v>2436</v>
      </c>
      <c r="B1196" s="6" t="s">
        <v>2437</v>
      </c>
      <c r="C1196" s="4" t="b">
        <v>0</v>
      </c>
      <c r="D1196" s="4" t="b">
        <v>0</v>
      </c>
      <c r="E1196" s="4" t="b">
        <v>0</v>
      </c>
      <c r="F1196" s="4"/>
      <c r="G1196" s="4" t="b">
        <f t="shared" si="18"/>
        <v>0</v>
      </c>
      <c r="H1196" s="4"/>
      <c r="I1196" s="4"/>
      <c r="J1196" s="4" t="s">
        <v>98</v>
      </c>
    </row>
    <row r="1197" spans="1:10" customFormat="1" ht="16" x14ac:dyDescent="0.2">
      <c r="A1197" s="6" t="s">
        <v>2438</v>
      </c>
      <c r="B1197" s="6" t="s">
        <v>2439</v>
      </c>
      <c r="C1197" s="4" t="b">
        <v>0</v>
      </c>
      <c r="D1197" s="4" t="b">
        <v>0</v>
      </c>
      <c r="E1197" s="4" t="b">
        <v>0</v>
      </c>
      <c r="F1197" s="4"/>
      <c r="G1197" s="4" t="b">
        <f t="shared" si="18"/>
        <v>0</v>
      </c>
      <c r="H1197" s="4"/>
      <c r="I1197" s="4"/>
      <c r="J1197" s="4" t="s">
        <v>98</v>
      </c>
    </row>
    <row r="1198" spans="1:10" customFormat="1" ht="16" x14ac:dyDescent="0.2">
      <c r="A1198" s="6" t="s">
        <v>2440</v>
      </c>
      <c r="B1198" s="6" t="s">
        <v>2441</v>
      </c>
      <c r="C1198" s="4" t="b">
        <v>0</v>
      </c>
      <c r="D1198" s="4" t="b">
        <v>0</v>
      </c>
      <c r="E1198" s="4" t="b">
        <v>0</v>
      </c>
      <c r="F1198" s="4"/>
      <c r="G1198" s="4" t="b">
        <f t="shared" si="18"/>
        <v>0</v>
      </c>
      <c r="H1198" s="4"/>
      <c r="I1198" s="4"/>
      <c r="J1198" s="4" t="s">
        <v>98</v>
      </c>
    </row>
    <row r="1199" spans="1:10" customFormat="1" ht="16" x14ac:dyDescent="0.2">
      <c r="A1199" s="6" t="s">
        <v>2442</v>
      </c>
      <c r="B1199" s="6" t="s">
        <v>2443</v>
      </c>
      <c r="C1199" s="4" t="b">
        <v>0</v>
      </c>
      <c r="D1199" s="4" t="b">
        <v>0</v>
      </c>
      <c r="E1199" s="4" t="b">
        <v>0</v>
      </c>
      <c r="F1199" s="4"/>
      <c r="G1199" s="4" t="b">
        <f t="shared" si="18"/>
        <v>0</v>
      </c>
      <c r="H1199" s="4"/>
      <c r="I1199" s="4"/>
      <c r="J1199" s="4" t="s">
        <v>98</v>
      </c>
    </row>
    <row r="1200" spans="1:10" customFormat="1" ht="16" x14ac:dyDescent="0.2">
      <c r="A1200" s="6" t="s">
        <v>2444</v>
      </c>
      <c r="B1200" s="6" t="s">
        <v>2445</v>
      </c>
      <c r="C1200" s="4" t="b">
        <v>0</v>
      </c>
      <c r="D1200" s="4" t="b">
        <v>0</v>
      </c>
      <c r="E1200" s="4" t="b">
        <v>0</v>
      </c>
      <c r="F1200" s="4"/>
      <c r="G1200" s="4" t="b">
        <f t="shared" si="18"/>
        <v>0</v>
      </c>
      <c r="H1200" s="4"/>
      <c r="I1200" s="4"/>
      <c r="J1200" s="4" t="s">
        <v>98</v>
      </c>
    </row>
    <row r="1201" spans="1:11" ht="16" x14ac:dyDescent="0.2">
      <c r="A1201" s="6" t="s">
        <v>2446</v>
      </c>
      <c r="B1201" s="6" t="s">
        <v>2447</v>
      </c>
      <c r="C1201" s="4" t="b">
        <v>0</v>
      </c>
      <c r="D1201" s="4" t="b">
        <v>0</v>
      </c>
      <c r="E1201" s="4" t="b">
        <v>0</v>
      </c>
      <c r="F1201" s="4"/>
      <c r="G1201" s="4" t="b">
        <f t="shared" si="18"/>
        <v>0</v>
      </c>
      <c r="H1201" s="4"/>
      <c r="I1201" s="4"/>
      <c r="J1201" s="4" t="s">
        <v>98</v>
      </c>
      <c r="K1201"/>
    </row>
    <row r="1202" spans="1:11" ht="16" x14ac:dyDescent="0.2">
      <c r="A1202" s="6" t="s">
        <v>2448</v>
      </c>
      <c r="B1202" s="6" t="s">
        <v>2449</v>
      </c>
      <c r="C1202" s="4" t="b">
        <v>0</v>
      </c>
      <c r="D1202" s="4" t="b">
        <v>0</v>
      </c>
      <c r="E1202" s="4" t="b">
        <v>0</v>
      </c>
      <c r="F1202" s="4"/>
      <c r="G1202" s="4" t="b">
        <f t="shared" si="18"/>
        <v>0</v>
      </c>
      <c r="H1202" s="4"/>
      <c r="I1202" s="4"/>
      <c r="J1202" s="4" t="s">
        <v>98</v>
      </c>
      <c r="K1202"/>
    </row>
    <row r="1203" spans="1:11" ht="16" x14ac:dyDescent="0.2">
      <c r="A1203" s="6" t="s">
        <v>2450</v>
      </c>
      <c r="B1203" s="6" t="s">
        <v>2451</v>
      </c>
      <c r="C1203" s="4" t="b">
        <v>0</v>
      </c>
      <c r="D1203" s="4" t="b">
        <v>0</v>
      </c>
      <c r="E1203" s="4" t="b">
        <v>0</v>
      </c>
      <c r="F1203" s="4"/>
      <c r="G1203" s="4" t="b">
        <f t="shared" si="18"/>
        <v>0</v>
      </c>
      <c r="H1203" s="4"/>
      <c r="I1203" s="4"/>
      <c r="J1203" s="4" t="s">
        <v>98</v>
      </c>
      <c r="K1203"/>
    </row>
    <row r="1204" spans="1:11" ht="16" x14ac:dyDescent="0.2">
      <c r="A1204" s="6" t="s">
        <v>2452</v>
      </c>
      <c r="B1204" s="6" t="s">
        <v>2453</v>
      </c>
      <c r="C1204" s="4" t="b">
        <v>0</v>
      </c>
      <c r="D1204" s="4" t="b">
        <v>0</v>
      </c>
      <c r="E1204" s="4" t="b">
        <v>1</v>
      </c>
      <c r="F1204" s="4"/>
      <c r="G1204" s="4" t="b">
        <f t="shared" si="18"/>
        <v>0</v>
      </c>
      <c r="H1204" s="4"/>
      <c r="I1204" s="4"/>
      <c r="J1204" s="4" t="s">
        <v>98</v>
      </c>
      <c r="K1204"/>
    </row>
    <row r="1205" spans="1:11" ht="16" x14ac:dyDescent="0.2">
      <c r="A1205" s="6" t="s">
        <v>2454</v>
      </c>
      <c r="B1205" s="6" t="s">
        <v>2455</v>
      </c>
      <c r="C1205" s="4" t="b">
        <v>0</v>
      </c>
      <c r="D1205" s="4" t="b">
        <v>0</v>
      </c>
      <c r="E1205" s="4" t="b">
        <v>1</v>
      </c>
      <c r="F1205" s="4"/>
      <c r="G1205" s="4" t="b">
        <f t="shared" si="18"/>
        <v>0</v>
      </c>
      <c r="H1205" s="4"/>
      <c r="I1205" s="4"/>
      <c r="J1205" s="4" t="s">
        <v>98</v>
      </c>
      <c r="K1205"/>
    </row>
    <row r="1206" spans="1:11" ht="16" x14ac:dyDescent="0.2">
      <c r="A1206" s="6" t="s">
        <v>2456</v>
      </c>
      <c r="B1206" s="6" t="s">
        <v>2457</v>
      </c>
      <c r="C1206" s="4" t="b">
        <v>0</v>
      </c>
      <c r="D1206" s="4" t="b">
        <v>0</v>
      </c>
      <c r="E1206" s="4" t="b">
        <v>0</v>
      </c>
      <c r="F1206" s="4"/>
      <c r="G1206" s="4" t="b">
        <f t="shared" si="18"/>
        <v>0</v>
      </c>
      <c r="H1206" s="4"/>
      <c r="I1206" s="4"/>
      <c r="J1206" s="4" t="s">
        <v>98</v>
      </c>
      <c r="K1206"/>
    </row>
    <row r="1207" spans="1:11" ht="16" x14ac:dyDescent="0.2">
      <c r="A1207" s="6" t="s">
        <v>2458</v>
      </c>
      <c r="B1207" s="6" t="s">
        <v>2459</v>
      </c>
      <c r="C1207" s="4" t="b">
        <v>0</v>
      </c>
      <c r="D1207" s="4" t="b">
        <v>0</v>
      </c>
      <c r="E1207" s="4" t="b">
        <v>0</v>
      </c>
      <c r="F1207" s="4" t="s">
        <v>12</v>
      </c>
      <c r="G1207" s="4" t="b">
        <f t="shared" si="18"/>
        <v>1</v>
      </c>
      <c r="H1207" s="4"/>
      <c r="I1207" s="4"/>
      <c r="J1207" s="4" t="s">
        <v>98</v>
      </c>
      <c r="K1207"/>
    </row>
    <row r="1208" spans="1:11" ht="16" x14ac:dyDescent="0.2">
      <c r="A1208" s="6" t="s">
        <v>2460</v>
      </c>
      <c r="B1208" s="6" t="s">
        <v>2461</v>
      </c>
      <c r="C1208" s="4" t="b">
        <v>0</v>
      </c>
      <c r="D1208" s="4" t="b">
        <v>0</v>
      </c>
      <c r="E1208" s="4" t="b">
        <v>0</v>
      </c>
      <c r="F1208" s="4"/>
      <c r="G1208" s="4" t="b">
        <f t="shared" si="18"/>
        <v>0</v>
      </c>
      <c r="H1208" s="4"/>
      <c r="I1208" s="4"/>
      <c r="J1208" s="4" t="s">
        <v>98</v>
      </c>
      <c r="K1208"/>
    </row>
    <row r="1209" spans="1:11" ht="16" x14ac:dyDescent="0.2">
      <c r="A1209" s="6" t="s">
        <v>2462</v>
      </c>
      <c r="B1209" s="6" t="s">
        <v>2463</v>
      </c>
      <c r="C1209" s="4" t="b">
        <v>0</v>
      </c>
      <c r="D1209" s="4" t="b">
        <v>0</v>
      </c>
      <c r="E1209" s="4" t="b">
        <v>0</v>
      </c>
      <c r="F1209" s="4"/>
      <c r="G1209" s="4" t="b">
        <f t="shared" si="18"/>
        <v>0</v>
      </c>
      <c r="H1209" s="4"/>
      <c r="I1209" s="4"/>
      <c r="J1209" s="4" t="s">
        <v>98</v>
      </c>
      <c r="K1209"/>
    </row>
    <row r="1210" spans="1:11" ht="16" x14ac:dyDescent="0.2">
      <c r="A1210" s="6" t="s">
        <v>2464</v>
      </c>
      <c r="B1210" s="6" t="s">
        <v>2465</v>
      </c>
      <c r="C1210" s="4" t="b">
        <v>0</v>
      </c>
      <c r="D1210" s="4" t="b">
        <v>0</v>
      </c>
      <c r="E1210" s="4" t="b">
        <v>0</v>
      </c>
      <c r="F1210" s="4"/>
      <c r="G1210" s="4" t="b">
        <f t="shared" si="18"/>
        <v>0</v>
      </c>
      <c r="H1210" s="4"/>
      <c r="I1210" s="4"/>
      <c r="J1210" s="4" t="s">
        <v>98</v>
      </c>
      <c r="K1210"/>
    </row>
    <row r="1211" spans="1:11" ht="16" x14ac:dyDescent="0.2">
      <c r="A1211" s="6" t="s">
        <v>2466</v>
      </c>
      <c r="B1211" s="6" t="s">
        <v>2467</v>
      </c>
      <c r="C1211" s="4" t="b">
        <v>0</v>
      </c>
      <c r="D1211" s="4" t="b">
        <v>0</v>
      </c>
      <c r="E1211" s="4" t="b">
        <v>0</v>
      </c>
      <c r="F1211" s="4"/>
      <c r="G1211" s="4" t="b">
        <f t="shared" si="18"/>
        <v>0</v>
      </c>
      <c r="H1211" s="4"/>
      <c r="I1211" s="4"/>
      <c r="J1211" s="4" t="s">
        <v>94</v>
      </c>
      <c r="K1211"/>
    </row>
    <row r="1212" spans="1:11" ht="96" x14ac:dyDescent="0.2">
      <c r="A1212" s="6" t="s">
        <v>2468</v>
      </c>
      <c r="B1212" s="6" t="s">
        <v>2469</v>
      </c>
      <c r="C1212" s="4" t="b">
        <v>1</v>
      </c>
      <c r="D1212" s="4" t="b">
        <v>0</v>
      </c>
      <c r="E1212" s="4" t="b">
        <v>1</v>
      </c>
      <c r="F1212" s="4" t="s">
        <v>12</v>
      </c>
      <c r="G1212" s="4" t="b">
        <f t="shared" si="18"/>
        <v>1</v>
      </c>
      <c r="H1212" s="4" t="s">
        <v>2982</v>
      </c>
      <c r="I1212" s="4"/>
      <c r="J1212" s="4" t="s">
        <v>94</v>
      </c>
    </row>
    <row r="1213" spans="1:11" ht="144" x14ac:dyDescent="0.2">
      <c r="A1213" s="6" t="s">
        <v>2470</v>
      </c>
      <c r="B1213" s="6" t="s">
        <v>2471</v>
      </c>
      <c r="C1213" s="4" t="b">
        <v>1</v>
      </c>
      <c r="D1213" s="4" t="b">
        <v>1</v>
      </c>
      <c r="E1213" s="4" t="b">
        <v>1</v>
      </c>
      <c r="F1213" s="4" t="s">
        <v>12</v>
      </c>
      <c r="G1213" s="4" t="b">
        <f t="shared" si="18"/>
        <v>1</v>
      </c>
      <c r="H1213" s="4" t="s">
        <v>2980</v>
      </c>
      <c r="I1213" s="4"/>
      <c r="J1213" s="4" t="s">
        <v>94</v>
      </c>
    </row>
    <row r="1214" spans="1:11" ht="16" x14ac:dyDescent="0.2">
      <c r="A1214" s="6" t="s">
        <v>2472</v>
      </c>
      <c r="B1214" s="6" t="s">
        <v>2473</v>
      </c>
      <c r="C1214" s="4" t="b">
        <v>0</v>
      </c>
      <c r="D1214" s="4" t="b">
        <v>0</v>
      </c>
      <c r="E1214" s="4" t="b">
        <v>0</v>
      </c>
      <c r="F1214" s="4"/>
      <c r="G1214" s="4" t="b">
        <f t="shared" si="18"/>
        <v>0</v>
      </c>
      <c r="H1214" s="4" t="s">
        <v>2978</v>
      </c>
      <c r="I1214" s="4"/>
      <c r="J1214" s="4" t="s">
        <v>94</v>
      </c>
      <c r="K1214"/>
    </row>
    <row r="1215" spans="1:11" ht="16" x14ac:dyDescent="0.2">
      <c r="A1215" s="6" t="s">
        <v>2474</v>
      </c>
      <c r="B1215" s="6" t="s">
        <v>2475</v>
      </c>
      <c r="C1215" s="4" t="b">
        <v>1</v>
      </c>
      <c r="D1215" s="4" t="b">
        <v>0</v>
      </c>
      <c r="E1215" s="4" t="b">
        <v>1</v>
      </c>
      <c r="F1215" s="4" t="s">
        <v>12</v>
      </c>
      <c r="G1215" s="4" t="b">
        <f t="shared" si="18"/>
        <v>1</v>
      </c>
      <c r="H1215" s="4"/>
      <c r="I1215" s="4"/>
      <c r="J1215" s="4" t="s">
        <v>94</v>
      </c>
    </row>
    <row r="1216" spans="1:11" ht="16" x14ac:dyDescent="0.2">
      <c r="A1216" s="6" t="s">
        <v>2476</v>
      </c>
      <c r="B1216" s="6" t="s">
        <v>2477</v>
      </c>
      <c r="C1216" s="4" t="b">
        <v>0</v>
      </c>
      <c r="D1216" s="4" t="b">
        <v>0</v>
      </c>
      <c r="E1216" s="4" t="b">
        <v>0</v>
      </c>
      <c r="F1216" s="4" t="s">
        <v>12</v>
      </c>
      <c r="G1216" s="4" t="b">
        <f t="shared" si="18"/>
        <v>1</v>
      </c>
      <c r="H1216" s="4" t="s">
        <v>2979</v>
      </c>
      <c r="I1216" s="4"/>
      <c r="J1216" s="4" t="s">
        <v>94</v>
      </c>
      <c r="K1216"/>
    </row>
    <row r="1217" spans="1:11" ht="16" x14ac:dyDescent="0.2">
      <c r="A1217" s="6" t="s">
        <v>2478</v>
      </c>
      <c r="B1217" s="6" t="s">
        <v>2479</v>
      </c>
      <c r="C1217" s="4" t="b">
        <v>0</v>
      </c>
      <c r="D1217" s="4" t="b">
        <v>0</v>
      </c>
      <c r="E1217" s="4" t="b">
        <v>0</v>
      </c>
      <c r="F1217" s="4"/>
      <c r="G1217" s="4" t="b">
        <f t="shared" si="18"/>
        <v>0</v>
      </c>
      <c r="H1217" s="4"/>
      <c r="I1217" s="4"/>
      <c r="J1217" s="4" t="s">
        <v>94</v>
      </c>
      <c r="K1217"/>
    </row>
    <row r="1218" spans="1:11" ht="64" x14ac:dyDescent="0.2">
      <c r="A1218" s="6" t="s">
        <v>2480</v>
      </c>
      <c r="B1218" s="6" t="s">
        <v>2481</v>
      </c>
      <c r="C1218" s="4" t="b">
        <v>1</v>
      </c>
      <c r="D1218" s="4" t="b">
        <v>1</v>
      </c>
      <c r="E1218" s="4" t="b">
        <v>1</v>
      </c>
      <c r="F1218" s="4" t="s">
        <v>12</v>
      </c>
      <c r="G1218" s="4" t="b">
        <f t="shared" ref="G1218:G1281" si="19">IF(F1218="✔", TRUE, FALSE)</f>
        <v>1</v>
      </c>
      <c r="H1218" s="4" t="s">
        <v>2977</v>
      </c>
      <c r="I1218" s="4"/>
      <c r="J1218" s="4" t="s">
        <v>94</v>
      </c>
    </row>
    <row r="1219" spans="1:11" ht="16" x14ac:dyDescent="0.2">
      <c r="A1219" s="6" t="s">
        <v>2482</v>
      </c>
      <c r="B1219" s="6" t="s">
        <v>2483</v>
      </c>
      <c r="C1219" s="4" t="b">
        <v>0</v>
      </c>
      <c r="D1219" s="4" t="b">
        <v>0</v>
      </c>
      <c r="E1219" s="4" t="b">
        <v>0</v>
      </c>
      <c r="F1219" s="4"/>
      <c r="G1219" s="4" t="b">
        <f t="shared" si="19"/>
        <v>0</v>
      </c>
      <c r="H1219" s="4"/>
      <c r="I1219" s="4"/>
      <c r="J1219" s="4" t="s">
        <v>94</v>
      </c>
      <c r="K1219"/>
    </row>
    <row r="1220" spans="1:11" ht="96" x14ac:dyDescent="0.2">
      <c r="A1220" s="6" t="s">
        <v>2484</v>
      </c>
      <c r="B1220" s="6" t="s">
        <v>2485</v>
      </c>
      <c r="C1220" s="4" t="b">
        <v>1</v>
      </c>
      <c r="D1220" s="4" t="b">
        <v>0</v>
      </c>
      <c r="E1220" s="4" t="b">
        <v>1</v>
      </c>
      <c r="F1220" s="4" t="s">
        <v>12</v>
      </c>
      <c r="G1220" s="4" t="b">
        <f t="shared" si="19"/>
        <v>1</v>
      </c>
      <c r="H1220" s="4" t="s">
        <v>2976</v>
      </c>
      <c r="I1220" s="4"/>
      <c r="J1220" s="4" t="s">
        <v>94</v>
      </c>
    </row>
    <row r="1221" spans="1:11" ht="16" x14ac:dyDescent="0.2">
      <c r="A1221" s="6" t="s">
        <v>2486</v>
      </c>
      <c r="B1221" s="6" t="s">
        <v>2487</v>
      </c>
      <c r="C1221" s="4" t="b">
        <v>0</v>
      </c>
      <c r="D1221" s="4" t="b">
        <v>0</v>
      </c>
      <c r="E1221" s="4" t="b">
        <v>1</v>
      </c>
      <c r="F1221" s="4"/>
      <c r="G1221" s="4" t="b">
        <f t="shared" si="19"/>
        <v>0</v>
      </c>
      <c r="H1221" s="4"/>
      <c r="I1221" s="4"/>
      <c r="J1221" s="4" t="s">
        <v>94</v>
      </c>
      <c r="K1221"/>
    </row>
    <row r="1222" spans="1:11" ht="32" x14ac:dyDescent="0.2">
      <c r="A1222" s="6" t="s">
        <v>2488</v>
      </c>
      <c r="B1222" s="6" t="s">
        <v>2489</v>
      </c>
      <c r="C1222" s="4" t="b">
        <v>1</v>
      </c>
      <c r="D1222" s="4" t="b">
        <v>0</v>
      </c>
      <c r="E1222" s="4" t="b">
        <v>1</v>
      </c>
      <c r="F1222" s="4" t="s">
        <v>12</v>
      </c>
      <c r="G1222" s="4" t="b">
        <f t="shared" si="19"/>
        <v>1</v>
      </c>
      <c r="H1222" s="4" t="s">
        <v>2975</v>
      </c>
      <c r="I1222" s="4"/>
      <c r="J1222" s="4" t="s">
        <v>94</v>
      </c>
    </row>
    <row r="1223" spans="1:11" ht="16" x14ac:dyDescent="0.2">
      <c r="A1223" s="6" t="s">
        <v>2490</v>
      </c>
      <c r="B1223" s="6" t="s">
        <v>2491</v>
      </c>
      <c r="C1223" s="4" t="b">
        <v>0</v>
      </c>
      <c r="D1223" s="4" t="b">
        <v>0</v>
      </c>
      <c r="E1223" s="4" t="b">
        <v>1</v>
      </c>
      <c r="F1223" s="4"/>
      <c r="G1223" s="4" t="b">
        <f t="shared" si="19"/>
        <v>0</v>
      </c>
      <c r="H1223" s="4"/>
      <c r="I1223" s="4"/>
      <c r="J1223" s="4" t="s">
        <v>94</v>
      </c>
      <c r="K1223"/>
    </row>
    <row r="1224" spans="1:11" ht="16" x14ac:dyDescent="0.2">
      <c r="A1224" s="6" t="s">
        <v>2492</v>
      </c>
      <c r="B1224" s="6" t="s">
        <v>2493</v>
      </c>
      <c r="C1224" s="4" t="b">
        <v>0</v>
      </c>
      <c r="D1224" s="4" t="b">
        <v>0</v>
      </c>
      <c r="E1224" s="4" t="b">
        <v>0</v>
      </c>
      <c r="F1224" s="4"/>
      <c r="G1224" s="4" t="b">
        <f t="shared" si="19"/>
        <v>0</v>
      </c>
      <c r="H1224" s="4"/>
      <c r="I1224" s="4"/>
      <c r="J1224" s="4" t="s">
        <v>94</v>
      </c>
      <c r="K1224"/>
    </row>
    <row r="1225" spans="1:11" ht="16" x14ac:dyDescent="0.2">
      <c r="A1225" s="6" t="s">
        <v>2494</v>
      </c>
      <c r="B1225" s="6" t="s">
        <v>2495</v>
      </c>
      <c r="C1225" s="4" t="b">
        <v>0</v>
      </c>
      <c r="D1225" s="4" t="b">
        <v>0</v>
      </c>
      <c r="E1225" s="4" t="b">
        <v>0</v>
      </c>
      <c r="F1225" s="4"/>
      <c r="G1225" s="4" t="b">
        <f t="shared" si="19"/>
        <v>0</v>
      </c>
      <c r="H1225" s="4"/>
      <c r="I1225" s="4"/>
      <c r="J1225" s="4" t="s">
        <v>94</v>
      </c>
      <c r="K1225"/>
    </row>
    <row r="1226" spans="1:11" ht="128" x14ac:dyDescent="0.2">
      <c r="A1226" s="6" t="s">
        <v>2496</v>
      </c>
      <c r="B1226" s="6" t="s">
        <v>2497</v>
      </c>
      <c r="C1226" s="4" t="b">
        <v>1</v>
      </c>
      <c r="D1226" s="4" t="b">
        <v>1</v>
      </c>
      <c r="E1226" s="4" t="b">
        <v>1</v>
      </c>
      <c r="F1226" s="4" t="s">
        <v>12</v>
      </c>
      <c r="G1226" s="4" t="b">
        <f t="shared" si="19"/>
        <v>1</v>
      </c>
      <c r="H1226" s="4" t="s">
        <v>2974</v>
      </c>
      <c r="I1226" s="4"/>
      <c r="J1226" s="4" t="s">
        <v>94</v>
      </c>
    </row>
    <row r="1227" spans="1:11" ht="80" x14ac:dyDescent="0.2">
      <c r="A1227" s="6" t="s">
        <v>2498</v>
      </c>
      <c r="B1227" s="6" t="s">
        <v>2499</v>
      </c>
      <c r="C1227" s="4" t="b">
        <v>1</v>
      </c>
      <c r="D1227" s="4" t="b">
        <v>1</v>
      </c>
      <c r="E1227" s="4" t="b">
        <v>1</v>
      </c>
      <c r="F1227" s="4" t="s">
        <v>12</v>
      </c>
      <c r="G1227" s="4" t="b">
        <f t="shared" si="19"/>
        <v>1</v>
      </c>
      <c r="H1227" s="4" t="s">
        <v>2973</v>
      </c>
      <c r="I1227" s="4"/>
      <c r="J1227" s="4" t="s">
        <v>94</v>
      </c>
    </row>
    <row r="1228" spans="1:11" ht="128" x14ac:dyDescent="0.2">
      <c r="A1228" s="6" t="s">
        <v>2500</v>
      </c>
      <c r="B1228" s="6" t="s">
        <v>2501</v>
      </c>
      <c r="C1228" s="4" t="b">
        <v>1</v>
      </c>
      <c r="D1228" s="4" t="b">
        <v>1</v>
      </c>
      <c r="E1228" s="4" t="b">
        <v>1</v>
      </c>
      <c r="F1228" s="4" t="s">
        <v>12</v>
      </c>
      <c r="G1228" s="4" t="b">
        <f t="shared" si="19"/>
        <v>1</v>
      </c>
      <c r="H1228" s="4" t="s">
        <v>2972</v>
      </c>
      <c r="I1228" s="4"/>
      <c r="J1228" s="4" t="s">
        <v>94</v>
      </c>
    </row>
    <row r="1229" spans="1:11" ht="16" x14ac:dyDescent="0.2">
      <c r="A1229" s="6" t="s">
        <v>2502</v>
      </c>
      <c r="B1229" s="6" t="s">
        <v>2503</v>
      </c>
      <c r="C1229" s="4" t="b">
        <v>1</v>
      </c>
      <c r="D1229" s="4" t="b">
        <v>0</v>
      </c>
      <c r="E1229" s="4" t="b">
        <v>1</v>
      </c>
      <c r="F1229" s="4" t="s">
        <v>12</v>
      </c>
      <c r="G1229" s="4" t="b">
        <f t="shared" si="19"/>
        <v>1</v>
      </c>
      <c r="H1229" s="4" t="s">
        <v>2971</v>
      </c>
      <c r="I1229" s="4"/>
      <c r="J1229" s="4" t="s">
        <v>94</v>
      </c>
    </row>
    <row r="1230" spans="1:11" ht="16" x14ac:dyDescent="0.2">
      <c r="A1230" s="6" t="s">
        <v>2504</v>
      </c>
      <c r="B1230" s="6" t="s">
        <v>2505</v>
      </c>
      <c r="C1230" s="4" t="b">
        <v>0</v>
      </c>
      <c r="D1230" s="4" t="b">
        <v>0</v>
      </c>
      <c r="E1230" s="4" t="b">
        <v>0</v>
      </c>
      <c r="F1230" s="4"/>
      <c r="G1230" s="4" t="b">
        <f t="shared" si="19"/>
        <v>0</v>
      </c>
      <c r="H1230" s="4"/>
      <c r="I1230" s="4"/>
      <c r="J1230" s="4" t="s">
        <v>94</v>
      </c>
      <c r="K1230"/>
    </row>
    <row r="1231" spans="1:11" ht="16" x14ac:dyDescent="0.2">
      <c r="A1231" s="6" t="s">
        <v>2506</v>
      </c>
      <c r="B1231" s="6" t="s">
        <v>2507</v>
      </c>
      <c r="C1231" s="4" t="b">
        <v>0</v>
      </c>
      <c r="D1231" s="4" t="b">
        <v>0</v>
      </c>
      <c r="E1231" s="4" t="b">
        <v>0</v>
      </c>
      <c r="F1231" s="4"/>
      <c r="G1231" s="4" t="b">
        <f t="shared" si="19"/>
        <v>0</v>
      </c>
      <c r="H1231" s="4"/>
      <c r="I1231" s="4"/>
      <c r="J1231" s="4" t="s">
        <v>94</v>
      </c>
      <c r="K1231"/>
    </row>
    <row r="1232" spans="1:11" ht="16" x14ac:dyDescent="0.2">
      <c r="A1232" s="6" t="s">
        <v>2508</v>
      </c>
      <c r="B1232" s="6" t="s">
        <v>2509</v>
      </c>
      <c r="C1232" s="4" t="b">
        <v>0</v>
      </c>
      <c r="D1232" s="4" t="b">
        <v>0</v>
      </c>
      <c r="E1232" s="4" t="b">
        <v>0</v>
      </c>
      <c r="F1232" s="4"/>
      <c r="G1232" s="4" t="b">
        <f t="shared" si="19"/>
        <v>0</v>
      </c>
      <c r="H1232" s="4"/>
      <c r="I1232" s="4"/>
      <c r="J1232" s="4" t="s">
        <v>94</v>
      </c>
      <c r="K1232"/>
    </row>
    <row r="1233" spans="1:11" ht="16" x14ac:dyDescent="0.2">
      <c r="A1233" s="6" t="s">
        <v>2510</v>
      </c>
      <c r="B1233" s="6" t="s">
        <v>2511</v>
      </c>
      <c r="C1233" s="4" t="b">
        <v>0</v>
      </c>
      <c r="D1233" s="4" t="b">
        <v>0</v>
      </c>
      <c r="E1233" s="4" t="b">
        <v>0</v>
      </c>
      <c r="F1233" s="4"/>
      <c r="G1233" s="4" t="b">
        <f t="shared" si="19"/>
        <v>0</v>
      </c>
      <c r="H1233" s="4"/>
      <c r="I1233" s="4"/>
      <c r="J1233" s="4" t="s">
        <v>94</v>
      </c>
      <c r="K1233"/>
    </row>
    <row r="1234" spans="1:11" ht="16" x14ac:dyDescent="0.2">
      <c r="A1234" s="6" t="s">
        <v>2512</v>
      </c>
      <c r="B1234" s="6" t="s">
        <v>2513</v>
      </c>
      <c r="C1234" s="4" t="b">
        <v>1</v>
      </c>
      <c r="D1234" s="4" t="b">
        <v>0</v>
      </c>
      <c r="E1234" s="4" t="b">
        <v>1</v>
      </c>
      <c r="F1234" s="4" t="s">
        <v>12</v>
      </c>
      <c r="G1234" s="4" t="b">
        <f t="shared" si="19"/>
        <v>1</v>
      </c>
      <c r="H1234" s="4"/>
      <c r="I1234" s="4"/>
      <c r="J1234" s="4" t="s">
        <v>94</v>
      </c>
    </row>
    <row r="1235" spans="1:11" ht="160" x14ac:dyDescent="0.2">
      <c r="A1235" s="6" t="s">
        <v>2514</v>
      </c>
      <c r="B1235" s="6" t="s">
        <v>2515</v>
      </c>
      <c r="C1235" s="4" t="b">
        <v>1</v>
      </c>
      <c r="D1235" s="4" t="b">
        <v>1</v>
      </c>
      <c r="E1235" s="4" t="b">
        <v>1</v>
      </c>
      <c r="F1235" s="4" t="s">
        <v>12</v>
      </c>
      <c r="G1235" s="4" t="b">
        <f t="shared" si="19"/>
        <v>1</v>
      </c>
      <c r="H1235" s="4" t="s">
        <v>2970</v>
      </c>
      <c r="I1235" s="4"/>
      <c r="J1235" s="4" t="s">
        <v>94</v>
      </c>
    </row>
    <row r="1236" spans="1:11" ht="16" x14ac:dyDescent="0.2">
      <c r="A1236" s="6" t="s">
        <v>2516</v>
      </c>
      <c r="B1236" s="6" t="s">
        <v>2517</v>
      </c>
      <c r="C1236" s="4" t="b">
        <v>0</v>
      </c>
      <c r="D1236" s="4" t="b">
        <v>0</v>
      </c>
      <c r="E1236" s="4" t="b">
        <v>1</v>
      </c>
      <c r="F1236" s="4"/>
      <c r="G1236" s="4" t="b">
        <f t="shared" si="19"/>
        <v>0</v>
      </c>
      <c r="H1236" s="4"/>
      <c r="I1236" s="4"/>
      <c r="J1236" s="4" t="s">
        <v>94</v>
      </c>
      <c r="K1236"/>
    </row>
    <row r="1237" spans="1:11" ht="16" x14ac:dyDescent="0.2">
      <c r="A1237" s="6" t="s">
        <v>2518</v>
      </c>
      <c r="B1237" s="6" t="s">
        <v>2519</v>
      </c>
      <c r="C1237" s="4" t="b">
        <v>1</v>
      </c>
      <c r="D1237" s="4" t="b">
        <v>0</v>
      </c>
      <c r="E1237" s="4" t="b">
        <v>1</v>
      </c>
      <c r="F1237" s="4" t="s">
        <v>12</v>
      </c>
      <c r="G1237" s="4" t="b">
        <f t="shared" si="19"/>
        <v>1</v>
      </c>
      <c r="H1237" s="4"/>
      <c r="I1237" s="4"/>
      <c r="J1237" s="4" t="s">
        <v>94</v>
      </c>
    </row>
    <row r="1238" spans="1:11" ht="80" x14ac:dyDescent="0.2">
      <c r="A1238" s="6" t="s">
        <v>2520</v>
      </c>
      <c r="B1238" s="6" t="s">
        <v>2521</v>
      </c>
      <c r="C1238" s="4" t="b">
        <v>1</v>
      </c>
      <c r="D1238" s="4" t="b">
        <v>1</v>
      </c>
      <c r="E1238" s="4" t="b">
        <v>1</v>
      </c>
      <c r="F1238" s="4" t="s">
        <v>12</v>
      </c>
      <c r="G1238" s="4" t="b">
        <f t="shared" si="19"/>
        <v>1</v>
      </c>
      <c r="H1238" s="4" t="s">
        <v>2969</v>
      </c>
      <c r="I1238" s="4"/>
      <c r="J1238" s="4" t="s">
        <v>94</v>
      </c>
    </row>
    <row r="1239" spans="1:11" ht="16" x14ac:dyDescent="0.2">
      <c r="A1239" s="6" t="s">
        <v>2522</v>
      </c>
      <c r="B1239" s="6" t="s">
        <v>2523</v>
      </c>
      <c r="C1239" s="4" t="b">
        <v>1</v>
      </c>
      <c r="D1239" s="4" t="b">
        <v>0</v>
      </c>
      <c r="E1239" s="4" t="b">
        <v>1</v>
      </c>
      <c r="F1239" s="4" t="s">
        <v>12</v>
      </c>
      <c r="G1239" s="4" t="b">
        <f t="shared" si="19"/>
        <v>1</v>
      </c>
      <c r="I1239" s="4"/>
      <c r="J1239" s="4" t="s">
        <v>94</v>
      </c>
    </row>
    <row r="1240" spans="1:11" ht="64" x14ac:dyDescent="0.2">
      <c r="A1240" s="6" t="s">
        <v>2524</v>
      </c>
      <c r="B1240" s="6" t="s">
        <v>2525</v>
      </c>
      <c r="C1240" s="4" t="b">
        <v>1</v>
      </c>
      <c r="D1240" s="4" t="b">
        <v>1</v>
      </c>
      <c r="E1240" s="4" t="b">
        <v>1</v>
      </c>
      <c r="F1240" s="4" t="s">
        <v>12</v>
      </c>
      <c r="G1240" s="4" t="b">
        <f t="shared" si="19"/>
        <v>1</v>
      </c>
      <c r="H1240" s="4" t="s">
        <v>2968</v>
      </c>
      <c r="I1240" s="4"/>
      <c r="J1240" s="4" t="s">
        <v>94</v>
      </c>
    </row>
    <row r="1241" spans="1:11" ht="96" x14ac:dyDescent="0.2">
      <c r="A1241" s="6" t="s">
        <v>2526</v>
      </c>
      <c r="B1241" s="6" t="s">
        <v>2527</v>
      </c>
      <c r="C1241" s="4" t="b">
        <v>1</v>
      </c>
      <c r="D1241" s="4" t="b">
        <v>0</v>
      </c>
      <c r="E1241" s="4" t="b">
        <v>1</v>
      </c>
      <c r="F1241" s="4" t="s">
        <v>12</v>
      </c>
      <c r="G1241" s="4" t="b">
        <f t="shared" si="19"/>
        <v>1</v>
      </c>
      <c r="H1241" s="4" t="s">
        <v>2967</v>
      </c>
      <c r="I1241" s="4"/>
      <c r="J1241" s="4" t="s">
        <v>94</v>
      </c>
    </row>
    <row r="1242" spans="1:11" ht="176" x14ac:dyDescent="0.2">
      <c r="A1242" s="6" t="s">
        <v>2528</v>
      </c>
      <c r="B1242" s="6" t="s">
        <v>2529</v>
      </c>
      <c r="C1242" s="4" t="b">
        <v>1</v>
      </c>
      <c r="D1242" s="4" t="b">
        <v>0</v>
      </c>
      <c r="E1242" s="4" t="b">
        <v>1</v>
      </c>
      <c r="F1242" s="4" t="s">
        <v>12</v>
      </c>
      <c r="G1242" s="4" t="b">
        <f t="shared" si="19"/>
        <v>1</v>
      </c>
      <c r="H1242" s="4" t="s">
        <v>2966</v>
      </c>
      <c r="I1242" s="4"/>
      <c r="J1242" s="4" t="s">
        <v>94</v>
      </c>
    </row>
    <row r="1243" spans="1:11" ht="16" x14ac:dyDescent="0.2">
      <c r="A1243" s="6" t="s">
        <v>2530</v>
      </c>
      <c r="B1243" s="6" t="s">
        <v>2531</v>
      </c>
      <c r="C1243" s="4" t="b">
        <v>1</v>
      </c>
      <c r="D1243" s="4" t="b">
        <v>0</v>
      </c>
      <c r="E1243" s="4" t="b">
        <v>1</v>
      </c>
      <c r="F1243" s="4" t="s">
        <v>12</v>
      </c>
      <c r="G1243" s="4" t="b">
        <f t="shared" si="19"/>
        <v>1</v>
      </c>
      <c r="H1243" s="4" t="s">
        <v>2965</v>
      </c>
      <c r="I1243" s="4"/>
      <c r="J1243" s="4" t="s">
        <v>94</v>
      </c>
    </row>
    <row r="1244" spans="1:11" ht="16" x14ac:dyDescent="0.2">
      <c r="A1244" s="6" t="s">
        <v>2532</v>
      </c>
      <c r="B1244" s="6" t="s">
        <v>2533</v>
      </c>
      <c r="C1244" s="4" t="b">
        <v>0</v>
      </c>
      <c r="D1244" s="4" t="b">
        <v>0</v>
      </c>
      <c r="E1244" s="4" t="b">
        <v>0</v>
      </c>
      <c r="F1244" s="4"/>
      <c r="G1244" s="4" t="b">
        <f t="shared" si="19"/>
        <v>0</v>
      </c>
      <c r="H1244" s="4"/>
      <c r="I1244" s="4"/>
      <c r="J1244" s="4" t="s">
        <v>1309</v>
      </c>
      <c r="K1244"/>
    </row>
    <row r="1245" spans="1:11" ht="128" x14ac:dyDescent="0.2">
      <c r="A1245" s="6" t="s">
        <v>2534</v>
      </c>
      <c r="B1245" s="6" t="s">
        <v>2535</v>
      </c>
      <c r="C1245" s="4" t="b">
        <v>1</v>
      </c>
      <c r="D1245" s="4" t="b">
        <v>1</v>
      </c>
      <c r="E1245" s="4" t="b">
        <v>1</v>
      </c>
      <c r="F1245" s="4" t="s">
        <v>12</v>
      </c>
      <c r="G1245" s="4" t="b">
        <f t="shared" si="19"/>
        <v>1</v>
      </c>
      <c r="H1245" s="4" t="s">
        <v>2964</v>
      </c>
      <c r="I1245" s="4"/>
      <c r="J1245" s="4" t="s">
        <v>1309</v>
      </c>
    </row>
    <row r="1246" spans="1:11" ht="16" x14ac:dyDescent="0.2">
      <c r="A1246" s="6" t="s">
        <v>2536</v>
      </c>
      <c r="B1246" s="6" t="s">
        <v>2537</v>
      </c>
      <c r="C1246" s="4" t="b">
        <v>0</v>
      </c>
      <c r="D1246" s="4" t="b">
        <v>0</v>
      </c>
      <c r="E1246" s="4" t="b">
        <v>0</v>
      </c>
      <c r="F1246" s="4"/>
      <c r="G1246" s="4" t="b">
        <f t="shared" si="19"/>
        <v>0</v>
      </c>
      <c r="H1246" s="4"/>
      <c r="I1246" s="4"/>
      <c r="J1246" s="4" t="s">
        <v>1309</v>
      </c>
      <c r="K1246"/>
    </row>
    <row r="1247" spans="1:11" ht="16" x14ac:dyDescent="0.2">
      <c r="A1247" s="6" t="s">
        <v>2538</v>
      </c>
      <c r="B1247" s="6" t="s">
        <v>2539</v>
      </c>
      <c r="C1247" s="4" t="b">
        <v>0</v>
      </c>
      <c r="D1247" s="4" t="b">
        <v>0</v>
      </c>
      <c r="E1247" s="4" t="b">
        <v>0</v>
      </c>
      <c r="F1247" s="4"/>
      <c r="G1247" s="4" t="b">
        <f t="shared" si="19"/>
        <v>0</v>
      </c>
      <c r="H1247" s="4"/>
      <c r="I1247" s="4"/>
      <c r="J1247" s="4" t="s">
        <v>1309</v>
      </c>
      <c r="K1247"/>
    </row>
    <row r="1248" spans="1:11" ht="16" x14ac:dyDescent="0.2">
      <c r="A1248" s="6" t="s">
        <v>2540</v>
      </c>
      <c r="B1248" s="6" t="s">
        <v>2541</v>
      </c>
      <c r="C1248" s="4" t="b">
        <v>0</v>
      </c>
      <c r="D1248" s="4" t="b">
        <v>0</v>
      </c>
      <c r="E1248" s="4" t="b">
        <v>0</v>
      </c>
      <c r="F1248" s="4"/>
      <c r="G1248" s="4" t="b">
        <f t="shared" si="19"/>
        <v>0</v>
      </c>
      <c r="H1248" s="4"/>
      <c r="I1248" s="4"/>
      <c r="J1248" s="4" t="s">
        <v>1309</v>
      </c>
      <c r="K1248"/>
    </row>
    <row r="1249" spans="1:11" ht="144" x14ac:dyDescent="0.2">
      <c r="A1249" s="6" t="s">
        <v>2542</v>
      </c>
      <c r="B1249" s="6" t="s">
        <v>2543</v>
      </c>
      <c r="C1249" s="4" t="b">
        <v>1</v>
      </c>
      <c r="D1249" s="4" t="b">
        <v>1</v>
      </c>
      <c r="E1249" s="4" t="b">
        <v>1</v>
      </c>
      <c r="F1249" s="4" t="s">
        <v>12</v>
      </c>
      <c r="G1249" s="4" t="b">
        <f t="shared" si="19"/>
        <v>1</v>
      </c>
      <c r="H1249" s="4" t="s">
        <v>2963</v>
      </c>
      <c r="I1249" s="4"/>
      <c r="J1249" s="4" t="s">
        <v>1309</v>
      </c>
    </row>
    <row r="1250" spans="1:11" ht="16" x14ac:dyDescent="0.2">
      <c r="A1250" s="6" t="s">
        <v>2544</v>
      </c>
      <c r="B1250" s="6" t="s">
        <v>2545</v>
      </c>
      <c r="C1250" s="4" t="b">
        <v>0</v>
      </c>
      <c r="D1250" s="4" t="b">
        <v>0</v>
      </c>
      <c r="E1250" s="4" t="b">
        <v>1</v>
      </c>
      <c r="F1250" s="4"/>
      <c r="G1250" s="4" t="b">
        <f t="shared" si="19"/>
        <v>0</v>
      </c>
      <c r="H1250" s="4"/>
      <c r="I1250" s="4"/>
      <c r="J1250" s="4" t="s">
        <v>1309</v>
      </c>
      <c r="K1250"/>
    </row>
    <row r="1251" spans="1:11" ht="16" x14ac:dyDescent="0.2">
      <c r="A1251" s="6" t="s">
        <v>2546</v>
      </c>
      <c r="B1251" s="6" t="s">
        <v>2547</v>
      </c>
      <c r="C1251" s="4" t="b">
        <v>0</v>
      </c>
      <c r="D1251" s="4" t="b">
        <v>0</v>
      </c>
      <c r="E1251" s="4" t="b">
        <v>1</v>
      </c>
      <c r="F1251" s="4"/>
      <c r="G1251" s="4" t="b">
        <f t="shared" si="19"/>
        <v>0</v>
      </c>
      <c r="H1251" s="4"/>
      <c r="I1251" s="4"/>
      <c r="J1251" s="4" t="s">
        <v>1309</v>
      </c>
      <c r="K1251"/>
    </row>
    <row r="1252" spans="1:11" ht="96" x14ac:dyDescent="0.2">
      <c r="A1252" s="6" t="s">
        <v>2548</v>
      </c>
      <c r="B1252" s="6" t="s">
        <v>2549</v>
      </c>
      <c r="C1252" s="4" t="b">
        <v>1</v>
      </c>
      <c r="D1252" s="4" t="b">
        <v>1</v>
      </c>
      <c r="E1252" s="4" t="b">
        <v>1</v>
      </c>
      <c r="F1252" s="4" t="s">
        <v>12</v>
      </c>
      <c r="G1252" s="4" t="b">
        <f t="shared" si="19"/>
        <v>1</v>
      </c>
      <c r="H1252" s="4" t="s">
        <v>2962</v>
      </c>
      <c r="I1252" s="4"/>
      <c r="J1252" s="4" t="s">
        <v>1336</v>
      </c>
    </row>
    <row r="1253" spans="1:11" ht="48" x14ac:dyDescent="0.2">
      <c r="A1253" s="6" t="s">
        <v>2550</v>
      </c>
      <c r="B1253" s="6" t="s">
        <v>2551</v>
      </c>
      <c r="C1253" s="4" t="b">
        <v>1</v>
      </c>
      <c r="D1253" s="4" t="b">
        <v>0</v>
      </c>
      <c r="E1253" s="4" t="b">
        <v>1</v>
      </c>
      <c r="F1253" s="4" t="s">
        <v>12</v>
      </c>
      <c r="G1253" s="4" t="b">
        <f t="shared" si="19"/>
        <v>1</v>
      </c>
      <c r="H1253" s="4" t="s">
        <v>2961</v>
      </c>
      <c r="I1253" s="4"/>
      <c r="J1253" s="4" t="s">
        <v>1336</v>
      </c>
    </row>
    <row r="1254" spans="1:11" ht="16" x14ac:dyDescent="0.2">
      <c r="A1254" s="6" t="s">
        <v>2552</v>
      </c>
      <c r="B1254" s="6" t="s">
        <v>2553</v>
      </c>
      <c r="C1254" s="4" t="b">
        <v>0</v>
      </c>
      <c r="D1254" s="4" t="b">
        <v>0</v>
      </c>
      <c r="E1254" s="4" t="b">
        <v>0</v>
      </c>
      <c r="F1254" s="4"/>
      <c r="G1254" s="4" t="b">
        <f t="shared" si="19"/>
        <v>0</v>
      </c>
      <c r="H1254" s="4"/>
      <c r="I1254" s="4"/>
      <c r="J1254" s="4" t="s">
        <v>621</v>
      </c>
      <c r="K1254"/>
    </row>
    <row r="1255" spans="1:11" ht="16" x14ac:dyDescent="0.2">
      <c r="A1255" s="6" t="s">
        <v>2554</v>
      </c>
      <c r="B1255" s="6" t="s">
        <v>2555</v>
      </c>
      <c r="C1255" s="4" t="b">
        <v>0</v>
      </c>
      <c r="D1255" s="4" t="b">
        <v>0</v>
      </c>
      <c r="E1255" s="4" t="b">
        <v>1</v>
      </c>
      <c r="F1255" s="4"/>
      <c r="G1255" s="4" t="b">
        <f t="shared" si="19"/>
        <v>0</v>
      </c>
      <c r="H1255" s="4"/>
      <c r="I1255" s="4"/>
      <c r="J1255" s="4" t="s">
        <v>621</v>
      </c>
      <c r="K1255"/>
    </row>
    <row r="1256" spans="1:11" ht="64" x14ac:dyDescent="0.2">
      <c r="A1256" s="6" t="s">
        <v>2556</v>
      </c>
      <c r="B1256" s="6" t="s">
        <v>2557</v>
      </c>
      <c r="C1256" s="4" t="b">
        <v>1</v>
      </c>
      <c r="D1256" s="4" t="b">
        <v>0</v>
      </c>
      <c r="E1256" s="4" t="b">
        <v>1</v>
      </c>
      <c r="F1256" s="4" t="s">
        <v>12</v>
      </c>
      <c r="G1256" s="4" t="b">
        <f t="shared" si="19"/>
        <v>1</v>
      </c>
      <c r="H1256" s="4" t="s">
        <v>2960</v>
      </c>
      <c r="I1256" s="4"/>
      <c r="J1256" s="4" t="s">
        <v>621</v>
      </c>
    </row>
    <row r="1257" spans="1:11" ht="16" x14ac:dyDescent="0.2">
      <c r="A1257" s="6" t="s">
        <v>2558</v>
      </c>
      <c r="B1257" s="6" t="s">
        <v>2559</v>
      </c>
      <c r="C1257" s="4" t="b">
        <v>0</v>
      </c>
      <c r="D1257" s="4" t="b">
        <v>0</v>
      </c>
      <c r="E1257" s="4" t="b">
        <v>0</v>
      </c>
      <c r="F1257" s="4"/>
      <c r="G1257" s="4" t="b">
        <f t="shared" si="19"/>
        <v>0</v>
      </c>
      <c r="H1257" s="4"/>
      <c r="I1257" s="4"/>
      <c r="J1257" s="4" t="s">
        <v>621</v>
      </c>
      <c r="K1257"/>
    </row>
    <row r="1258" spans="1:11" ht="16" x14ac:dyDescent="0.2">
      <c r="A1258" s="6" t="s">
        <v>2560</v>
      </c>
      <c r="B1258" s="6" t="s">
        <v>2561</v>
      </c>
      <c r="C1258" s="4" t="b">
        <v>0</v>
      </c>
      <c r="D1258" s="4" t="b">
        <v>0</v>
      </c>
      <c r="E1258" s="4" t="b">
        <v>1</v>
      </c>
      <c r="F1258" s="4" t="s">
        <v>12</v>
      </c>
      <c r="G1258" s="4" t="b">
        <f t="shared" si="19"/>
        <v>1</v>
      </c>
      <c r="H1258" s="4"/>
      <c r="I1258" s="4"/>
      <c r="J1258" s="4" t="s">
        <v>621</v>
      </c>
    </row>
    <row r="1259" spans="1:11" ht="16" x14ac:dyDescent="0.2">
      <c r="A1259" s="6" t="s">
        <v>2562</v>
      </c>
      <c r="B1259" s="6" t="s">
        <v>2563</v>
      </c>
      <c r="C1259" s="4" t="b">
        <v>0</v>
      </c>
      <c r="D1259" s="4" t="b">
        <v>0</v>
      </c>
      <c r="E1259" s="4" t="b">
        <v>0</v>
      </c>
      <c r="F1259" s="4"/>
      <c r="G1259" s="4" t="b">
        <f t="shared" si="19"/>
        <v>0</v>
      </c>
      <c r="H1259" s="4"/>
      <c r="I1259" s="4"/>
      <c r="J1259" s="4" t="s">
        <v>621</v>
      </c>
      <c r="K1259"/>
    </row>
    <row r="1260" spans="1:11" ht="48" x14ac:dyDescent="0.2">
      <c r="A1260" s="6" t="s">
        <v>2564</v>
      </c>
      <c r="B1260" s="6" t="s">
        <v>2565</v>
      </c>
      <c r="C1260" s="4" t="b">
        <v>1</v>
      </c>
      <c r="D1260" s="4" t="b">
        <v>0</v>
      </c>
      <c r="E1260" s="4" t="b">
        <v>1</v>
      </c>
      <c r="F1260" s="4" t="s">
        <v>12</v>
      </c>
      <c r="G1260" s="4" t="b">
        <f t="shared" si="19"/>
        <v>1</v>
      </c>
      <c r="H1260" s="4" t="s">
        <v>2959</v>
      </c>
      <c r="I1260" s="4"/>
      <c r="J1260" s="4" t="s">
        <v>621</v>
      </c>
    </row>
    <row r="1261" spans="1:11" ht="16" x14ac:dyDescent="0.2">
      <c r="A1261" s="6" t="s">
        <v>2566</v>
      </c>
      <c r="B1261" s="6" t="s">
        <v>2567</v>
      </c>
      <c r="C1261" s="4" t="b">
        <v>0</v>
      </c>
      <c r="D1261" s="4" t="b">
        <v>0</v>
      </c>
      <c r="E1261" s="4" t="b">
        <v>1</v>
      </c>
      <c r="F1261" s="4"/>
      <c r="G1261" s="4" t="b">
        <f t="shared" si="19"/>
        <v>0</v>
      </c>
      <c r="H1261" s="4"/>
      <c r="I1261" s="4"/>
      <c r="J1261" s="4" t="s">
        <v>621</v>
      </c>
      <c r="K1261"/>
    </row>
    <row r="1262" spans="1:11" ht="16" x14ac:dyDescent="0.2">
      <c r="A1262" s="6" t="s">
        <v>2568</v>
      </c>
      <c r="B1262" s="6" t="s">
        <v>2569</v>
      </c>
      <c r="C1262" s="4" t="b">
        <v>1</v>
      </c>
      <c r="D1262" s="4" t="b">
        <v>0</v>
      </c>
      <c r="E1262" s="4" t="b">
        <v>1</v>
      </c>
      <c r="F1262" s="4" t="s">
        <v>12</v>
      </c>
      <c r="G1262" s="4" t="b">
        <f t="shared" si="19"/>
        <v>1</v>
      </c>
      <c r="H1262" s="4" t="s">
        <v>2958</v>
      </c>
      <c r="I1262" s="4"/>
      <c r="J1262" s="4" t="s">
        <v>621</v>
      </c>
    </row>
    <row r="1263" spans="1:11" ht="16" x14ac:dyDescent="0.2">
      <c r="A1263" s="6" t="s">
        <v>2570</v>
      </c>
      <c r="B1263" s="6" t="s">
        <v>2571</v>
      </c>
      <c r="C1263" s="4" t="b">
        <v>0</v>
      </c>
      <c r="D1263" s="4" t="b">
        <v>0</v>
      </c>
      <c r="E1263" s="4" t="b">
        <v>1</v>
      </c>
      <c r="F1263" s="4"/>
      <c r="G1263" s="4" t="b">
        <f t="shared" si="19"/>
        <v>0</v>
      </c>
      <c r="H1263" s="4"/>
      <c r="I1263" s="4"/>
      <c r="J1263" s="4" t="s">
        <v>621</v>
      </c>
      <c r="K1263"/>
    </row>
    <row r="1264" spans="1:11" ht="64" x14ac:dyDescent="0.2">
      <c r="A1264" s="6" t="s">
        <v>2572</v>
      </c>
      <c r="B1264" s="6" t="s">
        <v>2573</v>
      </c>
      <c r="C1264" s="4" t="b">
        <v>1</v>
      </c>
      <c r="D1264" s="4" t="b">
        <v>1</v>
      </c>
      <c r="E1264" s="4" t="b">
        <v>1</v>
      </c>
      <c r="F1264" s="4" t="s">
        <v>12</v>
      </c>
      <c r="G1264" s="4" t="b">
        <f t="shared" si="19"/>
        <v>1</v>
      </c>
      <c r="H1264" s="4" t="s">
        <v>2957</v>
      </c>
      <c r="I1264" s="4"/>
      <c r="J1264" s="4" t="s">
        <v>621</v>
      </c>
    </row>
    <row r="1265" spans="1:11" ht="16" x14ac:dyDescent="0.2">
      <c r="A1265" s="6" t="s">
        <v>2574</v>
      </c>
      <c r="B1265" s="6" t="s">
        <v>2575</v>
      </c>
      <c r="C1265" s="4" t="b">
        <v>0</v>
      </c>
      <c r="D1265" s="4" t="b">
        <v>0</v>
      </c>
      <c r="E1265" s="4" t="b">
        <v>0</v>
      </c>
      <c r="F1265" s="4"/>
      <c r="G1265" s="4" t="b">
        <f t="shared" si="19"/>
        <v>0</v>
      </c>
      <c r="H1265" s="4"/>
      <c r="I1265" s="4"/>
      <c r="J1265" s="4" t="s">
        <v>621</v>
      </c>
      <c r="K1265"/>
    </row>
    <row r="1266" spans="1:11" ht="32" x14ac:dyDescent="0.2">
      <c r="A1266" s="6" t="s">
        <v>2576</v>
      </c>
      <c r="B1266" s="6" t="s">
        <v>2577</v>
      </c>
      <c r="C1266" s="4" t="b">
        <v>0</v>
      </c>
      <c r="D1266" s="4" t="b">
        <v>0</v>
      </c>
      <c r="E1266" s="4" t="b">
        <v>1</v>
      </c>
      <c r="F1266" s="4" t="s">
        <v>12</v>
      </c>
      <c r="G1266" s="4" t="b">
        <f t="shared" si="19"/>
        <v>1</v>
      </c>
      <c r="H1266" s="4" t="s">
        <v>2956</v>
      </c>
      <c r="I1266" s="4"/>
      <c r="J1266" s="4" t="s">
        <v>621</v>
      </c>
    </row>
    <row r="1267" spans="1:11" ht="16" x14ac:dyDescent="0.2">
      <c r="A1267" s="6" t="s">
        <v>2578</v>
      </c>
      <c r="B1267" s="6" t="s">
        <v>2579</v>
      </c>
      <c r="C1267" s="4" t="b">
        <v>0</v>
      </c>
      <c r="D1267" s="4" t="b">
        <v>0</v>
      </c>
      <c r="E1267" s="4" t="b">
        <v>0</v>
      </c>
      <c r="F1267" s="4"/>
      <c r="G1267" s="4" t="b">
        <f t="shared" si="19"/>
        <v>0</v>
      </c>
      <c r="H1267" s="4"/>
      <c r="I1267" s="4"/>
      <c r="J1267" s="4" t="s">
        <v>621</v>
      </c>
      <c r="K1267"/>
    </row>
    <row r="1268" spans="1:11" ht="16" x14ac:dyDescent="0.2">
      <c r="A1268" s="6" t="s">
        <v>2580</v>
      </c>
      <c r="B1268" s="6" t="s">
        <v>2581</v>
      </c>
      <c r="C1268" s="4" t="b">
        <v>0</v>
      </c>
      <c r="D1268" s="4" t="b">
        <v>0</v>
      </c>
      <c r="E1268" s="4" t="b">
        <v>1</v>
      </c>
      <c r="F1268" s="4"/>
      <c r="G1268" s="4" t="b">
        <f t="shared" si="19"/>
        <v>0</v>
      </c>
      <c r="H1268" s="4"/>
      <c r="I1268" s="4"/>
      <c r="J1268" s="4" t="s">
        <v>621</v>
      </c>
      <c r="K1268"/>
    </row>
    <row r="1269" spans="1:11" ht="16" x14ac:dyDescent="0.2">
      <c r="A1269" s="6" t="s">
        <v>2582</v>
      </c>
      <c r="B1269" s="6" t="s">
        <v>2583</v>
      </c>
      <c r="C1269" s="4" t="b">
        <v>0</v>
      </c>
      <c r="D1269" s="4" t="b">
        <v>0</v>
      </c>
      <c r="E1269" s="4" t="b">
        <v>0</v>
      </c>
      <c r="F1269" s="4"/>
      <c r="G1269" s="4" t="b">
        <f t="shared" si="19"/>
        <v>0</v>
      </c>
      <c r="H1269" s="4"/>
      <c r="I1269" s="4"/>
      <c r="J1269" s="4" t="s">
        <v>621</v>
      </c>
      <c r="K1269"/>
    </row>
    <row r="1270" spans="1:11" ht="16" x14ac:dyDescent="0.2">
      <c r="A1270" s="6" t="s">
        <v>2584</v>
      </c>
      <c r="B1270" s="6" t="s">
        <v>2585</v>
      </c>
      <c r="C1270" s="4" t="b">
        <v>0</v>
      </c>
      <c r="D1270" s="4" t="b">
        <v>0</v>
      </c>
      <c r="E1270" s="4" t="b">
        <v>1</v>
      </c>
      <c r="F1270" s="4"/>
      <c r="G1270" s="4" t="b">
        <f t="shared" si="19"/>
        <v>0</v>
      </c>
      <c r="H1270" s="4"/>
      <c r="I1270" s="4"/>
      <c r="J1270" s="4" t="s">
        <v>621</v>
      </c>
      <c r="K1270"/>
    </row>
    <row r="1271" spans="1:11" ht="48" x14ac:dyDescent="0.2">
      <c r="A1271" s="6" t="s">
        <v>2586</v>
      </c>
      <c r="B1271" s="6" t="s">
        <v>2587</v>
      </c>
      <c r="C1271" s="4" t="b">
        <v>1</v>
      </c>
      <c r="D1271" s="4" t="b">
        <v>0</v>
      </c>
      <c r="E1271" s="4" t="b">
        <v>1</v>
      </c>
      <c r="F1271" s="4" t="s">
        <v>12</v>
      </c>
      <c r="G1271" s="4" t="b">
        <f t="shared" si="19"/>
        <v>1</v>
      </c>
      <c r="H1271" s="4" t="s">
        <v>2955</v>
      </c>
      <c r="I1271" s="4"/>
      <c r="J1271" s="4" t="s">
        <v>621</v>
      </c>
    </row>
    <row r="1272" spans="1:11" ht="16" x14ac:dyDescent="0.2">
      <c r="A1272" s="6" t="s">
        <v>2588</v>
      </c>
      <c r="B1272" s="6" t="s">
        <v>2589</v>
      </c>
      <c r="C1272" s="4" t="b">
        <v>0</v>
      </c>
      <c r="D1272" s="4" t="b">
        <v>0</v>
      </c>
      <c r="E1272" s="4" t="b">
        <v>0</v>
      </c>
      <c r="F1272" s="4"/>
      <c r="G1272" s="4" t="b">
        <f t="shared" si="19"/>
        <v>0</v>
      </c>
      <c r="H1272" s="4"/>
      <c r="I1272" s="4"/>
      <c r="J1272" s="4" t="s">
        <v>621</v>
      </c>
      <c r="K1272"/>
    </row>
    <row r="1273" spans="1:11" ht="48" x14ac:dyDescent="0.2">
      <c r="A1273" s="6" t="s">
        <v>2590</v>
      </c>
      <c r="B1273" s="6" t="s">
        <v>2591</v>
      </c>
      <c r="C1273" s="4" t="b">
        <v>1</v>
      </c>
      <c r="D1273" s="4" t="b">
        <v>0</v>
      </c>
      <c r="E1273" s="4" t="b">
        <v>1</v>
      </c>
      <c r="F1273" s="4" t="s">
        <v>12</v>
      </c>
      <c r="G1273" s="4" t="b">
        <f t="shared" si="19"/>
        <v>1</v>
      </c>
      <c r="H1273" s="4" t="s">
        <v>2954</v>
      </c>
      <c r="I1273" s="4"/>
      <c r="J1273" s="4" t="s">
        <v>621</v>
      </c>
    </row>
    <row r="1274" spans="1:11" ht="16" x14ac:dyDescent="0.2">
      <c r="A1274" s="6" t="s">
        <v>2592</v>
      </c>
      <c r="B1274" s="6" t="s">
        <v>2593</v>
      </c>
      <c r="C1274" s="4" t="b">
        <v>0</v>
      </c>
      <c r="D1274" s="4" t="b">
        <v>0</v>
      </c>
      <c r="E1274" s="4" t="b">
        <v>1</v>
      </c>
      <c r="F1274" s="4"/>
      <c r="G1274" s="4" t="b">
        <f t="shared" si="19"/>
        <v>0</v>
      </c>
      <c r="H1274" s="4"/>
      <c r="I1274" s="4"/>
      <c r="J1274" s="4" t="s">
        <v>621</v>
      </c>
      <c r="K1274"/>
    </row>
    <row r="1275" spans="1:11" ht="16" x14ac:dyDescent="0.2">
      <c r="A1275" s="6" t="s">
        <v>2594</v>
      </c>
      <c r="B1275" s="6" t="s">
        <v>2595</v>
      </c>
      <c r="C1275" s="4" t="b">
        <v>0</v>
      </c>
      <c r="D1275" s="4" t="b">
        <v>0</v>
      </c>
      <c r="E1275" s="4" t="b">
        <v>1</v>
      </c>
      <c r="F1275" s="4"/>
      <c r="G1275" s="4" t="b">
        <f t="shared" si="19"/>
        <v>0</v>
      </c>
      <c r="H1275" s="4"/>
      <c r="I1275" s="4"/>
      <c r="J1275" s="4" t="s">
        <v>621</v>
      </c>
      <c r="K1275"/>
    </row>
    <row r="1276" spans="1:11" ht="16" x14ac:dyDescent="0.2">
      <c r="A1276" s="6" t="s">
        <v>2596</v>
      </c>
      <c r="B1276" s="6" t="s">
        <v>2597</v>
      </c>
      <c r="C1276" s="4" t="b">
        <v>1</v>
      </c>
      <c r="D1276" s="4" t="b">
        <v>0</v>
      </c>
      <c r="E1276" s="4" t="b">
        <v>1</v>
      </c>
      <c r="F1276" s="4" t="s">
        <v>12</v>
      </c>
      <c r="G1276" s="4" t="b">
        <f t="shared" si="19"/>
        <v>1</v>
      </c>
      <c r="H1276" s="4" t="s">
        <v>2953</v>
      </c>
      <c r="I1276" s="4"/>
      <c r="J1276" s="4" t="s">
        <v>621</v>
      </c>
    </row>
    <row r="1277" spans="1:11" ht="16" x14ac:dyDescent="0.2">
      <c r="A1277" s="6" t="s">
        <v>2598</v>
      </c>
      <c r="B1277" s="6" t="s">
        <v>2599</v>
      </c>
      <c r="C1277" s="4" t="b">
        <v>0</v>
      </c>
      <c r="D1277" s="4" t="b">
        <v>0</v>
      </c>
      <c r="E1277" s="4" t="b">
        <v>0</v>
      </c>
      <c r="F1277" s="4"/>
      <c r="G1277" s="4" t="b">
        <f t="shared" si="19"/>
        <v>0</v>
      </c>
      <c r="H1277" s="4"/>
      <c r="I1277" s="4"/>
      <c r="J1277" s="4" t="s">
        <v>621</v>
      </c>
      <c r="K1277"/>
    </row>
    <row r="1278" spans="1:11" ht="16" x14ac:dyDescent="0.2">
      <c r="A1278" s="6" t="s">
        <v>2600</v>
      </c>
      <c r="B1278" s="6" t="s">
        <v>2601</v>
      </c>
      <c r="C1278" s="4" t="b">
        <v>0</v>
      </c>
      <c r="D1278" s="4" t="b">
        <v>0</v>
      </c>
      <c r="E1278" s="4" t="b">
        <v>1</v>
      </c>
      <c r="F1278" s="4"/>
      <c r="G1278" s="4" t="b">
        <f t="shared" si="19"/>
        <v>0</v>
      </c>
      <c r="H1278" s="4"/>
      <c r="I1278" s="4"/>
      <c r="J1278" s="4" t="s">
        <v>621</v>
      </c>
      <c r="K1278"/>
    </row>
    <row r="1279" spans="1:11" ht="16" x14ac:dyDescent="0.2">
      <c r="A1279" s="6" t="s">
        <v>2602</v>
      </c>
      <c r="B1279" s="6" t="s">
        <v>2603</v>
      </c>
      <c r="C1279" s="4" t="b">
        <v>0</v>
      </c>
      <c r="D1279" s="4" t="b">
        <v>0</v>
      </c>
      <c r="E1279" s="4" t="b">
        <v>0</v>
      </c>
      <c r="F1279" s="4"/>
      <c r="G1279" s="4" t="b">
        <f t="shared" si="19"/>
        <v>0</v>
      </c>
      <c r="H1279" s="4"/>
      <c r="I1279" s="4"/>
      <c r="J1279" s="4" t="s">
        <v>621</v>
      </c>
      <c r="K1279"/>
    </row>
    <row r="1280" spans="1:11" ht="16" x14ac:dyDescent="0.2">
      <c r="A1280" s="6" t="s">
        <v>2604</v>
      </c>
      <c r="B1280" s="6" t="s">
        <v>2605</v>
      </c>
      <c r="C1280" s="4" t="b">
        <v>0</v>
      </c>
      <c r="D1280" s="4" t="b">
        <v>0</v>
      </c>
      <c r="E1280" s="4" t="b">
        <v>0</v>
      </c>
      <c r="F1280" s="4"/>
      <c r="G1280" s="4" t="b">
        <f t="shared" si="19"/>
        <v>0</v>
      </c>
      <c r="H1280" s="4"/>
      <c r="I1280" s="4"/>
      <c r="J1280" s="4" t="s">
        <v>621</v>
      </c>
      <c r="K1280"/>
    </row>
    <row r="1281" spans="1:11" ht="16" x14ac:dyDescent="0.2">
      <c r="A1281" s="6" t="s">
        <v>2606</v>
      </c>
      <c r="B1281" s="6" t="s">
        <v>2607</v>
      </c>
      <c r="C1281" s="4" t="b">
        <v>0</v>
      </c>
      <c r="D1281" s="4" t="b">
        <v>0</v>
      </c>
      <c r="E1281" s="4" t="b">
        <v>1</v>
      </c>
      <c r="F1281" s="4"/>
      <c r="G1281" s="4" t="b">
        <f t="shared" si="19"/>
        <v>0</v>
      </c>
      <c r="H1281" s="4"/>
      <c r="I1281" s="4"/>
      <c r="J1281" s="4" t="s">
        <v>621</v>
      </c>
      <c r="K1281"/>
    </row>
    <row r="1282" spans="1:11" ht="16" x14ac:dyDescent="0.2">
      <c r="A1282" s="6" t="s">
        <v>2608</v>
      </c>
      <c r="B1282" s="6" t="s">
        <v>2609</v>
      </c>
      <c r="C1282" s="4" t="b">
        <v>0</v>
      </c>
      <c r="D1282" s="4" t="b">
        <v>0</v>
      </c>
      <c r="E1282" s="4" t="b">
        <v>1</v>
      </c>
      <c r="F1282" s="4"/>
      <c r="G1282" s="4" t="b">
        <f t="shared" ref="G1282:G1345" si="20">IF(F1282="✔", TRUE, FALSE)</f>
        <v>0</v>
      </c>
      <c r="H1282" s="4"/>
      <c r="I1282" s="4"/>
      <c r="J1282" s="4" t="s">
        <v>621</v>
      </c>
      <c r="K1282"/>
    </row>
    <row r="1283" spans="1:11" ht="16" x14ac:dyDescent="0.2">
      <c r="A1283" s="6" t="s">
        <v>2610</v>
      </c>
      <c r="B1283" s="6" t="s">
        <v>2611</v>
      </c>
      <c r="C1283" s="4" t="b">
        <v>1</v>
      </c>
      <c r="D1283" s="4" t="b">
        <v>0</v>
      </c>
      <c r="E1283" s="4" t="b">
        <v>1</v>
      </c>
      <c r="F1283" s="4" t="s">
        <v>12</v>
      </c>
      <c r="G1283" s="4" t="b">
        <f t="shared" si="20"/>
        <v>1</v>
      </c>
      <c r="H1283" s="4" t="s">
        <v>2952</v>
      </c>
      <c r="I1283" s="4"/>
      <c r="J1283" s="4" t="s">
        <v>621</v>
      </c>
    </row>
    <row r="1284" spans="1:11" ht="16" x14ac:dyDescent="0.2">
      <c r="A1284" s="6" t="s">
        <v>2612</v>
      </c>
      <c r="B1284" s="6" t="s">
        <v>2613</v>
      </c>
      <c r="C1284" s="4" t="b">
        <v>1</v>
      </c>
      <c r="D1284" s="4" t="b">
        <v>0</v>
      </c>
      <c r="E1284" s="4" t="b">
        <v>1</v>
      </c>
      <c r="F1284" s="4" t="s">
        <v>12</v>
      </c>
      <c r="G1284" s="4" t="b">
        <f t="shared" si="20"/>
        <v>1</v>
      </c>
      <c r="H1284" s="4" t="s">
        <v>2951</v>
      </c>
      <c r="I1284" s="4"/>
      <c r="J1284" s="4" t="s">
        <v>621</v>
      </c>
    </row>
    <row r="1285" spans="1:11" ht="16" x14ac:dyDescent="0.2">
      <c r="A1285" s="6" t="s">
        <v>2614</v>
      </c>
      <c r="B1285" s="6" t="s">
        <v>2615</v>
      </c>
      <c r="C1285" s="4" t="b">
        <v>0</v>
      </c>
      <c r="D1285" s="4" t="b">
        <v>0</v>
      </c>
      <c r="E1285" s="4" t="b">
        <v>0</v>
      </c>
      <c r="F1285" s="4"/>
      <c r="G1285" s="4" t="b">
        <f t="shared" si="20"/>
        <v>0</v>
      </c>
      <c r="H1285" s="4"/>
      <c r="I1285" s="4"/>
      <c r="J1285" s="4" t="s">
        <v>621</v>
      </c>
      <c r="K1285"/>
    </row>
    <row r="1286" spans="1:11" ht="16" x14ac:dyDescent="0.2">
      <c r="A1286" s="6" t="s">
        <v>2616</v>
      </c>
      <c r="B1286" s="6" t="s">
        <v>2617</v>
      </c>
      <c r="C1286" s="4" t="b">
        <v>0</v>
      </c>
      <c r="D1286" s="4" t="b">
        <v>0</v>
      </c>
      <c r="E1286" s="4" t="b">
        <v>0</v>
      </c>
      <c r="F1286" s="4"/>
      <c r="G1286" s="4" t="b">
        <f t="shared" si="20"/>
        <v>0</v>
      </c>
      <c r="H1286" s="4"/>
      <c r="I1286" s="4"/>
      <c r="J1286" s="4" t="s">
        <v>621</v>
      </c>
      <c r="K1286"/>
    </row>
    <row r="1287" spans="1:11" ht="16" x14ac:dyDescent="0.2">
      <c r="A1287" s="6" t="s">
        <v>2618</v>
      </c>
      <c r="B1287" s="6" t="s">
        <v>2619</v>
      </c>
      <c r="C1287" s="4" t="b">
        <v>1</v>
      </c>
      <c r="D1287" s="4" t="b">
        <v>0</v>
      </c>
      <c r="E1287" s="4" t="b">
        <v>1</v>
      </c>
      <c r="F1287" s="4" t="s">
        <v>12</v>
      </c>
      <c r="G1287" s="4" t="b">
        <f t="shared" si="20"/>
        <v>1</v>
      </c>
      <c r="H1287" s="4" t="s">
        <v>2950</v>
      </c>
      <c r="I1287" s="4"/>
      <c r="J1287" s="4" t="s">
        <v>621</v>
      </c>
    </row>
    <row r="1288" spans="1:11" ht="16" x14ac:dyDescent="0.2">
      <c r="A1288" s="6" t="s">
        <v>2620</v>
      </c>
      <c r="B1288" s="6" t="s">
        <v>2621</v>
      </c>
      <c r="C1288" s="4" t="b">
        <v>1</v>
      </c>
      <c r="D1288" s="4" t="b">
        <v>0</v>
      </c>
      <c r="E1288" s="4" t="b">
        <v>1</v>
      </c>
      <c r="F1288" s="4" t="s">
        <v>12</v>
      </c>
      <c r="G1288" s="4" t="b">
        <f t="shared" si="20"/>
        <v>1</v>
      </c>
      <c r="H1288" s="4"/>
      <c r="I1288" s="4"/>
      <c r="J1288" s="4" t="s">
        <v>621</v>
      </c>
    </row>
    <row r="1289" spans="1:11" ht="16" x14ac:dyDescent="0.2">
      <c r="A1289" s="6" t="s">
        <v>2622</v>
      </c>
      <c r="B1289" s="6" t="s">
        <v>2623</v>
      </c>
      <c r="C1289" s="4" t="b">
        <v>1</v>
      </c>
      <c r="D1289" s="4" t="b">
        <v>0</v>
      </c>
      <c r="E1289" s="4" t="b">
        <v>1</v>
      </c>
      <c r="F1289" s="4" t="s">
        <v>12</v>
      </c>
      <c r="G1289" s="4" t="b">
        <f t="shared" si="20"/>
        <v>1</v>
      </c>
      <c r="H1289" s="4" t="s">
        <v>2945</v>
      </c>
      <c r="I1289" s="4"/>
      <c r="J1289" s="4" t="s">
        <v>621</v>
      </c>
    </row>
    <row r="1290" spans="1:11" ht="16" x14ac:dyDescent="0.2">
      <c r="A1290" s="6" t="s">
        <v>2624</v>
      </c>
      <c r="B1290" s="6" t="s">
        <v>2625</v>
      </c>
      <c r="C1290" s="4" t="b">
        <v>0</v>
      </c>
      <c r="D1290" s="4" t="b">
        <v>0</v>
      </c>
      <c r="E1290" s="4" t="b">
        <v>1</v>
      </c>
      <c r="F1290" s="4"/>
      <c r="G1290" s="4" t="b">
        <f t="shared" si="20"/>
        <v>0</v>
      </c>
      <c r="H1290" s="4"/>
      <c r="I1290" s="4"/>
      <c r="J1290" s="4" t="s">
        <v>621</v>
      </c>
      <c r="K1290"/>
    </row>
    <row r="1291" spans="1:11" ht="16" x14ac:dyDescent="0.2">
      <c r="A1291" s="6" t="s">
        <v>2626</v>
      </c>
      <c r="B1291" s="6" t="s">
        <v>2627</v>
      </c>
      <c r="C1291" s="4" t="b">
        <v>1</v>
      </c>
      <c r="D1291" s="4" t="b">
        <v>0</v>
      </c>
      <c r="E1291" s="4" t="b">
        <v>1</v>
      </c>
      <c r="F1291" s="4" t="s">
        <v>12</v>
      </c>
      <c r="G1291" s="4" t="b">
        <f t="shared" si="20"/>
        <v>1</v>
      </c>
      <c r="H1291" s="4" t="s">
        <v>2936</v>
      </c>
      <c r="I1291" s="4"/>
      <c r="J1291" s="4" t="s">
        <v>621</v>
      </c>
    </row>
    <row r="1292" spans="1:11" ht="16" x14ac:dyDescent="0.2">
      <c r="A1292" s="6" t="s">
        <v>2628</v>
      </c>
      <c r="B1292" s="6" t="s">
        <v>2629</v>
      </c>
      <c r="C1292" s="4" t="b">
        <v>0</v>
      </c>
      <c r="D1292" s="4" t="b">
        <v>0</v>
      </c>
      <c r="E1292" s="4" t="b">
        <v>0</v>
      </c>
      <c r="F1292" s="4"/>
      <c r="G1292" s="4" t="b">
        <f t="shared" si="20"/>
        <v>0</v>
      </c>
      <c r="H1292" s="4"/>
      <c r="I1292" s="4"/>
      <c r="J1292" s="4" t="s">
        <v>621</v>
      </c>
      <c r="K1292"/>
    </row>
    <row r="1293" spans="1:11" ht="16" x14ac:dyDescent="0.2">
      <c r="A1293" s="6" t="s">
        <v>2630</v>
      </c>
      <c r="B1293" s="6" t="s">
        <v>2631</v>
      </c>
      <c r="C1293" s="4" t="b">
        <v>0</v>
      </c>
      <c r="D1293" s="4" t="b">
        <v>0</v>
      </c>
      <c r="E1293" s="4" t="b">
        <v>0</v>
      </c>
      <c r="F1293" s="4"/>
      <c r="G1293" s="4" t="b">
        <f t="shared" si="20"/>
        <v>0</v>
      </c>
      <c r="H1293" s="4"/>
      <c r="I1293" s="4"/>
      <c r="J1293" s="4" t="s">
        <v>621</v>
      </c>
      <c r="K1293"/>
    </row>
    <row r="1294" spans="1:11" ht="16" x14ac:dyDescent="0.2">
      <c r="A1294" s="6" t="s">
        <v>2632</v>
      </c>
      <c r="B1294" s="6" t="s">
        <v>2633</v>
      </c>
      <c r="C1294" s="4" t="b">
        <v>0</v>
      </c>
      <c r="D1294" s="4" t="b">
        <v>0</v>
      </c>
      <c r="E1294" s="4" t="b">
        <v>0</v>
      </c>
      <c r="F1294" s="4"/>
      <c r="G1294" s="4" t="b">
        <f t="shared" si="20"/>
        <v>0</v>
      </c>
      <c r="H1294" s="4"/>
      <c r="I1294" s="4"/>
      <c r="J1294" s="4" t="s">
        <v>621</v>
      </c>
      <c r="K1294"/>
    </row>
    <row r="1295" spans="1:11" ht="16" x14ac:dyDescent="0.2">
      <c r="A1295" s="6" t="s">
        <v>2634</v>
      </c>
      <c r="B1295" s="6" t="s">
        <v>2635</v>
      </c>
      <c r="C1295" s="4" t="b">
        <v>0</v>
      </c>
      <c r="D1295" s="4" t="b">
        <v>0</v>
      </c>
      <c r="E1295" s="4" t="b">
        <v>0</v>
      </c>
      <c r="F1295" s="4"/>
      <c r="G1295" s="4" t="b">
        <f t="shared" si="20"/>
        <v>0</v>
      </c>
      <c r="H1295" s="4"/>
      <c r="I1295" s="4"/>
      <c r="J1295" s="4" t="s">
        <v>2005</v>
      </c>
      <c r="K1295"/>
    </row>
    <row r="1296" spans="1:11" ht="16" x14ac:dyDescent="0.2">
      <c r="A1296" s="6" t="s">
        <v>2636</v>
      </c>
      <c r="B1296" s="6" t="s">
        <v>2637</v>
      </c>
      <c r="C1296" s="4" t="b">
        <v>0</v>
      </c>
      <c r="D1296" s="4" t="b">
        <v>0</v>
      </c>
      <c r="E1296" s="4" t="b">
        <v>0</v>
      </c>
      <c r="F1296" s="4"/>
      <c r="G1296" s="4" t="b">
        <f t="shared" si="20"/>
        <v>0</v>
      </c>
      <c r="H1296" s="4"/>
      <c r="I1296" s="4"/>
      <c r="J1296" s="4" t="s">
        <v>2005</v>
      </c>
      <c r="K1296"/>
    </row>
    <row r="1297" spans="1:10" customFormat="1" ht="16" x14ac:dyDescent="0.2">
      <c r="A1297" s="6" t="s">
        <v>2638</v>
      </c>
      <c r="B1297" s="6" t="s">
        <v>2639</v>
      </c>
      <c r="C1297" s="4" t="b">
        <v>0</v>
      </c>
      <c r="D1297" s="4" t="b">
        <v>0</v>
      </c>
      <c r="E1297" s="4" t="b">
        <v>0</v>
      </c>
      <c r="F1297" s="4"/>
      <c r="G1297" s="4" t="b">
        <f t="shared" si="20"/>
        <v>0</v>
      </c>
      <c r="H1297" s="4"/>
      <c r="I1297" s="4"/>
      <c r="J1297" s="4" t="s">
        <v>2005</v>
      </c>
    </row>
    <row r="1298" spans="1:10" customFormat="1" ht="16" x14ac:dyDescent="0.2">
      <c r="A1298" s="6" t="s">
        <v>2640</v>
      </c>
      <c r="B1298" s="6" t="s">
        <v>2641</v>
      </c>
      <c r="C1298" s="4" t="b">
        <v>0</v>
      </c>
      <c r="D1298" s="4" t="b">
        <v>0</v>
      </c>
      <c r="E1298" s="4" t="b">
        <v>1</v>
      </c>
      <c r="F1298" s="4"/>
      <c r="G1298" s="4" t="b">
        <f t="shared" si="20"/>
        <v>0</v>
      </c>
      <c r="H1298" s="4"/>
      <c r="I1298" s="4"/>
      <c r="J1298" s="4" t="s">
        <v>2005</v>
      </c>
    </row>
    <row r="1299" spans="1:10" customFormat="1" ht="16" x14ac:dyDescent="0.2">
      <c r="A1299" s="6" t="s">
        <v>2642</v>
      </c>
      <c r="B1299" s="6" t="s">
        <v>2643</v>
      </c>
      <c r="C1299" s="4" t="b">
        <v>0</v>
      </c>
      <c r="D1299" s="4" t="b">
        <v>0</v>
      </c>
      <c r="E1299" s="4" t="b">
        <v>0</v>
      </c>
      <c r="F1299" s="4"/>
      <c r="G1299" s="4" t="b">
        <f t="shared" si="20"/>
        <v>0</v>
      </c>
      <c r="H1299" s="4"/>
      <c r="I1299" s="4"/>
      <c r="J1299" s="4" t="s">
        <v>2005</v>
      </c>
    </row>
    <row r="1300" spans="1:10" customFormat="1" ht="16" x14ac:dyDescent="0.2">
      <c r="A1300" s="6" t="s">
        <v>2644</v>
      </c>
      <c r="B1300" s="6" t="s">
        <v>2645</v>
      </c>
      <c r="C1300" s="4" t="b">
        <v>0</v>
      </c>
      <c r="D1300" s="4" t="b">
        <v>0</v>
      </c>
      <c r="E1300" s="4" t="b">
        <v>0</v>
      </c>
      <c r="F1300" s="4"/>
      <c r="G1300" s="4" t="b">
        <f t="shared" si="20"/>
        <v>0</v>
      </c>
      <c r="H1300" s="4"/>
      <c r="I1300" s="4"/>
      <c r="J1300" s="4" t="s">
        <v>2005</v>
      </c>
    </row>
    <row r="1301" spans="1:10" customFormat="1" ht="16" x14ac:dyDescent="0.2">
      <c r="A1301" s="6" t="s">
        <v>2646</v>
      </c>
      <c r="B1301" s="6" t="s">
        <v>2647</v>
      </c>
      <c r="C1301" s="4" t="b">
        <v>0</v>
      </c>
      <c r="D1301" s="4" t="b">
        <v>0</v>
      </c>
      <c r="E1301" s="4" t="b">
        <v>0</v>
      </c>
      <c r="F1301" s="4"/>
      <c r="G1301" s="4" t="b">
        <f t="shared" si="20"/>
        <v>0</v>
      </c>
      <c r="H1301" s="4"/>
      <c r="I1301" s="4"/>
      <c r="J1301" s="4" t="s">
        <v>98</v>
      </c>
    </row>
    <row r="1302" spans="1:10" customFormat="1" ht="16" x14ac:dyDescent="0.2">
      <c r="A1302" s="6" t="s">
        <v>2648</v>
      </c>
      <c r="B1302" s="6" t="s">
        <v>2649</v>
      </c>
      <c r="C1302" s="4" t="b">
        <v>0</v>
      </c>
      <c r="D1302" s="4" t="b">
        <v>0</v>
      </c>
      <c r="E1302" s="4" t="b">
        <v>0</v>
      </c>
      <c r="F1302" s="4"/>
      <c r="G1302" s="4" t="b">
        <f t="shared" si="20"/>
        <v>0</v>
      </c>
      <c r="H1302" s="4"/>
      <c r="I1302" s="4"/>
      <c r="J1302" s="4" t="s">
        <v>98</v>
      </c>
    </row>
    <row r="1303" spans="1:10" customFormat="1" ht="16" x14ac:dyDescent="0.2">
      <c r="A1303" s="6" t="s">
        <v>2650</v>
      </c>
      <c r="B1303" s="6" t="s">
        <v>2651</v>
      </c>
      <c r="C1303" s="4" t="b">
        <v>0</v>
      </c>
      <c r="D1303" s="4" t="b">
        <v>0</v>
      </c>
      <c r="E1303" s="4" t="b">
        <v>1</v>
      </c>
      <c r="F1303" s="4" t="s">
        <v>12</v>
      </c>
      <c r="G1303" s="4" t="b">
        <f t="shared" si="20"/>
        <v>1</v>
      </c>
      <c r="H1303" s="4"/>
      <c r="I1303" s="4"/>
      <c r="J1303" s="4" t="s">
        <v>98</v>
      </c>
    </row>
    <row r="1304" spans="1:10" customFormat="1" ht="16" x14ac:dyDescent="0.2">
      <c r="A1304" s="6" t="s">
        <v>2652</v>
      </c>
      <c r="B1304" s="6" t="s">
        <v>2653</v>
      </c>
      <c r="C1304" s="4" t="b">
        <v>0</v>
      </c>
      <c r="D1304" s="4" t="b">
        <v>0</v>
      </c>
      <c r="E1304" s="4" t="b">
        <v>1</v>
      </c>
      <c r="F1304" s="4"/>
      <c r="G1304" s="4" t="b">
        <f t="shared" si="20"/>
        <v>0</v>
      </c>
      <c r="H1304" s="4"/>
      <c r="I1304" s="4"/>
      <c r="J1304" s="4" t="s">
        <v>98</v>
      </c>
    </row>
    <row r="1305" spans="1:10" customFormat="1" ht="16" x14ac:dyDescent="0.2">
      <c r="A1305" s="6" t="s">
        <v>2654</v>
      </c>
      <c r="B1305" s="6" t="s">
        <v>2655</v>
      </c>
      <c r="C1305" s="4" t="b">
        <v>0</v>
      </c>
      <c r="D1305" s="4" t="b">
        <v>0</v>
      </c>
      <c r="E1305" s="4" t="b">
        <v>0</v>
      </c>
      <c r="F1305" s="4" t="s">
        <v>12</v>
      </c>
      <c r="G1305" s="4" t="b">
        <f t="shared" si="20"/>
        <v>1</v>
      </c>
      <c r="H1305" s="4"/>
      <c r="I1305" s="4"/>
      <c r="J1305" s="4" t="s">
        <v>98</v>
      </c>
    </row>
    <row r="1306" spans="1:10" customFormat="1" ht="16" x14ac:dyDescent="0.2">
      <c r="A1306" s="6" t="s">
        <v>2656</v>
      </c>
      <c r="B1306" s="6" t="s">
        <v>2657</v>
      </c>
      <c r="C1306" s="4" t="b">
        <v>1</v>
      </c>
      <c r="D1306" s="4" t="b">
        <v>0</v>
      </c>
      <c r="E1306" s="4" t="b">
        <v>1</v>
      </c>
      <c r="F1306" s="4" t="s">
        <v>12</v>
      </c>
      <c r="G1306" s="4" t="b">
        <f t="shared" si="20"/>
        <v>1</v>
      </c>
      <c r="H1306" s="4" t="s">
        <v>3274</v>
      </c>
      <c r="I1306" s="4"/>
      <c r="J1306" s="4" t="s">
        <v>98</v>
      </c>
    </row>
    <row r="1307" spans="1:10" customFormat="1" ht="16" x14ac:dyDescent="0.2">
      <c r="A1307" s="6" t="s">
        <v>2658</v>
      </c>
      <c r="B1307" s="6" t="s">
        <v>2659</v>
      </c>
      <c r="C1307" s="4" t="b">
        <v>0</v>
      </c>
      <c r="D1307" s="4" t="b">
        <v>0</v>
      </c>
      <c r="E1307" s="4" t="b">
        <v>0</v>
      </c>
      <c r="F1307" s="4"/>
      <c r="G1307" s="4" t="b">
        <f t="shared" si="20"/>
        <v>0</v>
      </c>
      <c r="H1307" s="4"/>
      <c r="I1307" s="4"/>
      <c r="J1307" s="4" t="s">
        <v>98</v>
      </c>
    </row>
    <row r="1308" spans="1:10" customFormat="1" ht="16" x14ac:dyDescent="0.2">
      <c r="A1308" s="6" t="s">
        <v>2660</v>
      </c>
      <c r="B1308" s="6" t="s">
        <v>2661</v>
      </c>
      <c r="C1308" s="4" t="b">
        <v>0</v>
      </c>
      <c r="D1308" s="4" t="b">
        <v>0</v>
      </c>
      <c r="E1308" s="4" t="b">
        <v>0</v>
      </c>
      <c r="F1308" s="4"/>
      <c r="G1308" s="4" t="b">
        <f t="shared" si="20"/>
        <v>0</v>
      </c>
      <c r="H1308" s="4"/>
      <c r="I1308" s="4"/>
      <c r="J1308" s="4" t="s">
        <v>98</v>
      </c>
    </row>
    <row r="1309" spans="1:10" customFormat="1" ht="16" x14ac:dyDescent="0.2">
      <c r="A1309" s="6" t="s">
        <v>2662</v>
      </c>
      <c r="B1309" s="6" t="s">
        <v>2663</v>
      </c>
      <c r="C1309" s="4" t="b">
        <v>0</v>
      </c>
      <c r="D1309" s="4" t="b">
        <v>0</v>
      </c>
      <c r="E1309" s="4" t="b">
        <v>1</v>
      </c>
      <c r="F1309" s="4"/>
      <c r="G1309" s="4" t="b">
        <f t="shared" si="20"/>
        <v>0</v>
      </c>
      <c r="H1309" s="4"/>
      <c r="I1309" s="4"/>
      <c r="J1309" s="4" t="s">
        <v>98</v>
      </c>
    </row>
    <row r="1310" spans="1:10" customFormat="1" ht="16" x14ac:dyDescent="0.2">
      <c r="A1310" s="6" t="s">
        <v>2664</v>
      </c>
      <c r="B1310" s="6" t="s">
        <v>2665</v>
      </c>
      <c r="C1310" s="4" t="b">
        <v>0</v>
      </c>
      <c r="D1310" s="4" t="b">
        <v>0</v>
      </c>
      <c r="E1310" s="4" t="b">
        <v>1</v>
      </c>
      <c r="F1310" s="4"/>
      <c r="G1310" s="4" t="b">
        <f t="shared" si="20"/>
        <v>0</v>
      </c>
      <c r="H1310" s="4"/>
      <c r="I1310" s="4"/>
      <c r="J1310" s="4" t="s">
        <v>98</v>
      </c>
    </row>
    <row r="1311" spans="1:10" customFormat="1" ht="80" x14ac:dyDescent="0.2">
      <c r="A1311" s="6" t="s">
        <v>2666</v>
      </c>
      <c r="B1311" s="6" t="s">
        <v>2667</v>
      </c>
      <c r="C1311" s="4" t="b">
        <v>1</v>
      </c>
      <c r="D1311" s="4" t="b">
        <v>0</v>
      </c>
      <c r="E1311" s="4" t="b">
        <v>1</v>
      </c>
      <c r="F1311" s="4" t="s">
        <v>12</v>
      </c>
      <c r="G1311" s="4" t="b">
        <f t="shared" si="20"/>
        <v>1</v>
      </c>
      <c r="H1311" s="4" t="s">
        <v>3275</v>
      </c>
      <c r="I1311" s="4"/>
      <c r="J1311" s="4" t="s">
        <v>98</v>
      </c>
    </row>
    <row r="1312" spans="1:10" customFormat="1" ht="16" x14ac:dyDescent="0.2">
      <c r="A1312" s="6" t="s">
        <v>2668</v>
      </c>
      <c r="B1312" s="6" t="s">
        <v>2669</v>
      </c>
      <c r="C1312" s="4" t="b">
        <v>0</v>
      </c>
      <c r="D1312" s="4" t="b">
        <v>0</v>
      </c>
      <c r="E1312" s="4" t="b">
        <v>1</v>
      </c>
      <c r="F1312" s="4"/>
      <c r="G1312" s="4" t="b">
        <f t="shared" si="20"/>
        <v>0</v>
      </c>
      <c r="H1312" s="4"/>
      <c r="I1312" s="4"/>
      <c r="J1312" s="4" t="s">
        <v>98</v>
      </c>
    </row>
    <row r="1313" spans="1:11" ht="16" x14ac:dyDescent="0.2">
      <c r="A1313" s="6" t="s">
        <v>2670</v>
      </c>
      <c r="B1313" s="6" t="s">
        <v>2671</v>
      </c>
      <c r="C1313" s="4" t="b">
        <v>0</v>
      </c>
      <c r="D1313" s="4" t="b">
        <v>0</v>
      </c>
      <c r="E1313" s="4" t="b">
        <v>0</v>
      </c>
      <c r="F1313" s="4"/>
      <c r="G1313" s="4" t="b">
        <f t="shared" si="20"/>
        <v>0</v>
      </c>
      <c r="H1313" s="4"/>
      <c r="I1313" s="4"/>
      <c r="J1313" s="4" t="s">
        <v>98</v>
      </c>
      <c r="K1313"/>
    </row>
    <row r="1314" spans="1:11" ht="16" x14ac:dyDescent="0.2">
      <c r="A1314" s="6" t="s">
        <v>2672</v>
      </c>
      <c r="B1314" s="6" t="s">
        <v>2673</v>
      </c>
      <c r="C1314" s="4" t="b">
        <v>1</v>
      </c>
      <c r="D1314" s="4" t="b">
        <v>0</v>
      </c>
      <c r="E1314" s="4" t="b">
        <v>1</v>
      </c>
      <c r="F1314" s="4" t="s">
        <v>12</v>
      </c>
      <c r="G1314" s="4" t="b">
        <f t="shared" si="20"/>
        <v>1</v>
      </c>
      <c r="H1314" s="4" t="s">
        <v>3276</v>
      </c>
      <c r="I1314" s="4"/>
      <c r="J1314" s="4" t="s">
        <v>98</v>
      </c>
      <c r="K1314"/>
    </row>
    <row r="1315" spans="1:11" ht="16" x14ac:dyDescent="0.2">
      <c r="A1315" s="6" t="s">
        <v>2674</v>
      </c>
      <c r="B1315" s="6" t="s">
        <v>2675</v>
      </c>
      <c r="C1315" s="4" t="b">
        <v>0</v>
      </c>
      <c r="D1315" s="4" t="b">
        <v>0</v>
      </c>
      <c r="E1315" s="4" t="b">
        <v>0</v>
      </c>
      <c r="F1315" s="4"/>
      <c r="G1315" s="4" t="b">
        <f t="shared" si="20"/>
        <v>0</v>
      </c>
      <c r="H1315" s="4"/>
      <c r="I1315" s="4"/>
      <c r="J1315" s="4" t="s">
        <v>98</v>
      </c>
      <c r="K1315"/>
    </row>
    <row r="1316" spans="1:11" ht="16" x14ac:dyDescent="0.2">
      <c r="A1316" s="6" t="s">
        <v>2676</v>
      </c>
      <c r="B1316" s="6" t="s">
        <v>2677</v>
      </c>
      <c r="C1316" s="4" t="b">
        <v>1</v>
      </c>
      <c r="D1316" s="4" t="b">
        <v>0</v>
      </c>
      <c r="E1316" s="4" t="b">
        <v>1</v>
      </c>
      <c r="F1316" s="4" t="s">
        <v>12</v>
      </c>
      <c r="G1316" s="4" t="b">
        <f t="shared" si="20"/>
        <v>1</v>
      </c>
      <c r="H1316" s="4" t="s">
        <v>3277</v>
      </c>
      <c r="I1316" s="4"/>
      <c r="J1316" s="4" t="s">
        <v>98</v>
      </c>
      <c r="K1316"/>
    </row>
    <row r="1317" spans="1:11" ht="16" x14ac:dyDescent="0.2">
      <c r="A1317" s="6" t="s">
        <v>2678</v>
      </c>
      <c r="B1317" s="6" t="s">
        <v>2679</v>
      </c>
      <c r="C1317" s="4" t="b">
        <v>0</v>
      </c>
      <c r="D1317" s="4" t="b">
        <v>0</v>
      </c>
      <c r="E1317" s="4" t="b">
        <v>1</v>
      </c>
      <c r="F1317" s="4"/>
      <c r="G1317" s="4" t="b">
        <f t="shared" si="20"/>
        <v>0</v>
      </c>
      <c r="H1317" s="4"/>
      <c r="I1317" s="4"/>
      <c r="J1317" s="4" t="s">
        <v>98</v>
      </c>
      <c r="K1317"/>
    </row>
    <row r="1318" spans="1:11" ht="16" x14ac:dyDescent="0.2">
      <c r="A1318" s="6" t="s">
        <v>2680</v>
      </c>
      <c r="B1318" s="6" t="s">
        <v>2681</v>
      </c>
      <c r="C1318" s="4" t="b">
        <v>0</v>
      </c>
      <c r="D1318" s="4" t="b">
        <v>0</v>
      </c>
      <c r="E1318" s="4" t="b">
        <v>0</v>
      </c>
      <c r="F1318" s="4"/>
      <c r="G1318" s="4" t="b">
        <f t="shared" si="20"/>
        <v>0</v>
      </c>
      <c r="H1318" s="4"/>
      <c r="I1318" s="4"/>
      <c r="J1318" s="4" t="s">
        <v>98</v>
      </c>
      <c r="K1318"/>
    </row>
    <row r="1319" spans="1:11" ht="112" x14ac:dyDescent="0.2">
      <c r="A1319" s="6" t="s">
        <v>2682</v>
      </c>
      <c r="B1319" s="6" t="s">
        <v>2683</v>
      </c>
      <c r="C1319" s="4" t="b">
        <v>1</v>
      </c>
      <c r="D1319" s="4" t="b">
        <v>0</v>
      </c>
      <c r="E1319" s="4" t="b">
        <v>1</v>
      </c>
      <c r="F1319" s="4" t="s">
        <v>12</v>
      </c>
      <c r="G1319" s="4" t="b">
        <f t="shared" si="20"/>
        <v>1</v>
      </c>
      <c r="H1319" s="4" t="s">
        <v>2935</v>
      </c>
      <c r="I1319" s="4"/>
      <c r="J1319" s="4" t="s">
        <v>94</v>
      </c>
    </row>
    <row r="1320" spans="1:11" ht="16" x14ac:dyDescent="0.2">
      <c r="A1320" s="6" t="s">
        <v>2684</v>
      </c>
      <c r="B1320" s="6" t="s">
        <v>2685</v>
      </c>
      <c r="C1320" s="4" t="b">
        <v>0</v>
      </c>
      <c r="D1320" s="4" t="b">
        <v>0</v>
      </c>
      <c r="E1320" s="4" t="b">
        <v>1</v>
      </c>
      <c r="F1320" s="4"/>
      <c r="G1320" s="4" t="b">
        <f t="shared" si="20"/>
        <v>0</v>
      </c>
      <c r="H1320" s="4"/>
      <c r="I1320" s="4"/>
      <c r="J1320" s="4" t="s">
        <v>94</v>
      </c>
      <c r="K1320"/>
    </row>
    <row r="1321" spans="1:11" ht="16" x14ac:dyDescent="0.2">
      <c r="A1321" s="6" t="s">
        <v>2686</v>
      </c>
      <c r="B1321" s="6" t="s">
        <v>2687</v>
      </c>
      <c r="C1321" s="4" t="b">
        <v>0</v>
      </c>
      <c r="D1321" s="4" t="b">
        <v>0</v>
      </c>
      <c r="E1321" s="4" t="b">
        <v>0</v>
      </c>
      <c r="F1321" s="4"/>
      <c r="G1321" s="4" t="b">
        <f t="shared" si="20"/>
        <v>0</v>
      </c>
      <c r="H1321" s="4"/>
      <c r="I1321" s="4"/>
      <c r="J1321" s="4" t="s">
        <v>94</v>
      </c>
      <c r="K1321"/>
    </row>
    <row r="1322" spans="1:11" ht="16" x14ac:dyDescent="0.2">
      <c r="A1322" s="6" t="s">
        <v>2688</v>
      </c>
      <c r="B1322" s="6" t="s">
        <v>2689</v>
      </c>
      <c r="C1322" s="4" t="b">
        <v>0</v>
      </c>
      <c r="D1322" s="4" t="b">
        <v>0</v>
      </c>
      <c r="E1322" s="4" t="b">
        <v>0</v>
      </c>
      <c r="F1322" s="4"/>
      <c r="G1322" s="4" t="b">
        <f t="shared" si="20"/>
        <v>0</v>
      </c>
      <c r="H1322" s="4"/>
      <c r="I1322" s="4"/>
      <c r="J1322" s="4" t="s">
        <v>94</v>
      </c>
      <c r="K1322"/>
    </row>
    <row r="1323" spans="1:11" ht="48" x14ac:dyDescent="0.2">
      <c r="A1323" s="6" t="s">
        <v>2690</v>
      </c>
      <c r="B1323" s="6" t="s">
        <v>2691</v>
      </c>
      <c r="C1323" s="4" t="b">
        <v>1</v>
      </c>
      <c r="D1323" s="4" t="b">
        <v>0</v>
      </c>
      <c r="E1323" s="4" t="b">
        <v>1</v>
      </c>
      <c r="F1323" s="4" t="s">
        <v>12</v>
      </c>
      <c r="G1323" s="4" t="b">
        <f t="shared" si="20"/>
        <v>1</v>
      </c>
      <c r="H1323" s="4" t="s">
        <v>2934</v>
      </c>
      <c r="I1323" s="4"/>
      <c r="J1323" s="4" t="s">
        <v>94</v>
      </c>
    </row>
    <row r="1324" spans="1:11" ht="16" x14ac:dyDescent="0.2">
      <c r="A1324" s="6" t="s">
        <v>2692</v>
      </c>
      <c r="B1324" s="6" t="s">
        <v>2693</v>
      </c>
      <c r="C1324" s="4" t="b">
        <v>0</v>
      </c>
      <c r="D1324" s="4" t="b">
        <v>0</v>
      </c>
      <c r="E1324" s="4" t="b">
        <v>1</v>
      </c>
      <c r="F1324" s="4"/>
      <c r="G1324" s="4" t="b">
        <f t="shared" si="20"/>
        <v>0</v>
      </c>
      <c r="H1324" s="4"/>
      <c r="I1324" s="4"/>
      <c r="J1324" s="4" t="s">
        <v>94</v>
      </c>
      <c r="K1324"/>
    </row>
    <row r="1325" spans="1:11" ht="16" x14ac:dyDescent="0.2">
      <c r="A1325" s="6" t="s">
        <v>2694</v>
      </c>
      <c r="B1325" s="6" t="s">
        <v>2695</v>
      </c>
      <c r="C1325" s="4" t="b">
        <v>1</v>
      </c>
      <c r="D1325" s="4" t="b">
        <v>0</v>
      </c>
      <c r="E1325" s="4" t="b">
        <v>1</v>
      </c>
      <c r="F1325" s="4" t="s">
        <v>12</v>
      </c>
      <c r="G1325" s="4" t="b">
        <f t="shared" si="20"/>
        <v>1</v>
      </c>
      <c r="H1325" s="4" t="s">
        <v>2933</v>
      </c>
      <c r="I1325" s="4"/>
      <c r="J1325" s="4" t="s">
        <v>94</v>
      </c>
    </row>
    <row r="1326" spans="1:11" ht="16" x14ac:dyDescent="0.2">
      <c r="A1326" s="6" t="s">
        <v>2696</v>
      </c>
      <c r="B1326" s="6" t="s">
        <v>2697</v>
      </c>
      <c r="C1326" s="4" t="b">
        <v>0</v>
      </c>
      <c r="D1326" s="4" t="b">
        <v>0</v>
      </c>
      <c r="E1326" s="4" t="b">
        <v>0</v>
      </c>
      <c r="F1326" s="4"/>
      <c r="G1326" s="4" t="b">
        <f t="shared" si="20"/>
        <v>0</v>
      </c>
      <c r="H1326" s="4"/>
      <c r="I1326" s="4"/>
      <c r="J1326" s="4" t="s">
        <v>94</v>
      </c>
      <c r="K1326"/>
    </row>
    <row r="1327" spans="1:11" ht="16" x14ac:dyDescent="0.2">
      <c r="A1327" s="6" t="s">
        <v>2698</v>
      </c>
      <c r="B1327" s="6" t="s">
        <v>2699</v>
      </c>
      <c r="C1327" s="4" t="b">
        <v>0</v>
      </c>
      <c r="D1327" s="4" t="b">
        <v>0</v>
      </c>
      <c r="E1327" s="4" t="b">
        <v>0</v>
      </c>
      <c r="F1327" s="4"/>
      <c r="G1327" s="4" t="b">
        <f t="shared" si="20"/>
        <v>0</v>
      </c>
      <c r="H1327" s="4"/>
      <c r="I1327" s="4"/>
      <c r="J1327" s="4" t="s">
        <v>94</v>
      </c>
      <c r="K1327"/>
    </row>
    <row r="1328" spans="1:11" ht="16" x14ac:dyDescent="0.2">
      <c r="A1328" s="6" t="s">
        <v>2700</v>
      </c>
      <c r="B1328" s="6" t="s">
        <v>2701</v>
      </c>
      <c r="C1328" s="4" t="b">
        <v>0</v>
      </c>
      <c r="D1328" s="4" t="b">
        <v>0</v>
      </c>
      <c r="E1328" s="4" t="b">
        <v>1</v>
      </c>
      <c r="F1328" s="4"/>
      <c r="G1328" s="4" t="b">
        <f t="shared" si="20"/>
        <v>0</v>
      </c>
      <c r="H1328" s="4"/>
      <c r="I1328" s="4"/>
      <c r="J1328" s="4" t="s">
        <v>94</v>
      </c>
      <c r="K1328"/>
    </row>
    <row r="1329" spans="1:11" ht="32" x14ac:dyDescent="0.2">
      <c r="A1329" s="6" t="s">
        <v>2702</v>
      </c>
      <c r="B1329" s="6" t="s">
        <v>2703</v>
      </c>
      <c r="C1329" s="4" t="b">
        <v>1</v>
      </c>
      <c r="D1329" s="4" t="b">
        <v>0</v>
      </c>
      <c r="E1329" s="4" t="b">
        <v>1</v>
      </c>
      <c r="F1329" s="4" t="s">
        <v>12</v>
      </c>
      <c r="G1329" s="4" t="b">
        <f t="shared" si="20"/>
        <v>1</v>
      </c>
      <c r="H1329" s="4" t="s">
        <v>2932</v>
      </c>
      <c r="I1329" s="4"/>
      <c r="J1329" s="4" t="s">
        <v>94</v>
      </c>
    </row>
    <row r="1330" spans="1:11" ht="16" x14ac:dyDescent="0.2">
      <c r="A1330" s="6" t="s">
        <v>2704</v>
      </c>
      <c r="B1330" s="6" t="s">
        <v>2705</v>
      </c>
      <c r="C1330" s="4" t="b">
        <v>1</v>
      </c>
      <c r="D1330" s="4" t="b">
        <v>0</v>
      </c>
      <c r="E1330" s="4" t="b">
        <v>1</v>
      </c>
      <c r="F1330" s="4" t="s">
        <v>12</v>
      </c>
      <c r="G1330" s="4" t="b">
        <f t="shared" si="20"/>
        <v>1</v>
      </c>
      <c r="H1330" s="4" t="s">
        <v>2931</v>
      </c>
      <c r="I1330" s="4"/>
      <c r="J1330" s="4" t="s">
        <v>94</v>
      </c>
    </row>
    <row r="1331" spans="1:11" ht="16" x14ac:dyDescent="0.2">
      <c r="A1331" s="6" t="s">
        <v>2706</v>
      </c>
      <c r="B1331" s="6" t="s">
        <v>2707</v>
      </c>
      <c r="C1331" s="4" t="b">
        <v>0</v>
      </c>
      <c r="D1331" s="4" t="b">
        <v>0</v>
      </c>
      <c r="E1331" s="4" t="b">
        <v>1</v>
      </c>
      <c r="F1331" s="4" t="s">
        <v>12</v>
      </c>
      <c r="G1331" s="4" t="b">
        <f t="shared" si="20"/>
        <v>1</v>
      </c>
      <c r="H1331" s="4"/>
      <c r="I1331" s="4"/>
      <c r="J1331" s="4" t="s">
        <v>94</v>
      </c>
      <c r="K1331"/>
    </row>
    <row r="1332" spans="1:11" ht="48" x14ac:dyDescent="0.2">
      <c r="A1332" s="6" t="s">
        <v>2708</v>
      </c>
      <c r="B1332" s="6" t="s">
        <v>2709</v>
      </c>
      <c r="C1332" s="4" t="b">
        <v>1</v>
      </c>
      <c r="D1332" s="4" t="b">
        <v>0</v>
      </c>
      <c r="E1332" s="4" t="b">
        <v>1</v>
      </c>
      <c r="F1332" s="4" t="s">
        <v>12</v>
      </c>
      <c r="G1332" s="4" t="b">
        <f t="shared" si="20"/>
        <v>1</v>
      </c>
      <c r="H1332" s="4" t="s">
        <v>2930</v>
      </c>
      <c r="I1332" s="4"/>
      <c r="J1332" s="4" t="s">
        <v>94</v>
      </c>
    </row>
    <row r="1333" spans="1:11" ht="16" x14ac:dyDescent="0.2">
      <c r="A1333" s="6" t="s">
        <v>2710</v>
      </c>
      <c r="B1333" s="6" t="s">
        <v>2711</v>
      </c>
      <c r="C1333" s="4" t="b">
        <v>1</v>
      </c>
      <c r="D1333" s="4" t="b">
        <v>0</v>
      </c>
      <c r="E1333" s="4" t="b">
        <v>1</v>
      </c>
      <c r="F1333" s="4" t="s">
        <v>12</v>
      </c>
      <c r="G1333" s="4" t="b">
        <f t="shared" si="20"/>
        <v>1</v>
      </c>
      <c r="H1333" s="4" t="s">
        <v>2929</v>
      </c>
      <c r="I1333" s="4"/>
      <c r="J1333" s="4" t="s">
        <v>94</v>
      </c>
    </row>
    <row r="1334" spans="1:11" ht="112" x14ac:dyDescent="0.2">
      <c r="A1334" s="6" t="s">
        <v>2712</v>
      </c>
      <c r="B1334" s="6" t="s">
        <v>2713</v>
      </c>
      <c r="C1334" s="4" t="b">
        <v>1</v>
      </c>
      <c r="D1334" s="4" t="b">
        <v>1</v>
      </c>
      <c r="E1334" s="4" t="b">
        <v>1</v>
      </c>
      <c r="F1334" s="4" t="s">
        <v>12</v>
      </c>
      <c r="G1334" s="4" t="b">
        <f t="shared" si="20"/>
        <v>1</v>
      </c>
      <c r="H1334" s="4" t="s">
        <v>2928</v>
      </c>
      <c r="I1334" s="4"/>
      <c r="J1334" s="4" t="s">
        <v>94</v>
      </c>
    </row>
    <row r="1335" spans="1:11" ht="16" x14ac:dyDescent="0.2">
      <c r="A1335" s="6" t="s">
        <v>2714</v>
      </c>
      <c r="B1335" s="6" t="s">
        <v>2715</v>
      </c>
      <c r="C1335" s="4" t="b">
        <v>0</v>
      </c>
      <c r="D1335" s="4" t="b">
        <v>0</v>
      </c>
      <c r="E1335" s="4" t="b">
        <v>0</v>
      </c>
      <c r="F1335" s="4"/>
      <c r="G1335" s="4" t="b">
        <f t="shared" si="20"/>
        <v>0</v>
      </c>
      <c r="H1335" s="4"/>
      <c r="I1335" s="4"/>
      <c r="J1335" s="4" t="s">
        <v>94</v>
      </c>
      <c r="K1335"/>
    </row>
    <row r="1336" spans="1:11" ht="16" x14ac:dyDescent="0.2">
      <c r="A1336" s="6" t="s">
        <v>2716</v>
      </c>
      <c r="B1336" s="6" t="s">
        <v>2717</v>
      </c>
      <c r="C1336" s="4" t="b">
        <v>0</v>
      </c>
      <c r="D1336" s="4" t="b">
        <v>0</v>
      </c>
      <c r="E1336" s="4" t="b">
        <v>0</v>
      </c>
      <c r="F1336" s="4"/>
      <c r="G1336" s="4" t="b">
        <f t="shared" si="20"/>
        <v>0</v>
      </c>
      <c r="H1336" s="4"/>
      <c r="I1336" s="4"/>
      <c r="J1336" s="4" t="s">
        <v>94</v>
      </c>
      <c r="K1336"/>
    </row>
    <row r="1337" spans="1:11" ht="16" x14ac:dyDescent="0.2">
      <c r="A1337" s="6" t="s">
        <v>2718</v>
      </c>
      <c r="B1337" s="6" t="s">
        <v>2719</v>
      </c>
      <c r="C1337" s="4" t="b">
        <v>1</v>
      </c>
      <c r="D1337" s="4" t="b">
        <v>0</v>
      </c>
      <c r="E1337" s="4" t="b">
        <v>1</v>
      </c>
      <c r="F1337" s="4" t="s">
        <v>12</v>
      </c>
      <c r="G1337" s="4" t="b">
        <f t="shared" si="20"/>
        <v>1</v>
      </c>
      <c r="H1337" s="4"/>
      <c r="I1337" s="4"/>
      <c r="J1337" s="4" t="s">
        <v>94</v>
      </c>
    </row>
    <row r="1338" spans="1:11" ht="64" x14ac:dyDescent="0.2">
      <c r="A1338" s="6" t="s">
        <v>2720</v>
      </c>
      <c r="B1338" s="6" t="s">
        <v>2721</v>
      </c>
      <c r="C1338" s="4" t="b">
        <v>1</v>
      </c>
      <c r="D1338" s="4" t="b">
        <v>1</v>
      </c>
      <c r="E1338" s="4" t="b">
        <v>1</v>
      </c>
      <c r="F1338" s="4" t="s">
        <v>12</v>
      </c>
      <c r="G1338" s="4" t="b">
        <f t="shared" si="20"/>
        <v>1</v>
      </c>
      <c r="H1338" s="4" t="s">
        <v>2927</v>
      </c>
      <c r="I1338" s="4"/>
      <c r="J1338" s="4" t="s">
        <v>94</v>
      </c>
    </row>
    <row r="1339" spans="1:11" ht="16" x14ac:dyDescent="0.2">
      <c r="A1339" s="6" t="s">
        <v>2722</v>
      </c>
      <c r="B1339" s="6" t="s">
        <v>2723</v>
      </c>
      <c r="C1339" s="4" t="b">
        <v>0</v>
      </c>
      <c r="D1339" s="4" t="b">
        <v>0</v>
      </c>
      <c r="E1339" s="4" t="b">
        <v>0</v>
      </c>
      <c r="F1339" s="4"/>
      <c r="G1339" s="4" t="b">
        <f t="shared" si="20"/>
        <v>0</v>
      </c>
      <c r="H1339" s="4"/>
      <c r="I1339" s="4"/>
      <c r="J1339" s="4" t="s">
        <v>94</v>
      </c>
      <c r="K1339"/>
    </row>
    <row r="1340" spans="1:11" ht="16" x14ac:dyDescent="0.2">
      <c r="A1340" s="6" t="s">
        <v>2724</v>
      </c>
      <c r="B1340" s="6" t="s">
        <v>2725</v>
      </c>
      <c r="C1340" s="4" t="b">
        <v>0</v>
      </c>
      <c r="D1340" s="4" t="b">
        <v>0</v>
      </c>
      <c r="E1340" s="4" t="b">
        <v>0</v>
      </c>
      <c r="F1340" s="4"/>
      <c r="G1340" s="4" t="b">
        <f t="shared" si="20"/>
        <v>0</v>
      </c>
      <c r="H1340" s="4"/>
      <c r="I1340" s="4"/>
      <c r="J1340" s="4" t="s">
        <v>94</v>
      </c>
      <c r="K1340"/>
    </row>
    <row r="1341" spans="1:11" ht="16" x14ac:dyDescent="0.2">
      <c r="A1341" s="6" t="s">
        <v>2726</v>
      </c>
      <c r="B1341" s="6" t="s">
        <v>2727</v>
      </c>
      <c r="C1341" s="4" t="b">
        <v>0</v>
      </c>
      <c r="D1341" s="4" t="b">
        <v>0</v>
      </c>
      <c r="E1341" s="4" t="b">
        <v>0</v>
      </c>
      <c r="F1341" s="4"/>
      <c r="G1341" s="4" t="b">
        <f t="shared" si="20"/>
        <v>0</v>
      </c>
      <c r="H1341" s="4"/>
      <c r="I1341" s="4"/>
      <c r="J1341" s="4" t="s">
        <v>94</v>
      </c>
      <c r="K1341"/>
    </row>
    <row r="1342" spans="1:11" ht="16" x14ac:dyDescent="0.2">
      <c r="A1342" s="6" t="s">
        <v>2728</v>
      </c>
      <c r="B1342" s="6" t="s">
        <v>2729</v>
      </c>
      <c r="C1342" s="4" t="b">
        <v>0</v>
      </c>
      <c r="D1342" s="4" t="b">
        <v>0</v>
      </c>
      <c r="E1342" s="4" t="b">
        <v>1</v>
      </c>
      <c r="F1342" s="4"/>
      <c r="G1342" s="4" t="b">
        <f t="shared" si="20"/>
        <v>0</v>
      </c>
      <c r="H1342" s="4"/>
      <c r="I1342" s="4"/>
      <c r="J1342" s="4" t="s">
        <v>94</v>
      </c>
      <c r="K1342"/>
    </row>
    <row r="1343" spans="1:11" ht="16" x14ac:dyDescent="0.2">
      <c r="A1343" s="6" t="s">
        <v>2730</v>
      </c>
      <c r="B1343" s="6" t="s">
        <v>2731</v>
      </c>
      <c r="C1343" s="4" t="b">
        <v>0</v>
      </c>
      <c r="D1343" s="4" t="b">
        <v>0</v>
      </c>
      <c r="E1343" s="4" t="b">
        <v>0</v>
      </c>
      <c r="F1343" s="4"/>
      <c r="G1343" s="4" t="b">
        <f t="shared" si="20"/>
        <v>0</v>
      </c>
      <c r="H1343" s="4"/>
      <c r="I1343" s="4"/>
      <c r="J1343" s="4" t="s">
        <v>94</v>
      </c>
      <c r="K1343"/>
    </row>
    <row r="1344" spans="1:11" ht="16" x14ac:dyDescent="0.2">
      <c r="A1344" s="6" t="s">
        <v>2732</v>
      </c>
      <c r="B1344" s="6" t="s">
        <v>2733</v>
      </c>
      <c r="C1344" s="4" t="b">
        <v>0</v>
      </c>
      <c r="D1344" s="4" t="b">
        <v>0</v>
      </c>
      <c r="E1344" s="4" t="b">
        <v>0</v>
      </c>
      <c r="F1344" s="4"/>
      <c r="G1344" s="4" t="b">
        <f t="shared" si="20"/>
        <v>0</v>
      </c>
      <c r="H1344" s="4"/>
      <c r="I1344" s="4"/>
      <c r="J1344" s="4" t="s">
        <v>94</v>
      </c>
      <c r="K1344"/>
    </row>
    <row r="1345" spans="1:11" ht="16" x14ac:dyDescent="0.2">
      <c r="A1345" s="6" t="s">
        <v>2734</v>
      </c>
      <c r="B1345" s="6" t="s">
        <v>2735</v>
      </c>
      <c r="C1345" s="4" t="b">
        <v>0</v>
      </c>
      <c r="D1345" s="4" t="b">
        <v>0</v>
      </c>
      <c r="E1345" s="4" t="b">
        <v>0</v>
      </c>
      <c r="F1345" s="4"/>
      <c r="G1345" s="4" t="b">
        <f t="shared" si="20"/>
        <v>0</v>
      </c>
      <c r="H1345" s="4"/>
      <c r="I1345" s="4"/>
      <c r="J1345" s="4" t="s">
        <v>94</v>
      </c>
      <c r="K1345"/>
    </row>
    <row r="1346" spans="1:11" ht="16" x14ac:dyDescent="0.2">
      <c r="A1346" s="6" t="s">
        <v>2736</v>
      </c>
      <c r="B1346" s="6" t="s">
        <v>2737</v>
      </c>
      <c r="C1346" s="4" t="b">
        <v>0</v>
      </c>
      <c r="D1346" s="4" t="b">
        <v>0</v>
      </c>
      <c r="E1346" s="4" t="b">
        <v>0</v>
      </c>
      <c r="F1346" s="4"/>
      <c r="G1346" s="4" t="b">
        <f t="shared" ref="G1346:G1402" si="21">IF(F1346="✔", TRUE, FALSE)</f>
        <v>0</v>
      </c>
      <c r="H1346" s="4"/>
      <c r="I1346" s="4"/>
      <c r="J1346" s="4" t="s">
        <v>94</v>
      </c>
      <c r="K1346"/>
    </row>
    <row r="1347" spans="1:11" ht="16" x14ac:dyDescent="0.2">
      <c r="A1347" s="6" t="s">
        <v>2738</v>
      </c>
      <c r="B1347" s="6" t="s">
        <v>2739</v>
      </c>
      <c r="C1347" s="4" t="b">
        <v>0</v>
      </c>
      <c r="D1347" s="4" t="b">
        <v>0</v>
      </c>
      <c r="E1347" s="4" t="b">
        <v>1</v>
      </c>
      <c r="F1347" s="4"/>
      <c r="G1347" s="4" t="b">
        <f t="shared" si="21"/>
        <v>0</v>
      </c>
      <c r="H1347" s="4"/>
      <c r="I1347" s="4"/>
      <c r="J1347" s="4" t="s">
        <v>94</v>
      </c>
      <c r="K1347"/>
    </row>
    <row r="1348" spans="1:11" ht="16" x14ac:dyDescent="0.2">
      <c r="A1348" s="6" t="s">
        <v>2740</v>
      </c>
      <c r="B1348" s="6" t="s">
        <v>2741</v>
      </c>
      <c r="C1348" s="4" t="b">
        <v>0</v>
      </c>
      <c r="D1348" s="4" t="b">
        <v>0</v>
      </c>
      <c r="E1348" s="4" t="b">
        <v>1</v>
      </c>
      <c r="F1348" s="4"/>
      <c r="G1348" s="4" t="b">
        <f t="shared" si="21"/>
        <v>0</v>
      </c>
      <c r="H1348" s="4"/>
      <c r="I1348" s="4"/>
      <c r="J1348" s="4" t="s">
        <v>94</v>
      </c>
      <c r="K1348"/>
    </row>
    <row r="1349" spans="1:11" ht="32" x14ac:dyDescent="0.2">
      <c r="A1349" s="6" t="s">
        <v>2742</v>
      </c>
      <c r="B1349" s="6" t="s">
        <v>2743</v>
      </c>
      <c r="C1349" s="4" t="b">
        <v>1</v>
      </c>
      <c r="D1349" s="4" t="b">
        <v>0</v>
      </c>
      <c r="E1349" s="4" t="b">
        <v>1</v>
      </c>
      <c r="F1349" s="4" t="s">
        <v>12</v>
      </c>
      <c r="G1349" s="4" t="b">
        <f t="shared" si="21"/>
        <v>1</v>
      </c>
      <c r="H1349" s="4" t="s">
        <v>2926</v>
      </c>
      <c r="I1349" s="4"/>
      <c r="J1349" s="4" t="s">
        <v>94</v>
      </c>
    </row>
    <row r="1350" spans="1:11" ht="48" x14ac:dyDescent="0.2">
      <c r="A1350" s="6" t="s">
        <v>2744</v>
      </c>
      <c r="B1350" s="6" t="s">
        <v>2745</v>
      </c>
      <c r="C1350" s="4" t="b">
        <v>1</v>
      </c>
      <c r="D1350" s="4" t="b">
        <v>0</v>
      </c>
      <c r="E1350" s="4" t="b">
        <v>1</v>
      </c>
      <c r="F1350" s="4" t="s">
        <v>12</v>
      </c>
      <c r="G1350" s="4" t="b">
        <f t="shared" si="21"/>
        <v>1</v>
      </c>
      <c r="H1350" s="4" t="s">
        <v>2925</v>
      </c>
      <c r="I1350" s="4"/>
      <c r="J1350" s="4" t="s">
        <v>94</v>
      </c>
    </row>
    <row r="1351" spans="1:11" ht="16" x14ac:dyDescent="0.2">
      <c r="A1351" s="6" t="s">
        <v>2746</v>
      </c>
      <c r="B1351" s="6" t="s">
        <v>2747</v>
      </c>
      <c r="C1351" s="4" t="b">
        <v>0</v>
      </c>
      <c r="D1351" s="4" t="b">
        <v>0</v>
      </c>
      <c r="E1351" s="4" t="b">
        <v>0</v>
      </c>
      <c r="F1351" s="4"/>
      <c r="G1351" s="4" t="b">
        <f t="shared" si="21"/>
        <v>0</v>
      </c>
      <c r="H1351" s="4"/>
      <c r="I1351" s="4"/>
      <c r="J1351" s="4" t="s">
        <v>94</v>
      </c>
      <c r="K1351"/>
    </row>
    <row r="1352" spans="1:11" ht="16" x14ac:dyDescent="0.2">
      <c r="A1352" s="6" t="s">
        <v>2748</v>
      </c>
      <c r="B1352" s="6" t="s">
        <v>2749</v>
      </c>
      <c r="C1352" s="4" t="b">
        <v>0</v>
      </c>
      <c r="D1352" s="4" t="b">
        <v>0</v>
      </c>
      <c r="E1352" s="4" t="b">
        <v>0</v>
      </c>
      <c r="F1352" s="4"/>
      <c r="G1352" s="4" t="b">
        <f t="shared" si="21"/>
        <v>0</v>
      </c>
      <c r="H1352" s="4"/>
      <c r="I1352" s="4"/>
      <c r="J1352" s="4" t="s">
        <v>94</v>
      </c>
      <c r="K1352"/>
    </row>
    <row r="1353" spans="1:11" ht="16" x14ac:dyDescent="0.2">
      <c r="A1353" s="6" t="s">
        <v>2750</v>
      </c>
      <c r="B1353" s="6" t="s">
        <v>2751</v>
      </c>
      <c r="C1353" s="4" t="b">
        <v>0</v>
      </c>
      <c r="D1353" s="4" t="b">
        <v>0</v>
      </c>
      <c r="E1353" s="4" t="b">
        <v>0</v>
      </c>
      <c r="F1353" s="4"/>
      <c r="G1353" s="4" t="b">
        <f t="shared" si="21"/>
        <v>0</v>
      </c>
      <c r="H1353" s="4"/>
      <c r="I1353" s="4"/>
      <c r="J1353" s="4" t="s">
        <v>94</v>
      </c>
      <c r="K1353"/>
    </row>
    <row r="1354" spans="1:11" ht="16" x14ac:dyDescent="0.2">
      <c r="A1354" s="6" t="s">
        <v>2752</v>
      </c>
      <c r="B1354" s="6" t="s">
        <v>2753</v>
      </c>
      <c r="C1354" s="4" t="b">
        <v>0</v>
      </c>
      <c r="D1354" s="4" t="b">
        <v>0</v>
      </c>
      <c r="E1354" s="4" t="b">
        <v>0</v>
      </c>
      <c r="F1354" s="4"/>
      <c r="G1354" s="4" t="b">
        <f t="shared" si="21"/>
        <v>0</v>
      </c>
      <c r="H1354" s="4"/>
      <c r="I1354" s="4"/>
      <c r="J1354" s="4" t="s">
        <v>94</v>
      </c>
      <c r="K1354"/>
    </row>
    <row r="1355" spans="1:11" ht="16" x14ac:dyDescent="0.2">
      <c r="A1355" s="6" t="s">
        <v>2754</v>
      </c>
      <c r="B1355" s="6" t="s">
        <v>2755</v>
      </c>
      <c r="C1355" s="4" t="b">
        <v>1</v>
      </c>
      <c r="D1355" s="4" t="b">
        <v>0</v>
      </c>
      <c r="E1355" s="4" t="b">
        <v>1</v>
      </c>
      <c r="F1355" s="4" t="s">
        <v>12</v>
      </c>
      <c r="G1355" s="4" t="b">
        <f t="shared" si="21"/>
        <v>1</v>
      </c>
      <c r="H1355" s="4" t="s">
        <v>2924</v>
      </c>
      <c r="I1355" s="4"/>
      <c r="J1355" s="4" t="s">
        <v>94</v>
      </c>
    </row>
    <row r="1356" spans="1:11" ht="16" x14ac:dyDescent="0.2">
      <c r="A1356" s="6" t="s">
        <v>2756</v>
      </c>
      <c r="B1356" s="6" t="s">
        <v>2757</v>
      </c>
      <c r="C1356" s="4" t="b">
        <v>0</v>
      </c>
      <c r="D1356" s="4" t="b">
        <v>0</v>
      </c>
      <c r="E1356" s="4" t="b">
        <v>0</v>
      </c>
      <c r="F1356" s="4"/>
      <c r="G1356" s="4" t="b">
        <f t="shared" si="21"/>
        <v>0</v>
      </c>
      <c r="H1356" s="4"/>
      <c r="I1356" s="4"/>
      <c r="J1356" s="4" t="s">
        <v>20</v>
      </c>
      <c r="K1356"/>
    </row>
    <row r="1357" spans="1:11" ht="16" x14ac:dyDescent="0.2">
      <c r="A1357" s="6" t="s">
        <v>2758</v>
      </c>
      <c r="B1357" s="6" t="s">
        <v>2759</v>
      </c>
      <c r="C1357" s="4" t="b">
        <v>0</v>
      </c>
      <c r="D1357" s="4" t="b">
        <v>0</v>
      </c>
      <c r="E1357" s="4" t="b">
        <v>0</v>
      </c>
      <c r="F1357" s="4"/>
      <c r="G1357" s="4" t="b">
        <f t="shared" si="21"/>
        <v>0</v>
      </c>
      <c r="H1357" s="4"/>
      <c r="I1357" s="4"/>
      <c r="J1357" s="4" t="s">
        <v>20</v>
      </c>
      <c r="K1357"/>
    </row>
    <row r="1358" spans="1:11" ht="16" x14ac:dyDescent="0.2">
      <c r="A1358" s="6" t="s">
        <v>2760</v>
      </c>
      <c r="B1358" s="6" t="s">
        <v>2761</v>
      </c>
      <c r="C1358" s="4" t="b">
        <v>0</v>
      </c>
      <c r="D1358" s="4" t="b">
        <v>0</v>
      </c>
      <c r="E1358" s="4" t="b">
        <v>0</v>
      </c>
      <c r="F1358" s="4"/>
      <c r="G1358" s="4" t="b">
        <f t="shared" si="21"/>
        <v>0</v>
      </c>
      <c r="H1358" s="4"/>
      <c r="I1358" s="4"/>
      <c r="J1358" s="4" t="s">
        <v>20</v>
      </c>
      <c r="K1358"/>
    </row>
    <row r="1359" spans="1:11" ht="16" x14ac:dyDescent="0.2">
      <c r="A1359" s="6" t="s">
        <v>2762</v>
      </c>
      <c r="B1359" s="6" t="s">
        <v>2763</v>
      </c>
      <c r="C1359" s="4" t="b">
        <v>0</v>
      </c>
      <c r="D1359" s="4" t="b">
        <v>0</v>
      </c>
      <c r="E1359" s="4" t="b">
        <v>1</v>
      </c>
      <c r="F1359" s="4"/>
      <c r="G1359" s="4" t="b">
        <f t="shared" si="21"/>
        <v>0</v>
      </c>
      <c r="H1359" s="4"/>
      <c r="I1359" s="4"/>
      <c r="J1359" s="4" t="s">
        <v>20</v>
      </c>
      <c r="K1359"/>
    </row>
    <row r="1360" spans="1:11" ht="16" x14ac:dyDescent="0.2">
      <c r="A1360" s="6" t="s">
        <v>2764</v>
      </c>
      <c r="B1360" s="6" t="s">
        <v>2765</v>
      </c>
      <c r="C1360" s="4" t="b">
        <v>0</v>
      </c>
      <c r="D1360" s="4" t="b">
        <v>0</v>
      </c>
      <c r="E1360" s="4" t="b">
        <v>1</v>
      </c>
      <c r="F1360" s="4"/>
      <c r="G1360" s="4" t="b">
        <f t="shared" si="21"/>
        <v>0</v>
      </c>
      <c r="H1360" s="4"/>
      <c r="I1360" s="4"/>
      <c r="J1360" s="4" t="s">
        <v>20</v>
      </c>
      <c r="K1360"/>
    </row>
    <row r="1361" spans="1:11" ht="16" x14ac:dyDescent="0.2">
      <c r="A1361" s="6" t="s">
        <v>2766</v>
      </c>
      <c r="B1361" s="6" t="s">
        <v>2767</v>
      </c>
      <c r="C1361" s="4" t="b">
        <v>0</v>
      </c>
      <c r="D1361" s="4" t="b">
        <v>0</v>
      </c>
      <c r="E1361" s="4" t="b">
        <v>1</v>
      </c>
      <c r="F1361" s="4"/>
      <c r="G1361" s="4" t="b">
        <f t="shared" si="21"/>
        <v>0</v>
      </c>
      <c r="H1361" s="4"/>
      <c r="I1361" s="4"/>
      <c r="J1361" s="4" t="s">
        <v>20</v>
      </c>
      <c r="K1361"/>
    </row>
    <row r="1362" spans="1:11" ht="16" x14ac:dyDescent="0.2">
      <c r="A1362" s="6" t="s">
        <v>2768</v>
      </c>
      <c r="B1362" s="6" t="s">
        <v>2769</v>
      </c>
      <c r="C1362" s="4" t="b">
        <v>0</v>
      </c>
      <c r="D1362" s="4" t="b">
        <v>0</v>
      </c>
      <c r="E1362" s="4" t="b">
        <v>0</v>
      </c>
      <c r="F1362" s="4"/>
      <c r="G1362" s="4" t="b">
        <f t="shared" si="21"/>
        <v>0</v>
      </c>
      <c r="H1362" s="4"/>
      <c r="I1362" s="4"/>
      <c r="J1362" s="4" t="s">
        <v>20</v>
      </c>
      <c r="K1362"/>
    </row>
    <row r="1363" spans="1:11" ht="16" x14ac:dyDescent="0.2">
      <c r="A1363" s="6" t="s">
        <v>2770</v>
      </c>
      <c r="B1363" s="6" t="s">
        <v>2771</v>
      </c>
      <c r="C1363" s="4" t="b">
        <v>0</v>
      </c>
      <c r="D1363" s="4" t="b">
        <v>0</v>
      </c>
      <c r="E1363" s="4" t="b">
        <v>0</v>
      </c>
      <c r="F1363" s="4"/>
      <c r="G1363" s="4" t="b">
        <f t="shared" si="21"/>
        <v>0</v>
      </c>
      <c r="H1363" s="4"/>
      <c r="I1363" s="4"/>
      <c r="J1363" s="4" t="s">
        <v>20</v>
      </c>
      <c r="K1363"/>
    </row>
    <row r="1364" spans="1:11" ht="16" x14ac:dyDescent="0.2">
      <c r="A1364" s="6" t="s">
        <v>2772</v>
      </c>
      <c r="B1364" s="6" t="s">
        <v>2773</v>
      </c>
      <c r="C1364" s="4" t="b">
        <v>0</v>
      </c>
      <c r="D1364" s="4" t="b">
        <v>0</v>
      </c>
      <c r="E1364" s="4" t="b">
        <v>0</v>
      </c>
      <c r="F1364" s="4"/>
      <c r="G1364" s="4" t="b">
        <f t="shared" si="21"/>
        <v>0</v>
      </c>
      <c r="H1364" s="4"/>
      <c r="I1364" s="4"/>
      <c r="J1364" s="4" t="s">
        <v>20</v>
      </c>
      <c r="K1364"/>
    </row>
    <row r="1365" spans="1:11" ht="16" x14ac:dyDescent="0.2">
      <c r="A1365" s="6" t="s">
        <v>2774</v>
      </c>
      <c r="B1365" s="6" t="s">
        <v>2775</v>
      </c>
      <c r="C1365" s="4" t="b">
        <v>0</v>
      </c>
      <c r="D1365" s="4" t="b">
        <v>0</v>
      </c>
      <c r="E1365" s="4" t="b">
        <v>1</v>
      </c>
      <c r="F1365" s="4"/>
      <c r="G1365" s="4" t="b">
        <f t="shared" si="21"/>
        <v>0</v>
      </c>
      <c r="H1365" s="4"/>
      <c r="I1365" s="4"/>
      <c r="J1365" s="4" t="s">
        <v>20</v>
      </c>
      <c r="K1365"/>
    </row>
    <row r="1366" spans="1:11" ht="16" x14ac:dyDescent="0.2">
      <c r="A1366" s="6" t="s">
        <v>2776</v>
      </c>
      <c r="B1366" s="6" t="s">
        <v>2777</v>
      </c>
      <c r="C1366" s="4" t="b">
        <v>0</v>
      </c>
      <c r="D1366" s="4" t="b">
        <v>0</v>
      </c>
      <c r="E1366" s="4" t="b">
        <v>1</v>
      </c>
      <c r="F1366" s="4" t="s">
        <v>12</v>
      </c>
      <c r="G1366" s="4" t="b">
        <f t="shared" si="21"/>
        <v>1</v>
      </c>
      <c r="H1366" s="4" t="s">
        <v>2923</v>
      </c>
      <c r="I1366" s="4"/>
      <c r="J1366" s="4" t="s">
        <v>20</v>
      </c>
      <c r="K1366"/>
    </row>
    <row r="1367" spans="1:11" ht="16" x14ac:dyDescent="0.2">
      <c r="A1367" s="6" t="s">
        <v>2778</v>
      </c>
      <c r="B1367" s="6" t="s">
        <v>2779</v>
      </c>
      <c r="C1367" s="4" t="b">
        <v>0</v>
      </c>
      <c r="D1367" s="4" t="b">
        <v>0</v>
      </c>
      <c r="E1367" s="4" t="b">
        <v>0</v>
      </c>
      <c r="F1367" s="4"/>
      <c r="G1367" s="4" t="b">
        <f t="shared" si="21"/>
        <v>0</v>
      </c>
      <c r="H1367" s="4"/>
      <c r="I1367" s="4"/>
      <c r="J1367" s="4" t="s">
        <v>20</v>
      </c>
      <c r="K1367"/>
    </row>
    <row r="1368" spans="1:11" ht="240" x14ac:dyDescent="0.2">
      <c r="A1368" s="6" t="s">
        <v>2780</v>
      </c>
      <c r="B1368" s="6" t="s">
        <v>2781</v>
      </c>
      <c r="C1368" s="4" t="b">
        <v>1</v>
      </c>
      <c r="D1368" s="4" t="b">
        <v>1</v>
      </c>
      <c r="E1368" s="4" t="b">
        <v>1</v>
      </c>
      <c r="F1368" s="4" t="s">
        <v>12</v>
      </c>
      <c r="G1368" s="4" t="b">
        <f t="shared" si="21"/>
        <v>1</v>
      </c>
      <c r="H1368" s="4" t="s">
        <v>2922</v>
      </c>
      <c r="I1368" s="4"/>
      <c r="J1368" s="4" t="s">
        <v>20</v>
      </c>
    </row>
    <row r="1369" spans="1:11" ht="16" x14ac:dyDescent="0.2">
      <c r="A1369" s="6" t="s">
        <v>2782</v>
      </c>
      <c r="B1369" s="6" t="s">
        <v>2783</v>
      </c>
      <c r="C1369" s="4" t="b">
        <v>0</v>
      </c>
      <c r="D1369" s="4" t="b">
        <v>0</v>
      </c>
      <c r="E1369" s="4" t="b">
        <v>1</v>
      </c>
      <c r="F1369" s="4"/>
      <c r="G1369" s="4" t="b">
        <f t="shared" si="21"/>
        <v>0</v>
      </c>
      <c r="H1369" s="4"/>
      <c r="I1369" s="4"/>
      <c r="J1369" s="4" t="s">
        <v>20</v>
      </c>
      <c r="K1369"/>
    </row>
    <row r="1370" spans="1:11" ht="16" x14ac:dyDescent="0.2">
      <c r="A1370" s="6" t="s">
        <v>2784</v>
      </c>
      <c r="B1370" s="6" t="s">
        <v>2785</v>
      </c>
      <c r="C1370" s="4" t="b">
        <v>0</v>
      </c>
      <c r="D1370" s="4" t="b">
        <v>0</v>
      </c>
      <c r="E1370" s="4" t="b">
        <v>0</v>
      </c>
      <c r="F1370" s="4"/>
      <c r="G1370" s="4" t="b">
        <f t="shared" si="21"/>
        <v>0</v>
      </c>
      <c r="H1370" s="4"/>
      <c r="I1370" s="4"/>
      <c r="J1370" s="4" t="s">
        <v>20</v>
      </c>
      <c r="K1370"/>
    </row>
    <row r="1371" spans="1:11" ht="16" x14ac:dyDescent="0.2">
      <c r="A1371" s="6" t="s">
        <v>2786</v>
      </c>
      <c r="B1371" s="6" t="s">
        <v>2787</v>
      </c>
      <c r="C1371" s="4" t="b">
        <v>0</v>
      </c>
      <c r="D1371" s="4" t="b">
        <v>0</v>
      </c>
      <c r="E1371" s="4" t="b">
        <v>0</v>
      </c>
      <c r="F1371" s="4"/>
      <c r="G1371" s="4" t="b">
        <f t="shared" si="21"/>
        <v>0</v>
      </c>
      <c r="H1371" s="4"/>
      <c r="I1371" s="4"/>
      <c r="J1371" s="4" t="s">
        <v>20</v>
      </c>
      <c r="K1371"/>
    </row>
    <row r="1372" spans="1:11" ht="16" x14ac:dyDescent="0.2">
      <c r="A1372" s="6" t="s">
        <v>2788</v>
      </c>
      <c r="B1372" s="6" t="s">
        <v>2789</v>
      </c>
      <c r="C1372" s="4" t="b">
        <v>0</v>
      </c>
      <c r="D1372" s="4" t="b">
        <v>0</v>
      </c>
      <c r="E1372" s="4" t="b">
        <v>0</v>
      </c>
      <c r="F1372" s="4"/>
      <c r="G1372" s="4" t="b">
        <f t="shared" si="21"/>
        <v>0</v>
      </c>
      <c r="H1372" s="4"/>
      <c r="I1372" s="4"/>
      <c r="J1372" s="4" t="s">
        <v>20</v>
      </c>
      <c r="K1372"/>
    </row>
    <row r="1373" spans="1:11" ht="16" x14ac:dyDescent="0.2">
      <c r="A1373" s="6" t="s">
        <v>2790</v>
      </c>
      <c r="B1373" s="6" t="s">
        <v>2791</v>
      </c>
      <c r="C1373" s="4" t="b">
        <v>0</v>
      </c>
      <c r="D1373" s="4" t="b">
        <v>0</v>
      </c>
      <c r="E1373" s="4" t="b">
        <v>1</v>
      </c>
      <c r="F1373" s="4"/>
      <c r="G1373" s="4" t="b">
        <f t="shared" si="21"/>
        <v>0</v>
      </c>
      <c r="H1373" s="4"/>
      <c r="I1373" s="4"/>
      <c r="J1373" s="4" t="s">
        <v>20</v>
      </c>
      <c r="K1373"/>
    </row>
    <row r="1374" spans="1:11" ht="16" x14ac:dyDescent="0.2">
      <c r="A1374" s="6" t="s">
        <v>2792</v>
      </c>
      <c r="B1374" s="6" t="s">
        <v>2793</v>
      </c>
      <c r="C1374" s="4" t="b">
        <v>0</v>
      </c>
      <c r="D1374" s="4" t="b">
        <v>0</v>
      </c>
      <c r="E1374" s="4" t="b">
        <v>1</v>
      </c>
      <c r="F1374" s="4"/>
      <c r="G1374" s="4" t="b">
        <f t="shared" si="21"/>
        <v>0</v>
      </c>
      <c r="H1374" s="4"/>
      <c r="I1374" s="4"/>
      <c r="J1374" s="4" t="s">
        <v>621</v>
      </c>
      <c r="K1374"/>
    </row>
    <row r="1375" spans="1:11" ht="16" x14ac:dyDescent="0.2">
      <c r="A1375" s="6" t="s">
        <v>2794</v>
      </c>
      <c r="B1375" s="6" t="s">
        <v>2795</v>
      </c>
      <c r="C1375" s="4" t="b">
        <v>0</v>
      </c>
      <c r="D1375" s="4" t="b">
        <v>0</v>
      </c>
      <c r="E1375" s="4" t="b">
        <v>1</v>
      </c>
      <c r="F1375" s="4"/>
      <c r="G1375" s="4" t="b">
        <f t="shared" si="21"/>
        <v>0</v>
      </c>
      <c r="H1375" s="4"/>
      <c r="I1375" s="4"/>
      <c r="J1375" s="4" t="s">
        <v>621</v>
      </c>
      <c r="K1375"/>
    </row>
    <row r="1376" spans="1:11" ht="16" x14ac:dyDescent="0.2">
      <c r="A1376" s="6" t="s">
        <v>2796</v>
      </c>
      <c r="B1376" s="6" t="s">
        <v>2797</v>
      </c>
      <c r="C1376" s="4" t="b">
        <v>0</v>
      </c>
      <c r="D1376" s="4" t="b">
        <v>0</v>
      </c>
      <c r="E1376" s="4" t="b">
        <v>1</v>
      </c>
      <c r="F1376" s="4"/>
      <c r="G1376" s="4" t="b">
        <f t="shared" si="21"/>
        <v>0</v>
      </c>
      <c r="H1376" s="4"/>
      <c r="I1376" s="4"/>
      <c r="J1376" s="4" t="s">
        <v>621</v>
      </c>
      <c r="K1376"/>
    </row>
    <row r="1377" spans="1:11" ht="16" x14ac:dyDescent="0.2">
      <c r="A1377" s="6" t="s">
        <v>2798</v>
      </c>
      <c r="B1377" s="6" t="s">
        <v>2799</v>
      </c>
      <c r="C1377" s="4" t="b">
        <v>0</v>
      </c>
      <c r="D1377" s="4" t="b">
        <v>0</v>
      </c>
      <c r="E1377" s="4" t="b">
        <v>1</v>
      </c>
      <c r="F1377" s="4"/>
      <c r="G1377" s="4" t="b">
        <f t="shared" si="21"/>
        <v>0</v>
      </c>
      <c r="H1377" s="4"/>
      <c r="I1377" s="4"/>
      <c r="J1377" s="4" t="s">
        <v>621</v>
      </c>
      <c r="K1377"/>
    </row>
    <row r="1378" spans="1:11" ht="16" x14ac:dyDescent="0.2">
      <c r="A1378" s="6" t="s">
        <v>2800</v>
      </c>
      <c r="B1378" s="6" t="s">
        <v>2801</v>
      </c>
      <c r="C1378" s="4" t="b">
        <v>0</v>
      </c>
      <c r="D1378" s="4" t="b">
        <v>0</v>
      </c>
      <c r="E1378" s="4" t="b">
        <v>1</v>
      </c>
      <c r="F1378" s="4"/>
      <c r="G1378" s="4" t="b">
        <f t="shared" si="21"/>
        <v>0</v>
      </c>
      <c r="H1378" s="4"/>
      <c r="I1378" s="4"/>
      <c r="J1378" s="4" t="s">
        <v>621</v>
      </c>
      <c r="K1378"/>
    </row>
    <row r="1379" spans="1:11" ht="32" x14ac:dyDescent="0.2">
      <c r="A1379" s="6" t="s">
        <v>2802</v>
      </c>
      <c r="B1379" s="6" t="s">
        <v>2803</v>
      </c>
      <c r="C1379" s="4" t="b">
        <v>1</v>
      </c>
      <c r="D1379" s="4" t="b">
        <v>0</v>
      </c>
      <c r="E1379" s="4" t="b">
        <v>1</v>
      </c>
      <c r="F1379" s="4" t="s">
        <v>12</v>
      </c>
      <c r="G1379" s="4" t="b">
        <f t="shared" si="21"/>
        <v>1</v>
      </c>
      <c r="H1379" s="4" t="s">
        <v>2921</v>
      </c>
      <c r="I1379" s="4"/>
      <c r="J1379" s="4" t="s">
        <v>621</v>
      </c>
    </row>
    <row r="1380" spans="1:11" ht="16" x14ac:dyDescent="0.2">
      <c r="A1380" s="6" t="s">
        <v>2804</v>
      </c>
      <c r="B1380" s="6" t="s">
        <v>2805</v>
      </c>
      <c r="C1380" s="4" t="b">
        <v>1</v>
      </c>
      <c r="D1380" s="4" t="b">
        <v>0</v>
      </c>
      <c r="E1380" s="4" t="b">
        <v>0</v>
      </c>
      <c r="F1380" s="4"/>
      <c r="G1380" s="4" t="b">
        <f t="shared" si="21"/>
        <v>0</v>
      </c>
      <c r="H1380" s="4"/>
      <c r="I1380" s="4"/>
      <c r="J1380" s="4" t="s">
        <v>621</v>
      </c>
      <c r="K1380"/>
    </row>
    <row r="1381" spans="1:11" ht="16" x14ac:dyDescent="0.2">
      <c r="A1381" s="6" t="s">
        <v>2806</v>
      </c>
      <c r="B1381" s="6" t="s">
        <v>2807</v>
      </c>
      <c r="C1381" s="4" t="b">
        <v>0</v>
      </c>
      <c r="D1381" s="4" t="b">
        <v>0</v>
      </c>
      <c r="E1381" s="4" t="b">
        <v>1</v>
      </c>
      <c r="F1381" s="4" t="s">
        <v>12</v>
      </c>
      <c r="G1381" s="4" t="b">
        <f t="shared" si="21"/>
        <v>1</v>
      </c>
      <c r="H1381" s="4"/>
      <c r="I1381" s="4"/>
      <c r="J1381" s="4" t="s">
        <v>621</v>
      </c>
      <c r="K1381"/>
    </row>
    <row r="1382" spans="1:11" ht="16" x14ac:dyDescent="0.2">
      <c r="A1382" s="6" t="s">
        <v>2808</v>
      </c>
      <c r="B1382" s="6" t="s">
        <v>2809</v>
      </c>
      <c r="C1382" s="4" t="b">
        <v>0</v>
      </c>
      <c r="D1382" s="4" t="b">
        <v>0</v>
      </c>
      <c r="E1382" s="4" t="b">
        <v>0</v>
      </c>
      <c r="F1382" s="4"/>
      <c r="G1382" s="4" t="b">
        <f t="shared" si="21"/>
        <v>0</v>
      </c>
      <c r="H1382" s="4"/>
      <c r="I1382" s="4"/>
      <c r="J1382" s="4" t="s">
        <v>621</v>
      </c>
      <c r="K1382"/>
    </row>
    <row r="1383" spans="1:11" ht="16" x14ac:dyDescent="0.2">
      <c r="A1383" s="6" t="s">
        <v>2810</v>
      </c>
      <c r="B1383" s="6" t="s">
        <v>2811</v>
      </c>
      <c r="C1383" s="4" t="b">
        <v>1</v>
      </c>
      <c r="D1383" s="4" t="b">
        <v>0</v>
      </c>
      <c r="E1383" s="4" t="b">
        <v>1</v>
      </c>
      <c r="F1383" s="4" t="s">
        <v>12</v>
      </c>
      <c r="G1383" s="4" t="b">
        <f t="shared" si="21"/>
        <v>1</v>
      </c>
      <c r="H1383" s="4" t="s">
        <v>2920</v>
      </c>
      <c r="I1383" s="4"/>
      <c r="J1383" s="4" t="s">
        <v>621</v>
      </c>
    </row>
    <row r="1384" spans="1:11" ht="16" x14ac:dyDescent="0.2">
      <c r="A1384" s="6" t="s">
        <v>2812</v>
      </c>
      <c r="B1384" s="6" t="s">
        <v>2813</v>
      </c>
      <c r="C1384" s="4" t="b">
        <v>0</v>
      </c>
      <c r="D1384" s="4" t="b">
        <v>0</v>
      </c>
      <c r="E1384" s="4" t="b">
        <v>1</v>
      </c>
      <c r="F1384" s="4" t="s">
        <v>12</v>
      </c>
      <c r="G1384" s="4" t="b">
        <f t="shared" si="21"/>
        <v>1</v>
      </c>
      <c r="H1384" s="4" t="s">
        <v>2919</v>
      </c>
      <c r="I1384" s="4"/>
      <c r="J1384" s="4" t="s">
        <v>621</v>
      </c>
      <c r="K1384"/>
    </row>
    <row r="1385" spans="1:11" ht="48" x14ac:dyDescent="0.2">
      <c r="A1385" s="6" t="s">
        <v>2814</v>
      </c>
      <c r="B1385" s="6" t="s">
        <v>2815</v>
      </c>
      <c r="C1385" s="4" t="b">
        <v>1</v>
      </c>
      <c r="D1385" s="4" t="b">
        <v>0</v>
      </c>
      <c r="E1385" s="4" t="b">
        <v>1</v>
      </c>
      <c r="F1385" s="4" t="s">
        <v>12</v>
      </c>
      <c r="G1385" s="4" t="b">
        <f t="shared" si="21"/>
        <v>1</v>
      </c>
      <c r="H1385" s="4" t="s">
        <v>2917</v>
      </c>
      <c r="I1385" s="4"/>
      <c r="J1385" s="4" t="s">
        <v>621</v>
      </c>
    </row>
    <row r="1386" spans="1:11" ht="32" x14ac:dyDescent="0.2">
      <c r="A1386" s="6" t="s">
        <v>2816</v>
      </c>
      <c r="B1386" s="6" t="s">
        <v>2817</v>
      </c>
      <c r="C1386" s="4" t="b">
        <v>1</v>
      </c>
      <c r="D1386" s="4" t="b">
        <v>0</v>
      </c>
      <c r="E1386" s="4" t="b">
        <v>1</v>
      </c>
      <c r="F1386" s="4" t="s">
        <v>12</v>
      </c>
      <c r="G1386" s="4" t="b">
        <f t="shared" si="21"/>
        <v>1</v>
      </c>
      <c r="H1386" s="4" t="s">
        <v>2916</v>
      </c>
      <c r="I1386" s="4"/>
      <c r="J1386" s="4" t="s">
        <v>621</v>
      </c>
    </row>
    <row r="1387" spans="1:11" ht="64" x14ac:dyDescent="0.2">
      <c r="A1387" s="6" t="s">
        <v>2818</v>
      </c>
      <c r="B1387" s="6" t="s">
        <v>2819</v>
      </c>
      <c r="C1387" s="4" t="b">
        <v>1</v>
      </c>
      <c r="D1387" s="4" t="b">
        <v>1</v>
      </c>
      <c r="E1387" s="4" t="b">
        <v>1</v>
      </c>
      <c r="F1387" s="4" t="s">
        <v>12</v>
      </c>
      <c r="G1387" s="4" t="b">
        <f t="shared" si="21"/>
        <v>1</v>
      </c>
      <c r="H1387" s="4" t="s">
        <v>2915</v>
      </c>
      <c r="I1387" s="4"/>
      <c r="J1387" s="4" t="s">
        <v>621</v>
      </c>
    </row>
    <row r="1388" spans="1:11" ht="112" x14ac:dyDescent="0.2">
      <c r="A1388" s="6" t="s">
        <v>2820</v>
      </c>
      <c r="B1388" s="6" t="s">
        <v>2821</v>
      </c>
      <c r="C1388" s="4" t="b">
        <v>1</v>
      </c>
      <c r="D1388" s="4" t="b">
        <v>1</v>
      </c>
      <c r="E1388" s="4" t="b">
        <v>1</v>
      </c>
      <c r="F1388" s="4" t="s">
        <v>12</v>
      </c>
      <c r="G1388" s="4" t="b">
        <f t="shared" si="21"/>
        <v>1</v>
      </c>
      <c r="H1388" s="4" t="s">
        <v>2914</v>
      </c>
      <c r="I1388" s="4"/>
      <c r="J1388" s="4" t="s">
        <v>621</v>
      </c>
    </row>
    <row r="1389" spans="1:11" ht="16" x14ac:dyDescent="0.2">
      <c r="A1389" s="6" t="s">
        <v>2822</v>
      </c>
      <c r="B1389" s="6" t="s">
        <v>2823</v>
      </c>
      <c r="C1389" s="4" t="b">
        <v>0</v>
      </c>
      <c r="D1389" s="4" t="b">
        <v>0</v>
      </c>
      <c r="E1389" s="4" t="b">
        <v>1</v>
      </c>
      <c r="F1389" s="4"/>
      <c r="G1389" s="4" t="b">
        <f t="shared" si="21"/>
        <v>0</v>
      </c>
      <c r="H1389" s="4"/>
      <c r="I1389" s="4"/>
      <c r="J1389" s="4" t="s">
        <v>621</v>
      </c>
      <c r="K1389"/>
    </row>
    <row r="1390" spans="1:11" ht="16" x14ac:dyDescent="0.2">
      <c r="A1390" s="6" t="s">
        <v>2824</v>
      </c>
      <c r="B1390" s="6" t="s">
        <v>2825</v>
      </c>
      <c r="C1390" s="4" t="b">
        <v>1</v>
      </c>
      <c r="D1390" s="4" t="b">
        <v>1</v>
      </c>
      <c r="E1390" s="4" t="b">
        <v>1</v>
      </c>
      <c r="F1390" s="4" t="s">
        <v>12</v>
      </c>
      <c r="G1390" s="4" t="b">
        <f t="shared" si="21"/>
        <v>1</v>
      </c>
      <c r="H1390" s="4" t="s">
        <v>2913</v>
      </c>
      <c r="I1390" s="4"/>
      <c r="J1390" s="4" t="s">
        <v>621</v>
      </c>
    </row>
    <row r="1391" spans="1:11" ht="16" x14ac:dyDescent="0.2">
      <c r="A1391" s="6" t="s">
        <v>2826</v>
      </c>
      <c r="B1391" s="6" t="s">
        <v>2827</v>
      </c>
      <c r="C1391" s="4" t="b">
        <v>1</v>
      </c>
      <c r="D1391" s="4" t="b">
        <v>0</v>
      </c>
      <c r="E1391" s="4" t="b">
        <v>1</v>
      </c>
      <c r="F1391" s="4" t="s">
        <v>12</v>
      </c>
      <c r="G1391" s="4" t="b">
        <f t="shared" si="21"/>
        <v>1</v>
      </c>
      <c r="H1391" s="4" t="s">
        <v>2912</v>
      </c>
      <c r="I1391" s="4"/>
      <c r="J1391" s="4" t="s">
        <v>621</v>
      </c>
    </row>
    <row r="1392" spans="1:11" ht="80" x14ac:dyDescent="0.2">
      <c r="A1392" s="6" t="s">
        <v>2828</v>
      </c>
      <c r="B1392" s="6" t="s">
        <v>2829</v>
      </c>
      <c r="C1392" s="4" t="b">
        <v>1</v>
      </c>
      <c r="D1392" s="4" t="b">
        <v>1</v>
      </c>
      <c r="E1392" s="4" t="b">
        <v>1</v>
      </c>
      <c r="F1392" s="4" t="s">
        <v>12</v>
      </c>
      <c r="G1392" s="4" t="b">
        <f t="shared" si="21"/>
        <v>1</v>
      </c>
      <c r="H1392" s="4" t="s">
        <v>2911</v>
      </c>
      <c r="I1392" s="4"/>
      <c r="J1392" s="4" t="s">
        <v>621</v>
      </c>
    </row>
    <row r="1393" spans="1:11" ht="16" x14ac:dyDescent="0.2">
      <c r="A1393" s="6" t="s">
        <v>2830</v>
      </c>
      <c r="B1393" s="6" t="s">
        <v>2831</v>
      </c>
      <c r="C1393" s="4" t="b">
        <v>1</v>
      </c>
      <c r="D1393" s="4" t="b">
        <v>0</v>
      </c>
      <c r="E1393" s="4" t="b">
        <v>1</v>
      </c>
      <c r="F1393" s="4" t="s">
        <v>12</v>
      </c>
      <c r="G1393" s="4" t="b">
        <f t="shared" si="21"/>
        <v>1</v>
      </c>
      <c r="H1393" s="4" t="s">
        <v>2910</v>
      </c>
      <c r="I1393" s="4"/>
      <c r="J1393" s="4" t="s">
        <v>621</v>
      </c>
    </row>
    <row r="1394" spans="1:11" ht="16" x14ac:dyDescent="0.2">
      <c r="A1394" s="6" t="s">
        <v>2832</v>
      </c>
      <c r="B1394" s="6" t="s">
        <v>2833</v>
      </c>
      <c r="C1394" s="4" t="b">
        <v>0</v>
      </c>
      <c r="D1394" s="4" t="b">
        <v>0</v>
      </c>
      <c r="E1394" s="4" t="b">
        <v>1</v>
      </c>
      <c r="F1394" s="4"/>
      <c r="G1394" s="4" t="b">
        <f t="shared" si="21"/>
        <v>0</v>
      </c>
      <c r="H1394" s="4"/>
      <c r="I1394" s="4"/>
      <c r="J1394" s="4" t="s">
        <v>621</v>
      </c>
      <c r="K1394"/>
    </row>
    <row r="1395" spans="1:11" ht="16" x14ac:dyDescent="0.2">
      <c r="A1395" s="6" t="s">
        <v>2834</v>
      </c>
      <c r="B1395" s="6" t="s">
        <v>2835</v>
      </c>
      <c r="C1395" s="4" t="b">
        <v>1</v>
      </c>
      <c r="D1395" s="4" t="b">
        <v>0</v>
      </c>
      <c r="E1395" s="4" t="b">
        <v>1</v>
      </c>
      <c r="F1395" s="4" t="s">
        <v>12</v>
      </c>
      <c r="G1395" s="4" t="b">
        <f t="shared" si="21"/>
        <v>1</v>
      </c>
      <c r="H1395" s="4" t="s">
        <v>2909</v>
      </c>
      <c r="I1395" s="4"/>
      <c r="J1395" s="4" t="s">
        <v>621</v>
      </c>
    </row>
    <row r="1396" spans="1:11" ht="16" x14ac:dyDescent="0.2">
      <c r="A1396" s="6" t="s">
        <v>2836</v>
      </c>
      <c r="B1396" s="6" t="s">
        <v>2837</v>
      </c>
      <c r="C1396" s="4" t="b">
        <v>0</v>
      </c>
      <c r="D1396" s="4" t="b">
        <v>0</v>
      </c>
      <c r="E1396" s="4" t="b">
        <v>1</v>
      </c>
      <c r="F1396" s="4"/>
      <c r="G1396" s="4" t="b">
        <f t="shared" si="21"/>
        <v>0</v>
      </c>
      <c r="H1396" s="4"/>
      <c r="I1396" s="4"/>
      <c r="J1396" s="4" t="s">
        <v>621</v>
      </c>
      <c r="K1396"/>
    </row>
    <row r="1397" spans="1:11" ht="16" x14ac:dyDescent="0.2">
      <c r="A1397" s="6" t="s">
        <v>2838</v>
      </c>
      <c r="B1397" s="6" t="s">
        <v>2839</v>
      </c>
      <c r="C1397" s="4" t="b">
        <v>1</v>
      </c>
      <c r="D1397" s="4" t="b">
        <v>0</v>
      </c>
      <c r="E1397" s="4" t="b">
        <v>1</v>
      </c>
      <c r="F1397" s="4" t="s">
        <v>12</v>
      </c>
      <c r="G1397" s="4" t="b">
        <f t="shared" si="21"/>
        <v>1</v>
      </c>
      <c r="H1397" s="4" t="s">
        <v>2907</v>
      </c>
      <c r="I1397" s="4"/>
      <c r="J1397" s="4" t="s">
        <v>621</v>
      </c>
    </row>
    <row r="1398" spans="1:11" ht="32" x14ac:dyDescent="0.2">
      <c r="A1398" s="6" t="s">
        <v>2840</v>
      </c>
      <c r="B1398" s="6" t="s">
        <v>2841</v>
      </c>
      <c r="C1398" s="4" t="b">
        <v>1</v>
      </c>
      <c r="D1398" s="4" t="b">
        <v>0</v>
      </c>
      <c r="E1398" s="4" t="b">
        <v>1</v>
      </c>
      <c r="F1398" s="4" t="s">
        <v>12</v>
      </c>
      <c r="G1398" s="4" t="b">
        <f t="shared" si="21"/>
        <v>1</v>
      </c>
      <c r="H1398" s="4" t="s">
        <v>2908</v>
      </c>
      <c r="I1398" s="4"/>
      <c r="J1398" s="4" t="s">
        <v>621</v>
      </c>
    </row>
    <row r="1399" spans="1:11" ht="16" x14ac:dyDescent="0.2">
      <c r="A1399" s="6" t="s">
        <v>2842</v>
      </c>
      <c r="B1399" s="6" t="s">
        <v>2843</v>
      </c>
      <c r="C1399" s="4" t="b">
        <v>0</v>
      </c>
      <c r="D1399" s="4" t="b">
        <v>0</v>
      </c>
      <c r="E1399" s="4" t="b">
        <v>0</v>
      </c>
      <c r="F1399" s="4"/>
      <c r="G1399" s="4" t="b">
        <f t="shared" si="21"/>
        <v>0</v>
      </c>
      <c r="H1399" s="4"/>
      <c r="I1399" s="4"/>
      <c r="J1399" s="4" t="s">
        <v>1451</v>
      </c>
      <c r="K1399"/>
    </row>
    <row r="1400" spans="1:11" ht="16" x14ac:dyDescent="0.2">
      <c r="A1400" s="6" t="s">
        <v>2844</v>
      </c>
      <c r="B1400" s="6" t="s">
        <v>2845</v>
      </c>
      <c r="C1400" s="4" t="b">
        <v>0</v>
      </c>
      <c r="D1400" s="4" t="b">
        <v>0</v>
      </c>
      <c r="E1400" s="4" t="b">
        <v>1</v>
      </c>
      <c r="F1400" s="4"/>
      <c r="G1400" s="4" t="b">
        <f t="shared" si="21"/>
        <v>0</v>
      </c>
      <c r="H1400" s="4"/>
      <c r="I1400" s="4"/>
      <c r="J1400" s="4" t="s">
        <v>1451</v>
      </c>
      <c r="K1400"/>
    </row>
    <row r="1401" spans="1:11" ht="16" x14ac:dyDescent="0.2">
      <c r="A1401" s="6" t="s">
        <v>2846</v>
      </c>
      <c r="B1401" s="6" t="s">
        <v>2847</v>
      </c>
      <c r="C1401" s="4" t="b">
        <v>0</v>
      </c>
      <c r="D1401" s="4" t="b">
        <v>0</v>
      </c>
      <c r="E1401" s="4" t="b">
        <v>1</v>
      </c>
      <c r="F1401" s="4"/>
      <c r="G1401" s="4" t="b">
        <f t="shared" si="21"/>
        <v>0</v>
      </c>
      <c r="H1401" s="4"/>
      <c r="I1401" s="4"/>
      <c r="J1401" s="4" t="s">
        <v>1451</v>
      </c>
      <c r="K1401"/>
    </row>
    <row r="1402" spans="1:11" ht="16" x14ac:dyDescent="0.2">
      <c r="A1402" s="6" t="s">
        <v>2848</v>
      </c>
      <c r="B1402" s="6" t="s">
        <v>2849</v>
      </c>
      <c r="C1402" s="4" t="b">
        <v>0</v>
      </c>
      <c r="D1402" s="4" t="b">
        <v>0</v>
      </c>
      <c r="E1402" s="4" t="b">
        <v>1</v>
      </c>
      <c r="F1402" s="4"/>
      <c r="G1402" s="4" t="b">
        <f t="shared" si="21"/>
        <v>0</v>
      </c>
      <c r="H1402" s="4"/>
      <c r="I1402" s="4"/>
      <c r="J1402" s="4" t="s">
        <v>1451</v>
      </c>
      <c r="K1402"/>
    </row>
    <row r="1404" spans="1:11" s="3" customFormat="1" ht="32" x14ac:dyDescent="0.2">
      <c r="B1404" s="3" t="s">
        <v>2882</v>
      </c>
      <c r="C1404" s="4" t="s">
        <v>2878</v>
      </c>
      <c r="D1404" s="4" t="s">
        <v>2879</v>
      </c>
      <c r="E1404" s="4" t="s">
        <v>2880</v>
      </c>
      <c r="F1404" s="4"/>
      <c r="G1404" s="4" t="s">
        <v>2881</v>
      </c>
      <c r="H1404" s="4"/>
      <c r="I1404" s="4"/>
      <c r="J1404" s="4"/>
      <c r="K1404" s="4"/>
    </row>
    <row r="1405" spans="1:11" s="3" customFormat="1" ht="16" x14ac:dyDescent="0.2">
      <c r="B1405" s="9">
        <f>COUNTIFS(C2:C1402, TRUE, E2:E1402, TRUE)</f>
        <v>495</v>
      </c>
      <c r="C1405" s="4">
        <f>COUNTIF(C2:C1402, TRUE)</f>
        <v>497</v>
      </c>
      <c r="D1405" s="4">
        <f>COUNTIFS(D2:D1402, TRUE, G2:G1402, TRUE)</f>
        <v>127</v>
      </c>
      <c r="E1405" s="4">
        <f>COUNTIF(E2:E1402, TRUE)</f>
        <v>818</v>
      </c>
      <c r="F1405" s="4">
        <f>COUNTIF(F2:F1402, TRUE)</f>
        <v>0</v>
      </c>
      <c r="G1405" s="4">
        <f>COUNTIF(G2:G1402, TRUE)</f>
        <v>594</v>
      </c>
      <c r="H1405" s="4"/>
      <c r="I1405" s="4" t="s">
        <v>2903</v>
      </c>
      <c r="J1405" s="13">
        <f>COUNTIFS(C2:C1402, TRUE, E2:E1402, TRUE, J2:J1402, "Findings")</f>
        <v>165</v>
      </c>
      <c r="K1405" s="4">
        <f>COUNTIFS(C2:C1402, TRUE, E2:E1402, TRUE, G2:G1402, TRUE,  J2:J1402, "Findings")</f>
        <v>165</v>
      </c>
    </row>
    <row r="1406" spans="1:11" s="3" customFormat="1" ht="16" x14ac:dyDescent="0.2">
      <c r="C1406" s="4"/>
      <c r="D1406" s="4">
        <f>D1405/(J1406+K1405)</f>
        <v>0.25656565656565655</v>
      </c>
      <c r="E1406" s="4"/>
      <c r="F1406" s="4"/>
      <c r="G1406" s="4"/>
      <c r="H1406" s="4"/>
      <c r="I1406" s="4" t="s">
        <v>2904</v>
      </c>
      <c r="J1406" s="14">
        <f>B1405-J1405</f>
        <v>330</v>
      </c>
      <c r="K1406" s="4">
        <f>COUNTIFS(C2:C1402, TRUE, E2:E1402, TRUE, J2:J1402, "&lt;&gt;Findings")</f>
        <v>330</v>
      </c>
    </row>
    <row r="1407" spans="1:11" ht="16" x14ac:dyDescent="0.2">
      <c r="I1407" s="11" t="s">
        <v>621</v>
      </c>
      <c r="J1407" s="13">
        <f>COUNTIFS(C2:C1402, TRUE, E2:E1402, TRUE, J2:J1402, "ACL")</f>
        <v>105</v>
      </c>
    </row>
    <row r="1408" spans="1:11" ht="16" x14ac:dyDescent="0.2">
      <c r="I1408" s="11" t="s">
        <v>26</v>
      </c>
      <c r="J1408" s="14">
        <f>COUNTIFS(C2:C1402, TRUE, E2:E1402, TRUE, J2:J1402, "NAACL")</f>
        <v>36</v>
      </c>
    </row>
    <row r="1409" spans="2:10" ht="16" x14ac:dyDescent="0.2">
      <c r="I1409" s="12" t="s">
        <v>94</v>
      </c>
      <c r="J1409" s="15">
        <f>COUNTIFS(C2:C1402, TRUE, E2:E1402, TRUE, J2:J1402, "EMNLP")</f>
        <v>129</v>
      </c>
    </row>
    <row r="1410" spans="2:10" ht="16" x14ac:dyDescent="0.2">
      <c r="B1410" s="3" t="s">
        <v>3020</v>
      </c>
      <c r="C1410" s="4">
        <f>COUNTIFS(C2:C1402, TRUE, E2:E1402, TRUE, G2:G1402, TRUE)</f>
        <v>495</v>
      </c>
      <c r="D1410" s="4">
        <f>C1405/E1405</f>
        <v>0.60757946210268954</v>
      </c>
      <c r="I1410" s="12" t="s">
        <v>1309</v>
      </c>
      <c r="J1410" s="15">
        <f>COUNTIFS(C2:C1402, TRUE, E2:E1402, TRUE, J2:J1402, "EACL")</f>
        <v>9</v>
      </c>
    </row>
    <row r="1411" spans="2:10" ht="16" x14ac:dyDescent="0.2">
      <c r="B1411" s="3" t="s">
        <v>3019</v>
      </c>
      <c r="C1411" s="4">
        <f>COUNTIFS(C2:C1402, TRUE, D2:D1402, TRUE)</f>
        <v>125</v>
      </c>
      <c r="D1411" s="4">
        <f>C1411/C1410</f>
        <v>0.25252525252525254</v>
      </c>
      <c r="I1411" s="12" t="s">
        <v>2005</v>
      </c>
      <c r="J1411" s="15">
        <f>COUNTIFS(C2:C1402, TRUE, E2:E1402, TRUE, J2:J1402, "LREC")</f>
        <v>2</v>
      </c>
    </row>
    <row r="1412" spans="2:10" ht="16" x14ac:dyDescent="0.2">
      <c r="C1412" s="4">
        <f>COUNTIFS(C2:C1402, TRUE, D2:D1402, FALSE, E2:E1402, TRUE, G2:G1402, TRUE)</f>
        <v>370</v>
      </c>
      <c r="I1412" s="12" t="s">
        <v>20</v>
      </c>
      <c r="J1412" s="15">
        <f>COUNTIFS(C2:C1402, TRUE, E2:E1402, TRUE, J2:J1402, "COLING")</f>
        <v>29</v>
      </c>
    </row>
    <row r="1413" spans="2:10" ht="16" x14ac:dyDescent="0.2">
      <c r="I1413" s="12" t="s">
        <v>1336</v>
      </c>
      <c r="J1413" s="15">
        <f>COUNTIFS(C2:C1402, TRUE, E2:E1402, TRUE, J2:J1402, "Computational Linguistics (CL)")</f>
        <v>5</v>
      </c>
    </row>
    <row r="1414" spans="2:10" ht="16" x14ac:dyDescent="0.2">
      <c r="C1414" s="4"/>
      <c r="D1414" s="4"/>
      <c r="E1414" s="4"/>
      <c r="I1414" s="12" t="s">
        <v>14</v>
      </c>
      <c r="J1414" s="15">
        <f>COUNTIFS(C3:C1403,TRUE,E3:E1403,TRUE,J3:J1403,"TACL")</f>
        <v>11</v>
      </c>
    </row>
    <row r="1415" spans="2:10" ht="16" x14ac:dyDescent="0.2">
      <c r="I1415" s="12" t="s">
        <v>1451</v>
      </c>
      <c r="J1415" s="15">
        <f>COUNTIFS(C2:C1402,TRUE,E2:E1402,TRUE,J2:J1402,"AACL/IJCNLP")</f>
        <v>2</v>
      </c>
    </row>
    <row r="1416" spans="2:10" ht="32" x14ac:dyDescent="0.2">
      <c r="B1416" s="7" t="s">
        <v>3179</v>
      </c>
      <c r="C1416" s="1" t="s">
        <v>3180</v>
      </c>
      <c r="D1416" s="1" t="s">
        <v>3181</v>
      </c>
      <c r="J1416" s="15">
        <f>SUM(J1407:J1415)</f>
        <v>328</v>
      </c>
    </row>
    <row r="1417" spans="2:10" x14ac:dyDescent="0.2">
      <c r="B1417" s="7">
        <v>2020</v>
      </c>
      <c r="C1417" s="8">
        <f>COUNTIFS(C2:C1402, TRUE, E2:E1402, TRUE, G2:G1402, TRUE, A2:A1402,  "*2020*")</f>
        <v>31</v>
      </c>
      <c r="D1417" s="1">
        <f>COUNTIFS(C2:C1402, TRUE, E2:E1402, TRUE, D2:D1402, TRUE, G2:G1402, TRUE,  A2:A1402,  "*2020*")</f>
        <v>7</v>
      </c>
      <c r="E1417" s="1">
        <f>D1417/C1417</f>
        <v>0.22580645161290322</v>
      </c>
    </row>
    <row r="1418" spans="2:10" x14ac:dyDescent="0.2">
      <c r="B1418" s="7">
        <v>2021</v>
      </c>
      <c r="C1418" s="1">
        <f>COUNTIFS(C2:C1402, TRUE, E2:E1402, TRUE, G2:G1402, TRUE, A2:A1402,  "*2021*")</f>
        <v>54</v>
      </c>
      <c r="D1418" s="1">
        <f>COUNTIFS(C2:C1402, TRUE, E2:E1402, TRUE, D2:D1402, TRUE, G2:G1402, TRUE, A2:A1402,  "*2021*")</f>
        <v>18</v>
      </c>
      <c r="E1418" s="1">
        <f t="shared" ref="E1418:E1422" si="22">D1418/C1418</f>
        <v>0.33333333333333331</v>
      </c>
    </row>
    <row r="1419" spans="2:10" ht="16" x14ac:dyDescent="0.2">
      <c r="B1419" s="7">
        <v>2022</v>
      </c>
      <c r="C1419" s="1">
        <f>COUNTIFS(C2:C1402, TRUE, E2:E1402, TRUE, G2:G1402, TRUE, A2:A1402,  "*2022*")</f>
        <v>65</v>
      </c>
      <c r="D1419" s="1">
        <f>COUNTIFS(C2:C1402, TRUE, E2:E1402, TRUE, D2:D1402, TRUE, G2:G1402, TRUE, A2:A1402,  "*2022*")</f>
        <v>17</v>
      </c>
      <c r="E1419" s="1">
        <f t="shared" si="22"/>
        <v>0.26153846153846155</v>
      </c>
      <c r="I1419" s="1" t="s">
        <v>3183</v>
      </c>
      <c r="J1419" s="1">
        <f>COUNTIFS(C2:C1402, TRUE, E2:E1402, TRUE, D2:D1402, TRUE, K2:K1402, "High Risk Domain")</f>
        <v>2</v>
      </c>
    </row>
    <row r="1420" spans="2:10" ht="16" x14ac:dyDescent="0.2">
      <c r="B1420" s="7">
        <v>2023</v>
      </c>
      <c r="C1420" s="1">
        <f>COUNTIFS(C2:C1402, TRUE, E2:E1402, TRUE, G2:G1402, TRUE,  A2:A1402,  "*2023*")</f>
        <v>91</v>
      </c>
      <c r="D1420" s="1">
        <f>COUNTIFS(C2:C1402, TRUE, E2:E1402, TRUE, D2:D1402, TRUE, A2:A1402,  "*2023*")</f>
        <v>20</v>
      </c>
      <c r="E1420" s="1">
        <f t="shared" si="22"/>
        <v>0.21978021978021978</v>
      </c>
      <c r="I1420" s="1" t="s">
        <v>3182</v>
      </c>
      <c r="J1420" s="1">
        <f>COUNTIFS(C2:C1402, TRUE, E2:E1402, TRUE, D2:D1402, FALSE, K2:K1402, "High Risk Domain")</f>
        <v>13</v>
      </c>
    </row>
    <row r="1421" spans="2:10" x14ac:dyDescent="0.2">
      <c r="B1421" s="7">
        <v>2024</v>
      </c>
      <c r="C1421" s="1">
        <f>COUNTIFS(C2:C1402, TRUE, E2:E1402, TRUE,G2:G1402, TRUE,  A2:A1402,  "*2024*")</f>
        <v>106</v>
      </c>
      <c r="D1421" s="1">
        <f>COUNTIFS(C2:C1402, TRUE, E2:E1402, TRUE, D2:D1402, TRUE, A2:A1402,  "*2024*")</f>
        <v>27</v>
      </c>
      <c r="E1421" s="1">
        <f t="shared" si="22"/>
        <v>0.25471698113207547</v>
      </c>
    </row>
    <row r="1422" spans="2:10" x14ac:dyDescent="0.2">
      <c r="B1422" s="7">
        <v>2025</v>
      </c>
      <c r="C1422" s="1">
        <f>COUNTIFS(C2:C1402, TRUE, E2:E1402, TRUE, G2:G1402, TRUE, A2:A1402,  "*2025*")</f>
        <v>148</v>
      </c>
      <c r="D1422" s="1">
        <f>COUNTIFS(C2:C1402, TRUE, E2:E1402, TRUE, D2:D1402, TRUE, A2:A1402,  "*2025*")</f>
        <v>36</v>
      </c>
      <c r="E1422" s="1">
        <f t="shared" si="22"/>
        <v>0.24324324324324326</v>
      </c>
    </row>
    <row r="1423" spans="2:10" x14ac:dyDescent="0.2">
      <c r="C1423" s="1">
        <f>SUM(C1417:C1422)</f>
        <v>495</v>
      </c>
    </row>
    <row r="1453" spans="2:9" x14ac:dyDescent="0.2">
      <c r="B1453" s="7" t="s">
        <v>3381</v>
      </c>
    </row>
    <row r="1454" spans="2:9" ht="32" x14ac:dyDescent="0.2">
      <c r="B1454" s="7" t="s">
        <v>3179</v>
      </c>
      <c r="C1454" s="1" t="s">
        <v>3180</v>
      </c>
      <c r="D1454" s="1" t="s">
        <v>3181</v>
      </c>
    </row>
    <row r="1455" spans="2:9" x14ac:dyDescent="0.2">
      <c r="B1455" s="7">
        <v>2020</v>
      </c>
      <c r="C1455" s="1">
        <f>C1417-C1464</f>
        <v>27</v>
      </c>
      <c r="D1455" s="1">
        <f>D1417-D1464</f>
        <v>7</v>
      </c>
      <c r="E1455" s="1">
        <f t="shared" ref="E1455:E1461" si="23">D1455/G1455</f>
        <v>0.25925925925925924</v>
      </c>
      <c r="G1455" s="8">
        <v>27</v>
      </c>
      <c r="H1455" s="1">
        <f>COUNTIFS(C2:C1402, TRUE, E2:E1402, TRUE, G2:G1402, TRUE, A2:A1402,  "*2020*", J2:J1402, "&lt;&gt;Findings")</f>
        <v>27</v>
      </c>
      <c r="I1455" s="1">
        <f>COUNTIFS(C2:C1402, TRUE, E2:E1402, TRUE, D2:D1402, TRUE, G2:G1402, TRUE,  A2:A1402,  "*2020*",  J2:J1402, "&lt;&gt;Findings")</f>
        <v>7</v>
      </c>
    </row>
    <row r="1456" spans="2:9" x14ac:dyDescent="0.2">
      <c r="B1456" s="7">
        <v>2021</v>
      </c>
      <c r="C1456" s="1">
        <f t="shared" ref="C1456:D1460" si="24">C1418-C1465</f>
        <v>49</v>
      </c>
      <c r="D1456" s="1">
        <f t="shared" si="24"/>
        <v>16</v>
      </c>
      <c r="E1456" s="1">
        <f t="shared" si="23"/>
        <v>0.32653061224489793</v>
      </c>
      <c r="G1456" s="1">
        <v>49</v>
      </c>
      <c r="H1456" s="1">
        <f>COUNTIFS(C2:C1402, TRUE, E2:E1402, TRUE, G2:G1402, TRUE, A2:A1402,  "*2021*", J2:J1402, "&lt;&gt;Findings")</f>
        <v>49</v>
      </c>
      <c r="I1456" s="1">
        <f>COUNTIFS(C2:C1402, TRUE, E2:E1402, TRUE, D2:D1402, TRUE, G2:G1402, TRUE,  A2:A1402,  "*2021*",  J2:J1402, "&lt;&gt;Findings")</f>
        <v>16</v>
      </c>
    </row>
    <row r="1457" spans="2:9" x14ac:dyDescent="0.2">
      <c r="B1457" s="7">
        <v>2022</v>
      </c>
      <c r="C1457" s="1">
        <f t="shared" si="24"/>
        <v>45</v>
      </c>
      <c r="D1457" s="1">
        <f t="shared" si="24"/>
        <v>15</v>
      </c>
      <c r="E1457" s="1">
        <f t="shared" si="23"/>
        <v>0.33333333333333331</v>
      </c>
      <c r="G1457" s="1">
        <v>45</v>
      </c>
      <c r="H1457" s="1">
        <f>COUNTIFS(C2:C1402, TRUE, E2:E1402, TRUE, G2:G1402, TRUE, A2:A1402,  "*2022*", J2:J1402, "&lt;&gt;Findings")</f>
        <v>45</v>
      </c>
      <c r="I1457" s="1">
        <f>COUNTIFS(C2:C1402, TRUE, E2:E1402, TRUE, D2:D1402, TRUE, G2:G1402, TRUE,  A2:A1402,  "*2022*",  J2:J1402, "&lt;&gt;Findings")</f>
        <v>15</v>
      </c>
    </row>
    <row r="1458" spans="2:9" x14ac:dyDescent="0.2">
      <c r="B1458" s="7">
        <v>2023</v>
      </c>
      <c r="C1458" s="1">
        <f t="shared" si="24"/>
        <v>55</v>
      </c>
      <c r="D1458" s="1">
        <f t="shared" si="24"/>
        <v>14</v>
      </c>
      <c r="E1458" s="1">
        <f t="shared" si="23"/>
        <v>0.25925925925925924</v>
      </c>
      <c r="G1458" s="1">
        <v>54</v>
      </c>
      <c r="H1458" s="1">
        <f>COUNTIFS(C2:C1402, TRUE, E2:E1402, TRUE, G2:G1402, TRUE, A2:A1402,  "*2023*", J2:J1402, "&lt;&gt;Findings")</f>
        <v>55</v>
      </c>
      <c r="I1458" s="1">
        <f>COUNTIFS(C2:C1402, TRUE, E2:E1402, TRUE, D2:D1402, TRUE, G2:G1402, TRUE,  A2:A1402,  "*2023*",  J2:J1402, "&lt;&gt;Findings")</f>
        <v>14</v>
      </c>
    </row>
    <row r="1459" spans="2:9" x14ac:dyDescent="0.2">
      <c r="B1459" s="7">
        <v>2024</v>
      </c>
      <c r="C1459" s="1">
        <f t="shared" si="24"/>
        <v>65</v>
      </c>
      <c r="D1459" s="1">
        <f t="shared" si="24"/>
        <v>18</v>
      </c>
      <c r="E1459" s="1">
        <f t="shared" si="23"/>
        <v>0.28125</v>
      </c>
      <c r="G1459" s="1">
        <v>64</v>
      </c>
      <c r="H1459" s="1">
        <f>COUNTIFS(C2:C1402, TRUE, E2:E1402, TRUE, G2:G1402, TRUE, A2:A1402,  "*2024*", J2:J1402, "&lt;&gt;Findings")</f>
        <v>65</v>
      </c>
      <c r="I1459" s="1">
        <f>COUNTIFS(C2:C1402, TRUE, E2:E1402, TRUE, D2:D1402, TRUE, G2:G1402, TRUE,  A2:A1402,  "*2024*",  J2:J1402, "&lt;&gt;Findings")</f>
        <v>18</v>
      </c>
    </row>
    <row r="1460" spans="2:9" x14ac:dyDescent="0.2">
      <c r="B1460" s="7">
        <v>2025</v>
      </c>
      <c r="C1460" s="1">
        <f t="shared" si="24"/>
        <v>89</v>
      </c>
      <c r="D1460" s="1">
        <f t="shared" si="24"/>
        <v>22</v>
      </c>
      <c r="E1460" s="1">
        <f t="shared" si="23"/>
        <v>0.21568627450980393</v>
      </c>
      <c r="G1460" s="1">
        <v>102</v>
      </c>
      <c r="H1460" s="1">
        <f>COUNTIFS(C2:C1402, TRUE, E2:E1402, TRUE, G2:G1402, TRUE, A2:A1402,  "*2025*", J2:J1402, "&lt;&gt;Findings")</f>
        <v>89</v>
      </c>
      <c r="I1460" s="1">
        <f>COUNTIFS(C2:C1402, TRUE, E2:E1402, TRUE, D2:D1402, TRUE, G2:G1402, TRUE,  A2:A1402,  "*2025*",  J2:J1402, "&lt;&gt;Findings")</f>
        <v>22</v>
      </c>
    </row>
    <row r="1461" spans="2:9" x14ac:dyDescent="0.2">
      <c r="C1461" s="1">
        <f>SUM(C1455:C1460)</f>
        <v>330</v>
      </c>
      <c r="D1461" s="1">
        <f>SUM(D1455:D1460)</f>
        <v>92</v>
      </c>
      <c r="E1461" s="1">
        <f t="shared" si="23"/>
        <v>0.26979472140762462</v>
      </c>
      <c r="G1461" s="1">
        <f>SUM(G1455:G1460)</f>
        <v>341</v>
      </c>
    </row>
    <row r="1462" spans="2:9" x14ac:dyDescent="0.2">
      <c r="B1462" s="7" t="s">
        <v>98</v>
      </c>
    </row>
    <row r="1463" spans="2:9" ht="32" x14ac:dyDescent="0.2">
      <c r="B1463" s="7" t="s">
        <v>3179</v>
      </c>
      <c r="C1463" s="1" t="s">
        <v>3180</v>
      </c>
      <c r="D1463" s="1" t="s">
        <v>3181</v>
      </c>
    </row>
    <row r="1464" spans="2:9" x14ac:dyDescent="0.2">
      <c r="B1464" s="7">
        <v>2020</v>
      </c>
      <c r="C1464" s="8">
        <f>COUNTIFS(C2:C1402, TRUE, E2:E1402, TRUE, G2:G1402, TRUE, A2:A1402,  "*2020*", J2:J1402, "Findings")</f>
        <v>4</v>
      </c>
      <c r="D1464" s="1">
        <f>COUNTIFS(C2:C1402, TRUE, E2:E1402, TRUE, D2:D1402, TRUE, G2:G1402, TRUE,  A2:A1402,  "*2020*", J2:J1402, "Findings")</f>
        <v>0</v>
      </c>
      <c r="E1464" s="1">
        <f>D1464/C1464</f>
        <v>0</v>
      </c>
    </row>
    <row r="1465" spans="2:9" x14ac:dyDescent="0.2">
      <c r="B1465" s="7">
        <v>2021</v>
      </c>
      <c r="C1465" s="1">
        <f>COUNTIFS(C2:C1402, TRUE, E2:E1402, TRUE, G2:G1402, TRUE, A2:A1402,  "*2021*", J2:J1402, "Findings")</f>
        <v>5</v>
      </c>
      <c r="D1465" s="1">
        <f>COUNTIFS(C2:C1402, TRUE, E2:E1402, TRUE, D2:D1402, TRUE, G2:G1402, TRUE, A2:A1402,  "*2021*", J2:J1402, "Findings")</f>
        <v>2</v>
      </c>
      <c r="E1465" s="1">
        <f t="shared" ref="E1465:E1469" si="25">D1465/C1465</f>
        <v>0.4</v>
      </c>
    </row>
    <row r="1466" spans="2:9" x14ac:dyDescent="0.2">
      <c r="B1466" s="7">
        <v>2022</v>
      </c>
      <c r="C1466" s="1">
        <f>COUNTIFS(C2:C1402, TRUE, E2:E1402, TRUE, G2:G1402, TRUE, A2:A1402,  "*2022*", J2:J1402, "Findings")</f>
        <v>20</v>
      </c>
      <c r="D1466" s="1">
        <f>COUNTIFS(C2:C1402, TRUE, E2:E1402, TRUE, D2:D1402, TRUE, G2:G1402, TRUE, A2:A1402,  "*2022*", J2:J1402, "Findings")</f>
        <v>2</v>
      </c>
      <c r="E1466" s="1">
        <f t="shared" si="25"/>
        <v>0.1</v>
      </c>
    </row>
    <row r="1467" spans="2:9" x14ac:dyDescent="0.2">
      <c r="B1467" s="7">
        <v>2023</v>
      </c>
      <c r="C1467" s="1">
        <f>COUNTIFS(C2:C1402, TRUE, E2:E1402, TRUE, G2:G1402, TRUE,  A2:A1402,  "*2023*", J2:J1402, "Findings")</f>
        <v>36</v>
      </c>
      <c r="D1467" s="1">
        <f>COUNTIFS(C2:C1402, TRUE, E2:E1402, TRUE, D2:D1402, TRUE, A2:A1402,  "*2023*", J2:J1402, "Findings")</f>
        <v>6</v>
      </c>
      <c r="E1467" s="1">
        <f t="shared" si="25"/>
        <v>0.16666666666666666</v>
      </c>
    </row>
    <row r="1468" spans="2:9" x14ac:dyDescent="0.2">
      <c r="B1468" s="7">
        <v>2024</v>
      </c>
      <c r="C1468" s="1">
        <f>COUNTIFS(C2:C1402, TRUE, E2:E1402, TRUE,G2:G1402, TRUE,  A2:A1402,  "*2024*", J2:J1402, "Findings")</f>
        <v>41</v>
      </c>
      <c r="D1468" s="1">
        <f>COUNTIFS(C2:C1402, TRUE, E2:E1402, TRUE, D2:D1402, TRUE, A2:A1402,  "*2024*", J2:J1402, "Findings")</f>
        <v>9</v>
      </c>
      <c r="E1468" s="1">
        <f t="shared" si="25"/>
        <v>0.21951219512195122</v>
      </c>
    </row>
    <row r="1469" spans="2:9" x14ac:dyDescent="0.2">
      <c r="B1469" s="7">
        <v>2025</v>
      </c>
      <c r="C1469" s="1">
        <f>COUNTIFS(C2:C1402, TRUE, E2:E1402, TRUE, G2:G1402, TRUE, A2:A1402,  "*2025*", J2:J1402, "Findings")</f>
        <v>59</v>
      </c>
      <c r="D1469" s="1">
        <f>COUNTIFS(C2:C1402, TRUE, E2:E1402, TRUE, D2:D1402, TRUE, A2:A1402,  "*2025*", J2:J1402, "Findings")</f>
        <v>14</v>
      </c>
      <c r="E1469" s="1">
        <f t="shared" si="25"/>
        <v>0.23728813559322035</v>
      </c>
    </row>
    <row r="1470" spans="2:9" x14ac:dyDescent="0.2">
      <c r="C1470" s="1">
        <f>SUM(C1464:C1469)</f>
        <v>165</v>
      </c>
      <c r="D1470" s="1">
        <f>SUM(D1464:D1469)</f>
        <v>33</v>
      </c>
      <c r="E1470" s="1">
        <f>D1470/C1470</f>
        <v>0.2</v>
      </c>
    </row>
    <row r="1472" spans="2:9" ht="16" x14ac:dyDescent="0.2">
      <c r="B1472" s="1" t="s">
        <v>3384</v>
      </c>
      <c r="C1472" s="1">
        <f>C1461+C1470</f>
        <v>495</v>
      </c>
      <c r="D1472" s="1">
        <f>D1461+D1470</f>
        <v>125</v>
      </c>
      <c r="E1472" s="1">
        <f>D1472/C1472</f>
        <v>0.25252525252525254</v>
      </c>
    </row>
  </sheetData>
  <autoFilter ref="A1:J1402" xr:uid="{00000000-0001-0000-0000-000000000000}"/>
  <pageMargins left="0.75" right="0.75" top="1" bottom="1" header="0.5" footer="0.5"/>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08AFC-4511-3845-9B94-E193A145D724}">
  <dimension ref="A1:L132"/>
  <sheetViews>
    <sheetView workbookViewId="0">
      <selection activeCell="G129" sqref="G129"/>
    </sheetView>
  </sheetViews>
  <sheetFormatPr baseColWidth="10" defaultRowHeight="15" x14ac:dyDescent="0.2"/>
  <cols>
    <col min="1" max="1" width="30.33203125" customWidth="1"/>
    <col min="2" max="2" width="39.83203125" style="1" customWidth="1"/>
    <col min="8" max="8" width="37.6640625" style="1" customWidth="1"/>
  </cols>
  <sheetData>
    <row r="1" spans="1:12" ht="48" x14ac:dyDescent="0.2">
      <c r="A1" s="5" t="s">
        <v>0</v>
      </c>
      <c r="B1" s="18" t="s">
        <v>1</v>
      </c>
      <c r="C1" s="2" t="s">
        <v>2</v>
      </c>
      <c r="D1" s="2" t="s">
        <v>3</v>
      </c>
      <c r="E1" s="2" t="s">
        <v>4</v>
      </c>
      <c r="F1" s="2" t="s">
        <v>5</v>
      </c>
      <c r="G1" s="2" t="s">
        <v>6</v>
      </c>
      <c r="H1" s="2" t="s">
        <v>7</v>
      </c>
      <c r="I1" s="10" t="s">
        <v>3187</v>
      </c>
      <c r="J1" s="10" t="s">
        <v>3188</v>
      </c>
      <c r="K1" s="10" t="s">
        <v>3205</v>
      </c>
      <c r="L1" s="10" t="s">
        <v>3198</v>
      </c>
    </row>
    <row r="2" spans="1:12" ht="32" x14ac:dyDescent="0.2">
      <c r="A2" s="6" t="s">
        <v>10</v>
      </c>
      <c r="B2" s="11" t="s">
        <v>11</v>
      </c>
      <c r="C2" s="4" t="b">
        <v>1</v>
      </c>
      <c r="D2" s="4" t="b">
        <v>1</v>
      </c>
      <c r="E2" s="4" t="b">
        <v>1</v>
      </c>
      <c r="F2" s="4" t="s">
        <v>12</v>
      </c>
      <c r="G2" s="4" t="b">
        <v>1</v>
      </c>
      <c r="H2" s="4" t="s">
        <v>13</v>
      </c>
      <c r="I2" s="4" t="b">
        <v>0</v>
      </c>
      <c r="J2" s="4" t="b">
        <v>1</v>
      </c>
      <c r="K2" s="4" t="b">
        <v>0</v>
      </c>
    </row>
    <row r="3" spans="1:12" ht="96" x14ac:dyDescent="0.2">
      <c r="A3" s="6" t="s">
        <v>23</v>
      </c>
      <c r="B3" s="11" t="s">
        <v>24</v>
      </c>
      <c r="C3" s="4" t="b">
        <v>1</v>
      </c>
      <c r="D3" s="4" t="b">
        <v>1</v>
      </c>
      <c r="E3" s="4" t="b">
        <v>1</v>
      </c>
      <c r="F3" s="4" t="s">
        <v>12</v>
      </c>
      <c r="G3" s="4" t="b">
        <v>1</v>
      </c>
      <c r="H3" s="4" t="s">
        <v>25</v>
      </c>
      <c r="I3" s="4" t="b">
        <v>0</v>
      </c>
      <c r="J3" s="4" t="b">
        <v>1</v>
      </c>
      <c r="K3" s="4" t="b">
        <v>0</v>
      </c>
    </row>
    <row r="4" spans="1:12" ht="32" x14ac:dyDescent="0.2">
      <c r="A4" s="6" t="s">
        <v>29</v>
      </c>
      <c r="B4" s="11" t="s">
        <v>30</v>
      </c>
      <c r="C4" s="4" t="b">
        <v>1</v>
      </c>
      <c r="D4" s="4" t="b">
        <v>1</v>
      </c>
      <c r="E4" s="4" t="b">
        <v>1</v>
      </c>
      <c r="F4" s="4" t="s">
        <v>12</v>
      </c>
      <c r="G4" s="4" t="b">
        <v>1</v>
      </c>
      <c r="H4" s="1" t="s">
        <v>2941</v>
      </c>
      <c r="I4" s="4" t="b">
        <v>0</v>
      </c>
      <c r="J4" s="4" t="b">
        <v>1</v>
      </c>
      <c r="K4" s="4" t="b">
        <v>0</v>
      </c>
    </row>
    <row r="5" spans="1:12" ht="32" x14ac:dyDescent="0.2">
      <c r="A5" s="6" t="s">
        <v>50</v>
      </c>
      <c r="B5" s="11" t="s">
        <v>51</v>
      </c>
      <c r="C5" s="4" t="b">
        <v>1</v>
      </c>
      <c r="D5" s="4" t="b">
        <v>1</v>
      </c>
      <c r="E5" s="4" t="b">
        <v>1</v>
      </c>
      <c r="F5" s="4" t="s">
        <v>12</v>
      </c>
      <c r="G5" s="4" t="b">
        <v>1</v>
      </c>
      <c r="H5" s="4" t="s">
        <v>52</v>
      </c>
      <c r="I5" s="4" t="b">
        <v>0</v>
      </c>
      <c r="J5" s="4" t="b">
        <v>1</v>
      </c>
      <c r="K5" s="4" t="b">
        <v>0</v>
      </c>
    </row>
    <row r="6" spans="1:12" ht="144" x14ac:dyDescent="0.2">
      <c r="A6" s="6" t="s">
        <v>60</v>
      </c>
      <c r="B6" s="11" t="s">
        <v>61</v>
      </c>
      <c r="C6" s="4" t="b">
        <v>1</v>
      </c>
      <c r="D6" s="4" t="b">
        <v>1</v>
      </c>
      <c r="E6" s="4" t="b">
        <v>1</v>
      </c>
      <c r="F6" s="4" t="s">
        <v>12</v>
      </c>
      <c r="G6" s="4" t="b">
        <v>1</v>
      </c>
      <c r="H6" s="4" t="s">
        <v>62</v>
      </c>
      <c r="I6" s="4" t="b">
        <v>1</v>
      </c>
      <c r="J6" s="4" t="b">
        <v>0</v>
      </c>
      <c r="K6" s="4" t="b">
        <v>1</v>
      </c>
    </row>
    <row r="7" spans="1:12" ht="48" x14ac:dyDescent="0.2">
      <c r="A7" s="6" t="s">
        <v>85</v>
      </c>
      <c r="B7" s="11" t="s">
        <v>86</v>
      </c>
      <c r="C7" s="4" t="b">
        <v>1</v>
      </c>
      <c r="D7" s="4" t="b">
        <v>1</v>
      </c>
      <c r="E7" s="4" t="b">
        <v>1</v>
      </c>
      <c r="F7" s="4" t="s">
        <v>12</v>
      </c>
      <c r="G7" s="4" t="b">
        <v>1</v>
      </c>
      <c r="H7" s="4" t="s">
        <v>87</v>
      </c>
      <c r="I7" s="4" t="b">
        <v>1</v>
      </c>
      <c r="J7" s="4" t="b">
        <v>0</v>
      </c>
      <c r="K7" s="4" t="b">
        <v>0</v>
      </c>
    </row>
    <row r="8" spans="1:12" ht="48" x14ac:dyDescent="0.2">
      <c r="A8" s="6" t="s">
        <v>95</v>
      </c>
      <c r="B8" s="11" t="s">
        <v>96</v>
      </c>
      <c r="C8" s="4" t="b">
        <v>1</v>
      </c>
      <c r="D8" s="4" t="b">
        <v>1</v>
      </c>
      <c r="E8" s="4" t="b">
        <v>1</v>
      </c>
      <c r="F8" s="4" t="s">
        <v>12</v>
      </c>
      <c r="G8" s="4" t="b">
        <v>1</v>
      </c>
      <c r="H8" s="4" t="s">
        <v>97</v>
      </c>
      <c r="I8" s="4" t="b">
        <v>0</v>
      </c>
      <c r="J8" s="4" t="b">
        <v>1</v>
      </c>
      <c r="K8" s="4" t="b">
        <v>0</v>
      </c>
    </row>
    <row r="9" spans="1:12" ht="32" x14ac:dyDescent="0.2">
      <c r="A9" s="6" t="s">
        <v>101</v>
      </c>
      <c r="B9" s="11" t="s">
        <v>102</v>
      </c>
      <c r="C9" s="4" t="b">
        <v>1</v>
      </c>
      <c r="D9" s="4" t="b">
        <v>1</v>
      </c>
      <c r="E9" s="4" t="b">
        <v>1</v>
      </c>
      <c r="F9" s="4" t="s">
        <v>12</v>
      </c>
      <c r="G9" s="4" t="b">
        <v>1</v>
      </c>
      <c r="H9" s="4" t="s">
        <v>103</v>
      </c>
      <c r="I9" s="4" t="b">
        <v>0</v>
      </c>
      <c r="J9" s="4" t="b">
        <v>0</v>
      </c>
      <c r="K9" s="4" t="b">
        <v>1</v>
      </c>
    </row>
    <row r="10" spans="1:12" ht="288" x14ac:dyDescent="0.2">
      <c r="A10" s="6" t="s">
        <v>118</v>
      </c>
      <c r="B10" s="11" t="s">
        <v>119</v>
      </c>
      <c r="C10" s="4" t="b">
        <v>1</v>
      </c>
      <c r="D10" s="4" t="b">
        <v>1</v>
      </c>
      <c r="E10" s="4" t="b">
        <v>1</v>
      </c>
      <c r="F10" s="4" t="s">
        <v>12</v>
      </c>
      <c r="G10" s="4" t="b">
        <v>1</v>
      </c>
      <c r="H10" s="4" t="s">
        <v>120</v>
      </c>
      <c r="I10" s="4" t="b">
        <v>1</v>
      </c>
      <c r="J10" s="4" t="b">
        <v>0</v>
      </c>
      <c r="K10" s="4" t="b">
        <v>0</v>
      </c>
    </row>
    <row r="11" spans="1:12" ht="48" x14ac:dyDescent="0.2">
      <c r="A11" s="6" t="s">
        <v>158</v>
      </c>
      <c r="B11" s="11" t="s">
        <v>159</v>
      </c>
      <c r="C11" s="4" t="b">
        <v>1</v>
      </c>
      <c r="D11" s="4" t="b">
        <v>1</v>
      </c>
      <c r="E11" s="4" t="b">
        <v>1</v>
      </c>
      <c r="F11" s="4" t="s">
        <v>12</v>
      </c>
      <c r="G11" s="4" t="b">
        <v>1</v>
      </c>
      <c r="H11" s="4" t="s">
        <v>3224</v>
      </c>
      <c r="I11" s="4" t="b">
        <v>0</v>
      </c>
      <c r="J11" s="4" t="b">
        <v>1</v>
      </c>
      <c r="K11" s="4" t="b">
        <v>1</v>
      </c>
    </row>
    <row r="12" spans="1:12" ht="48" x14ac:dyDescent="0.2">
      <c r="A12" s="6" t="s">
        <v>174</v>
      </c>
      <c r="B12" s="11" t="s">
        <v>175</v>
      </c>
      <c r="C12" s="4" t="b">
        <v>1</v>
      </c>
      <c r="D12" s="4" t="b">
        <v>1</v>
      </c>
      <c r="E12" s="4" t="b">
        <v>1</v>
      </c>
      <c r="F12" s="4" t="s">
        <v>12</v>
      </c>
      <c r="G12" s="4" t="b">
        <v>1</v>
      </c>
      <c r="H12" s="4" t="s">
        <v>3225</v>
      </c>
      <c r="I12" s="4" t="b">
        <v>0</v>
      </c>
      <c r="J12" s="4" t="b">
        <v>0</v>
      </c>
      <c r="K12" s="4" t="b">
        <v>1</v>
      </c>
    </row>
    <row r="13" spans="1:12" ht="64" x14ac:dyDescent="0.2">
      <c r="A13" s="6" t="s">
        <v>180</v>
      </c>
      <c r="B13" s="11" t="s">
        <v>181</v>
      </c>
      <c r="C13" s="4" t="b">
        <v>1</v>
      </c>
      <c r="D13" s="4" t="b">
        <v>1</v>
      </c>
      <c r="E13" s="4" t="b">
        <v>1</v>
      </c>
      <c r="F13" s="4" t="s">
        <v>12</v>
      </c>
      <c r="G13" s="4" t="b">
        <v>1</v>
      </c>
      <c r="H13" s="4" t="s">
        <v>3226</v>
      </c>
      <c r="I13" s="4" t="b">
        <v>1</v>
      </c>
      <c r="J13" s="4" t="b">
        <v>0</v>
      </c>
      <c r="K13" s="4" t="b">
        <v>1</v>
      </c>
    </row>
    <row r="14" spans="1:12" ht="96" x14ac:dyDescent="0.2">
      <c r="A14" s="6" t="s">
        <v>190</v>
      </c>
      <c r="B14" s="11" t="s">
        <v>191</v>
      </c>
      <c r="C14" s="4" t="b">
        <v>1</v>
      </c>
      <c r="D14" s="4" t="b">
        <v>1</v>
      </c>
      <c r="E14" s="4" t="b">
        <v>1</v>
      </c>
      <c r="F14" s="4" t="s">
        <v>12</v>
      </c>
      <c r="G14" s="4" t="b">
        <v>1</v>
      </c>
      <c r="H14" s="4" t="s">
        <v>3228</v>
      </c>
      <c r="I14" s="4" t="b">
        <v>0</v>
      </c>
      <c r="J14" s="4" t="b">
        <v>1</v>
      </c>
      <c r="K14" s="4" t="b">
        <v>0</v>
      </c>
    </row>
    <row r="15" spans="1:12" ht="96" x14ac:dyDescent="0.2">
      <c r="A15" s="6" t="s">
        <v>204</v>
      </c>
      <c r="B15" s="11" t="s">
        <v>205</v>
      </c>
      <c r="C15" s="4" t="b">
        <v>1</v>
      </c>
      <c r="D15" s="4" t="b">
        <v>1</v>
      </c>
      <c r="E15" s="4" t="b">
        <v>1</v>
      </c>
      <c r="F15" s="4" t="s">
        <v>12</v>
      </c>
      <c r="G15" s="4" t="b">
        <v>1</v>
      </c>
      <c r="H15" s="4" t="s">
        <v>3232</v>
      </c>
      <c r="I15" s="4" t="b">
        <v>0</v>
      </c>
      <c r="J15" s="4" t="b">
        <v>1</v>
      </c>
      <c r="K15" s="4" t="b">
        <v>0</v>
      </c>
    </row>
    <row r="16" spans="1:12" ht="112" x14ac:dyDescent="0.2">
      <c r="A16" s="6" t="s">
        <v>218</v>
      </c>
      <c r="B16" s="11" t="s">
        <v>219</v>
      </c>
      <c r="C16" s="4" t="b">
        <v>1</v>
      </c>
      <c r="D16" s="4" t="b">
        <v>1</v>
      </c>
      <c r="E16" s="4" t="b">
        <v>1</v>
      </c>
      <c r="F16" s="4" t="s">
        <v>12</v>
      </c>
      <c r="G16" s="4" t="b">
        <v>1</v>
      </c>
      <c r="H16" s="4" t="s">
        <v>3235</v>
      </c>
      <c r="I16" s="4" t="b">
        <v>0</v>
      </c>
      <c r="J16" s="4" t="b">
        <v>1</v>
      </c>
      <c r="K16" s="4" t="b">
        <v>0</v>
      </c>
    </row>
    <row r="17" spans="1:11" ht="48" x14ac:dyDescent="0.2">
      <c r="A17" s="6" t="s">
        <v>244</v>
      </c>
      <c r="B17" s="11" t="s">
        <v>245</v>
      </c>
      <c r="C17" s="4" t="b">
        <v>1</v>
      </c>
      <c r="D17" s="4" t="b">
        <v>1</v>
      </c>
      <c r="E17" s="4" t="b">
        <v>1</v>
      </c>
      <c r="F17" s="4" t="s">
        <v>12</v>
      </c>
      <c r="G17" s="4" t="b">
        <v>1</v>
      </c>
      <c r="H17" s="4" t="s">
        <v>3242</v>
      </c>
      <c r="I17" s="4" t="b">
        <v>0</v>
      </c>
      <c r="J17" s="4" t="b">
        <v>1</v>
      </c>
      <c r="K17" s="4" t="b">
        <v>0</v>
      </c>
    </row>
    <row r="18" spans="1:11" ht="80" x14ac:dyDescent="0.2">
      <c r="A18" s="6" t="s">
        <v>304</v>
      </c>
      <c r="B18" s="11" t="s">
        <v>305</v>
      </c>
      <c r="C18" s="4" t="b">
        <v>1</v>
      </c>
      <c r="D18" s="4" t="b">
        <v>1</v>
      </c>
      <c r="E18" s="4" t="b">
        <v>1</v>
      </c>
      <c r="F18" s="4" t="s">
        <v>12</v>
      </c>
      <c r="G18" s="4" t="b">
        <v>1</v>
      </c>
      <c r="H18" s="4" t="s">
        <v>3252</v>
      </c>
      <c r="I18" s="4" t="b">
        <v>0</v>
      </c>
      <c r="J18" s="4" t="b">
        <v>1</v>
      </c>
      <c r="K18" s="4" t="b">
        <v>0</v>
      </c>
    </row>
    <row r="19" spans="1:11" ht="112" x14ac:dyDescent="0.2">
      <c r="A19" s="6" t="s">
        <v>308</v>
      </c>
      <c r="B19" s="11" t="s">
        <v>309</v>
      </c>
      <c r="C19" s="4" t="b">
        <v>1</v>
      </c>
      <c r="D19" s="4" t="b">
        <v>1</v>
      </c>
      <c r="E19" s="4" t="b">
        <v>1</v>
      </c>
      <c r="F19" s="4" t="s">
        <v>12</v>
      </c>
      <c r="G19" s="4" t="b">
        <v>1</v>
      </c>
      <c r="H19" s="4" t="s">
        <v>3253</v>
      </c>
      <c r="I19" s="4" t="b">
        <v>0</v>
      </c>
      <c r="J19" s="4" t="b">
        <v>1</v>
      </c>
      <c r="K19" s="4" t="b">
        <v>1</v>
      </c>
    </row>
    <row r="20" spans="1:11" ht="32" x14ac:dyDescent="0.2">
      <c r="A20" s="6" t="s">
        <v>378</v>
      </c>
      <c r="B20" s="11" t="s">
        <v>379</v>
      </c>
      <c r="C20" s="4" t="b">
        <v>1</v>
      </c>
      <c r="D20" s="4" t="b">
        <v>1</v>
      </c>
      <c r="E20" s="4" t="b">
        <v>1</v>
      </c>
      <c r="F20" s="4" t="s">
        <v>12</v>
      </c>
      <c r="G20" s="4" t="b">
        <v>1</v>
      </c>
      <c r="H20" s="4" t="s">
        <v>3267</v>
      </c>
      <c r="I20" s="4" t="b">
        <v>1</v>
      </c>
      <c r="J20" s="4" t="b">
        <v>0</v>
      </c>
      <c r="K20" s="4" t="b">
        <v>0</v>
      </c>
    </row>
    <row r="21" spans="1:11" ht="64" x14ac:dyDescent="0.2">
      <c r="A21" s="6" t="s">
        <v>384</v>
      </c>
      <c r="B21" s="11" t="s">
        <v>385</v>
      </c>
      <c r="C21" s="4" t="b">
        <v>1</v>
      </c>
      <c r="D21" s="4" t="b">
        <v>1</v>
      </c>
      <c r="E21" s="4" t="b">
        <v>1</v>
      </c>
      <c r="F21" s="4" t="s">
        <v>12</v>
      </c>
      <c r="G21" s="4" t="b">
        <v>1</v>
      </c>
      <c r="H21" s="4" t="s">
        <v>3270</v>
      </c>
      <c r="I21" s="4" t="b">
        <v>0</v>
      </c>
      <c r="J21" s="4" t="b">
        <v>1</v>
      </c>
      <c r="K21" s="4" t="b">
        <v>0</v>
      </c>
    </row>
    <row r="22" spans="1:11" ht="80" x14ac:dyDescent="0.2">
      <c r="A22" s="6" t="s">
        <v>416</v>
      </c>
      <c r="B22" s="11" t="s">
        <v>417</v>
      </c>
      <c r="C22" s="4" t="b">
        <v>1</v>
      </c>
      <c r="D22" s="4" t="b">
        <v>1</v>
      </c>
      <c r="E22" s="4" t="b">
        <v>1</v>
      </c>
      <c r="F22" s="4" t="s">
        <v>12</v>
      </c>
      <c r="G22" s="4" t="b">
        <v>1</v>
      </c>
      <c r="H22" s="4" t="s">
        <v>2863</v>
      </c>
      <c r="I22" s="4" t="b">
        <v>0</v>
      </c>
      <c r="J22" s="4" t="b">
        <v>1</v>
      </c>
      <c r="K22" s="4" t="b">
        <v>0</v>
      </c>
    </row>
    <row r="23" spans="1:11" ht="144" x14ac:dyDescent="0.2">
      <c r="A23" s="6" t="s">
        <v>424</v>
      </c>
      <c r="B23" s="11" t="s">
        <v>425</v>
      </c>
      <c r="C23" s="4" t="b">
        <v>1</v>
      </c>
      <c r="D23" s="4" t="b">
        <v>1</v>
      </c>
      <c r="E23" s="4" t="b">
        <v>1</v>
      </c>
      <c r="F23" s="4" t="s">
        <v>12</v>
      </c>
      <c r="G23" s="4" t="b">
        <v>1</v>
      </c>
      <c r="H23" s="4" t="s">
        <v>2864</v>
      </c>
      <c r="I23" s="4" t="b">
        <v>0</v>
      </c>
      <c r="J23" s="4" t="b">
        <v>1</v>
      </c>
      <c r="K23" s="4" t="b">
        <v>0</v>
      </c>
    </row>
    <row r="24" spans="1:11" ht="112" x14ac:dyDescent="0.2">
      <c r="A24" s="6" t="s">
        <v>430</v>
      </c>
      <c r="B24" s="11" t="s">
        <v>431</v>
      </c>
      <c r="C24" s="4" t="b">
        <v>1</v>
      </c>
      <c r="D24" s="4" t="b">
        <v>1</v>
      </c>
      <c r="E24" s="4" t="b">
        <v>1</v>
      </c>
      <c r="F24" s="4" t="s">
        <v>12</v>
      </c>
      <c r="G24" s="4" t="b">
        <v>1</v>
      </c>
      <c r="H24" s="4" t="s">
        <v>3386</v>
      </c>
      <c r="I24" s="4" t="b">
        <v>1</v>
      </c>
      <c r="J24" s="4" t="b">
        <v>0</v>
      </c>
      <c r="K24" s="4" t="b">
        <v>0</v>
      </c>
    </row>
    <row r="25" spans="1:11" ht="335" x14ac:dyDescent="0.2">
      <c r="A25" s="6" t="s">
        <v>448</v>
      </c>
      <c r="B25" s="11" t="s">
        <v>449</v>
      </c>
      <c r="C25" s="4" t="b">
        <v>1</v>
      </c>
      <c r="D25" s="4" t="b">
        <v>1</v>
      </c>
      <c r="E25" s="4" t="b">
        <v>1</v>
      </c>
      <c r="F25" s="4" t="s">
        <v>12</v>
      </c>
      <c r="G25" s="4" t="b">
        <v>1</v>
      </c>
      <c r="H25" s="4" t="s">
        <v>2883</v>
      </c>
      <c r="I25" s="4" t="b">
        <v>0</v>
      </c>
      <c r="J25" s="4" t="b">
        <v>1</v>
      </c>
      <c r="K25" s="4" t="b">
        <v>0</v>
      </c>
    </row>
    <row r="26" spans="1:11" ht="160" x14ac:dyDescent="0.2">
      <c r="A26" s="6" t="s">
        <v>450</v>
      </c>
      <c r="B26" s="11" t="s">
        <v>451</v>
      </c>
      <c r="C26" s="4" t="b">
        <v>1</v>
      </c>
      <c r="D26" s="4" t="b">
        <v>1</v>
      </c>
      <c r="E26" s="4" t="b">
        <v>1</v>
      </c>
      <c r="F26" s="4" t="s">
        <v>12</v>
      </c>
      <c r="G26" s="4" t="b">
        <v>1</v>
      </c>
      <c r="H26" s="4" t="s">
        <v>2884</v>
      </c>
      <c r="I26" s="4" t="b">
        <v>1</v>
      </c>
      <c r="J26" s="4" t="b">
        <v>0</v>
      </c>
      <c r="K26" s="4" t="b">
        <v>0</v>
      </c>
    </row>
    <row r="27" spans="1:11" ht="128" x14ac:dyDescent="0.2">
      <c r="A27" s="6" t="s">
        <v>456</v>
      </c>
      <c r="B27" s="11" t="s">
        <v>457</v>
      </c>
      <c r="C27" s="4" t="b">
        <v>1</v>
      </c>
      <c r="D27" s="4" t="b">
        <v>1</v>
      </c>
      <c r="E27" s="4" t="b">
        <v>1</v>
      </c>
      <c r="F27" s="4" t="s">
        <v>12</v>
      </c>
      <c r="G27" s="4" t="b">
        <v>1</v>
      </c>
      <c r="H27" s="4" t="s">
        <v>2885</v>
      </c>
      <c r="I27" s="4" t="b">
        <v>1</v>
      </c>
      <c r="J27" s="4" t="b">
        <v>0</v>
      </c>
      <c r="K27" s="4" t="b">
        <v>0</v>
      </c>
    </row>
    <row r="28" spans="1:11" ht="48" x14ac:dyDescent="0.2">
      <c r="A28" s="6" t="s">
        <v>521</v>
      </c>
      <c r="B28" s="11" t="s">
        <v>522</v>
      </c>
      <c r="C28" s="4" t="b">
        <v>1</v>
      </c>
      <c r="D28" s="4" t="b">
        <v>1</v>
      </c>
      <c r="E28" s="4" t="b">
        <v>1</v>
      </c>
      <c r="F28" s="4" t="s">
        <v>12</v>
      </c>
      <c r="G28" s="4" t="b">
        <v>1</v>
      </c>
      <c r="H28" s="4" t="s">
        <v>2894</v>
      </c>
      <c r="I28" s="4" t="b">
        <v>1</v>
      </c>
      <c r="J28" s="4" t="b">
        <v>0</v>
      </c>
      <c r="K28" s="4" t="b">
        <v>0</v>
      </c>
    </row>
    <row r="29" spans="1:11" ht="160" x14ac:dyDescent="0.2">
      <c r="A29" s="6" t="s">
        <v>531</v>
      </c>
      <c r="B29" s="11" t="s">
        <v>532</v>
      </c>
      <c r="C29" s="4" t="b">
        <v>1</v>
      </c>
      <c r="D29" s="4" t="b">
        <v>1</v>
      </c>
      <c r="E29" s="4" t="b">
        <v>1</v>
      </c>
      <c r="F29" s="4" t="s">
        <v>12</v>
      </c>
      <c r="G29" s="4" t="b">
        <v>1</v>
      </c>
      <c r="H29" s="4" t="s">
        <v>2897</v>
      </c>
      <c r="I29" s="4" t="b">
        <v>1</v>
      </c>
      <c r="J29" s="4" t="b">
        <v>0</v>
      </c>
      <c r="K29" s="4" t="b">
        <v>0</v>
      </c>
    </row>
    <row r="30" spans="1:11" ht="272" x14ac:dyDescent="0.2">
      <c r="A30" s="6" t="s">
        <v>533</v>
      </c>
      <c r="B30" s="11" t="s">
        <v>534</v>
      </c>
      <c r="C30" s="4" t="b">
        <v>1</v>
      </c>
      <c r="D30" s="4" t="b">
        <v>1</v>
      </c>
      <c r="E30" s="4" t="b">
        <v>1</v>
      </c>
      <c r="F30" s="4" t="s">
        <v>12</v>
      </c>
      <c r="G30" s="4" t="b">
        <v>1</v>
      </c>
      <c r="H30" s="4" t="s">
        <v>2898</v>
      </c>
      <c r="I30" s="4" t="b">
        <v>0</v>
      </c>
      <c r="J30" s="4" t="b">
        <v>1</v>
      </c>
      <c r="K30" s="4" t="b">
        <v>0</v>
      </c>
    </row>
    <row r="31" spans="1:11" ht="80" x14ac:dyDescent="0.2">
      <c r="A31" s="6" t="s">
        <v>609</v>
      </c>
      <c r="B31" s="11" t="s">
        <v>610</v>
      </c>
      <c r="C31" s="4" t="b">
        <v>1</v>
      </c>
      <c r="D31" s="4" t="b">
        <v>1</v>
      </c>
      <c r="E31" s="4" t="b">
        <v>1</v>
      </c>
      <c r="F31" s="4" t="s">
        <v>12</v>
      </c>
      <c r="G31" s="4" t="b">
        <v>1</v>
      </c>
      <c r="H31" s="4" t="s">
        <v>2942</v>
      </c>
      <c r="I31" s="4" t="b">
        <v>0</v>
      </c>
      <c r="J31" s="4" t="b">
        <v>1</v>
      </c>
      <c r="K31" s="4" t="b">
        <v>0</v>
      </c>
    </row>
    <row r="32" spans="1:11" ht="32" x14ac:dyDescent="0.2">
      <c r="A32" s="6" t="s">
        <v>636</v>
      </c>
      <c r="B32" s="11" t="s">
        <v>637</v>
      </c>
      <c r="C32" s="4" t="b">
        <v>1</v>
      </c>
      <c r="D32" s="4" t="b">
        <v>1</v>
      </c>
      <c r="E32" s="4" t="b">
        <v>1</v>
      </c>
      <c r="F32" s="4" t="s">
        <v>12</v>
      </c>
      <c r="G32" s="4" t="b">
        <v>1</v>
      </c>
      <c r="H32" s="4" t="s">
        <v>2947</v>
      </c>
      <c r="I32" s="4" t="b">
        <v>1</v>
      </c>
      <c r="J32" s="4" t="b">
        <v>0</v>
      </c>
      <c r="K32" s="4" t="b">
        <v>1</v>
      </c>
    </row>
    <row r="33" spans="1:11" ht="80" x14ac:dyDescent="0.2">
      <c r="A33" s="6" t="s">
        <v>650</v>
      </c>
      <c r="B33" s="11" t="s">
        <v>651</v>
      </c>
      <c r="C33" s="4" t="b">
        <v>1</v>
      </c>
      <c r="D33" s="4" t="b">
        <v>1</v>
      </c>
      <c r="E33" s="4" t="b">
        <v>1</v>
      </c>
      <c r="F33" s="4" t="s">
        <v>12</v>
      </c>
      <c r="G33" s="4" t="b">
        <v>1</v>
      </c>
      <c r="H33" s="4" t="s">
        <v>2949</v>
      </c>
      <c r="I33" s="4" t="b">
        <v>1</v>
      </c>
      <c r="J33" s="4" t="b">
        <v>0</v>
      </c>
      <c r="K33" s="4" t="b">
        <v>0</v>
      </c>
    </row>
    <row r="34" spans="1:11" ht="176" x14ac:dyDescent="0.2">
      <c r="A34" s="6" t="s">
        <v>702</v>
      </c>
      <c r="B34" s="11" t="s">
        <v>703</v>
      </c>
      <c r="C34" s="4" t="b">
        <v>1</v>
      </c>
      <c r="D34" s="4" t="b">
        <v>1</v>
      </c>
      <c r="E34" s="4" t="b">
        <v>1</v>
      </c>
      <c r="F34" s="4" t="s">
        <v>12</v>
      </c>
      <c r="G34" s="4" t="b">
        <v>1</v>
      </c>
      <c r="H34" s="4" t="s">
        <v>3134</v>
      </c>
      <c r="I34" s="4" t="b">
        <v>1</v>
      </c>
      <c r="J34" s="4" t="b">
        <v>0</v>
      </c>
      <c r="K34" s="4" t="b">
        <v>0</v>
      </c>
    </row>
    <row r="35" spans="1:11" ht="144" x14ac:dyDescent="0.2">
      <c r="A35" s="6" t="s">
        <v>720</v>
      </c>
      <c r="B35" s="11" t="s">
        <v>721</v>
      </c>
      <c r="C35" s="4" t="b">
        <v>1</v>
      </c>
      <c r="D35" s="4" t="b">
        <v>1</v>
      </c>
      <c r="E35" s="4" t="b">
        <v>1</v>
      </c>
      <c r="F35" s="4" t="s">
        <v>12</v>
      </c>
      <c r="G35" s="4" t="b">
        <v>1</v>
      </c>
      <c r="H35" s="4" t="s">
        <v>3387</v>
      </c>
      <c r="I35" s="4" t="b">
        <v>1</v>
      </c>
      <c r="J35" s="4" t="b">
        <v>0</v>
      </c>
      <c r="K35" s="4" t="b">
        <v>0</v>
      </c>
    </row>
    <row r="36" spans="1:11" ht="350" x14ac:dyDescent="0.2">
      <c r="A36" s="6" t="s">
        <v>736</v>
      </c>
      <c r="B36" s="11" t="s">
        <v>737</v>
      </c>
      <c r="C36" s="4" t="b">
        <v>1</v>
      </c>
      <c r="D36" s="4" t="b">
        <v>1</v>
      </c>
      <c r="E36" s="4" t="b">
        <v>1</v>
      </c>
      <c r="F36" s="4" t="s">
        <v>12</v>
      </c>
      <c r="G36" s="4" t="b">
        <v>1</v>
      </c>
      <c r="H36" s="4" t="s">
        <v>3388</v>
      </c>
      <c r="I36" s="4" t="b">
        <v>0</v>
      </c>
      <c r="J36" s="4" t="b">
        <v>1</v>
      </c>
      <c r="K36" s="4" t="b">
        <v>1</v>
      </c>
    </row>
    <row r="37" spans="1:11" ht="48" x14ac:dyDescent="0.2">
      <c r="A37" s="6" t="s">
        <v>758</v>
      </c>
      <c r="B37" s="11" t="s">
        <v>759</v>
      </c>
      <c r="C37" s="4" t="b">
        <v>1</v>
      </c>
      <c r="D37" s="4" t="b">
        <v>1</v>
      </c>
      <c r="E37" s="4" t="b">
        <v>1</v>
      </c>
      <c r="F37" s="4" t="s">
        <v>12</v>
      </c>
      <c r="G37" s="4" t="b">
        <v>1</v>
      </c>
      <c r="H37" s="4" t="s">
        <v>3124</v>
      </c>
      <c r="I37" s="4" t="b">
        <v>0</v>
      </c>
      <c r="J37" s="4" t="b">
        <v>1</v>
      </c>
      <c r="K37" s="4" t="b">
        <v>1</v>
      </c>
    </row>
    <row r="38" spans="1:11" ht="32" x14ac:dyDescent="0.2">
      <c r="A38" s="6" t="s">
        <v>778</v>
      </c>
      <c r="B38" s="11" t="s">
        <v>779</v>
      </c>
      <c r="C38" s="4" t="b">
        <v>1</v>
      </c>
      <c r="D38" s="4" t="b">
        <v>1</v>
      </c>
      <c r="E38" s="4" t="b">
        <v>1</v>
      </c>
      <c r="F38" s="4" t="s">
        <v>12</v>
      </c>
      <c r="G38" s="4" t="b">
        <v>1</v>
      </c>
      <c r="H38" s="4" t="s">
        <v>780</v>
      </c>
      <c r="I38" s="4" t="b">
        <v>0</v>
      </c>
      <c r="J38" s="4" t="b">
        <v>0</v>
      </c>
      <c r="K38" s="4" t="b">
        <v>1</v>
      </c>
    </row>
    <row r="39" spans="1:11" ht="96" x14ac:dyDescent="0.2">
      <c r="A39" s="6" t="s">
        <v>795</v>
      </c>
      <c r="B39" s="11" t="s">
        <v>796</v>
      </c>
      <c r="C39" s="4" t="b">
        <v>1</v>
      </c>
      <c r="D39" s="4" t="b">
        <v>1</v>
      </c>
      <c r="E39" s="4" t="b">
        <v>1</v>
      </c>
      <c r="F39" s="4" t="s">
        <v>12</v>
      </c>
      <c r="G39" s="4" t="b">
        <v>1</v>
      </c>
      <c r="H39" s="4" t="s">
        <v>3178</v>
      </c>
      <c r="I39" s="4" t="b">
        <v>0</v>
      </c>
      <c r="J39" s="4" t="b">
        <v>1</v>
      </c>
      <c r="K39" s="4" t="b">
        <v>0</v>
      </c>
    </row>
    <row r="40" spans="1:11" ht="80" x14ac:dyDescent="0.2">
      <c r="A40" s="6" t="s">
        <v>801</v>
      </c>
      <c r="B40" s="11" t="s">
        <v>802</v>
      </c>
      <c r="C40" s="4" t="b">
        <v>1</v>
      </c>
      <c r="D40" s="4" t="b">
        <v>1</v>
      </c>
      <c r="E40" s="4" t="b">
        <v>1</v>
      </c>
      <c r="F40" s="4" t="s">
        <v>12</v>
      </c>
      <c r="G40" s="4" t="b">
        <v>1</v>
      </c>
      <c r="H40" s="4" t="s">
        <v>3177</v>
      </c>
      <c r="I40" s="4" t="b">
        <v>1</v>
      </c>
      <c r="J40" s="4" t="b">
        <v>0</v>
      </c>
      <c r="K40" s="4" t="b">
        <v>0</v>
      </c>
    </row>
    <row r="41" spans="1:11" ht="160" x14ac:dyDescent="0.2">
      <c r="A41" s="6" t="s">
        <v>821</v>
      </c>
      <c r="B41" s="11" t="s">
        <v>822</v>
      </c>
      <c r="C41" s="4" t="b">
        <v>1</v>
      </c>
      <c r="D41" s="4" t="b">
        <v>1</v>
      </c>
      <c r="E41" s="4" t="b">
        <v>1</v>
      </c>
      <c r="F41" s="4" t="s">
        <v>12</v>
      </c>
      <c r="G41" s="4" t="b">
        <v>1</v>
      </c>
      <c r="H41" s="4" t="s">
        <v>3174</v>
      </c>
      <c r="I41" s="4" t="b">
        <v>1</v>
      </c>
      <c r="J41" s="4" t="b">
        <v>0</v>
      </c>
      <c r="K41" s="4" t="b">
        <v>0</v>
      </c>
    </row>
    <row r="42" spans="1:11" ht="112" x14ac:dyDescent="0.2">
      <c r="A42" s="6" t="s">
        <v>825</v>
      </c>
      <c r="B42" s="11" t="s">
        <v>826</v>
      </c>
      <c r="C42" s="4" t="b">
        <v>1</v>
      </c>
      <c r="D42" s="4" t="b">
        <v>1</v>
      </c>
      <c r="E42" s="4" t="b">
        <v>1</v>
      </c>
      <c r="F42" s="4" t="s">
        <v>12</v>
      </c>
      <c r="G42" s="4" t="b">
        <v>1</v>
      </c>
      <c r="H42" s="4" t="s">
        <v>3173</v>
      </c>
      <c r="I42" s="4" t="b">
        <v>0</v>
      </c>
      <c r="J42" s="4" t="b">
        <v>1</v>
      </c>
      <c r="K42" s="4" t="b">
        <v>0</v>
      </c>
    </row>
    <row r="43" spans="1:11" ht="208" x14ac:dyDescent="0.2">
      <c r="A43" s="6" t="s">
        <v>855</v>
      </c>
      <c r="B43" s="11" t="s">
        <v>856</v>
      </c>
      <c r="C43" s="4" t="b">
        <v>1</v>
      </c>
      <c r="D43" s="4" t="b">
        <v>1</v>
      </c>
      <c r="E43" s="4" t="b">
        <v>1</v>
      </c>
      <c r="F43" s="4" t="s">
        <v>12</v>
      </c>
      <c r="G43" s="4" t="b">
        <v>1</v>
      </c>
      <c r="H43" s="4" t="s">
        <v>3171</v>
      </c>
      <c r="I43" s="4" t="b">
        <v>0</v>
      </c>
      <c r="J43" s="4" t="b">
        <v>1</v>
      </c>
      <c r="K43" s="4" t="b">
        <v>0</v>
      </c>
    </row>
    <row r="44" spans="1:11" ht="80" x14ac:dyDescent="0.2">
      <c r="A44" s="6" t="s">
        <v>859</v>
      </c>
      <c r="B44" s="11" t="s">
        <v>860</v>
      </c>
      <c r="C44" s="4" t="b">
        <v>1</v>
      </c>
      <c r="D44" s="4" t="b">
        <v>1</v>
      </c>
      <c r="E44" s="4" t="b">
        <v>1</v>
      </c>
      <c r="F44" s="4" t="s">
        <v>12</v>
      </c>
      <c r="G44" s="4" t="b">
        <v>1</v>
      </c>
      <c r="H44" s="4" t="s">
        <v>3170</v>
      </c>
      <c r="I44" s="4" t="b">
        <v>1</v>
      </c>
      <c r="J44" s="4" t="b">
        <v>1</v>
      </c>
      <c r="K44" s="4" t="b">
        <v>0</v>
      </c>
    </row>
    <row r="45" spans="1:11" ht="176" x14ac:dyDescent="0.2">
      <c r="A45" s="6" t="s">
        <v>919</v>
      </c>
      <c r="B45" s="11" t="s">
        <v>920</v>
      </c>
      <c r="C45" s="4" t="b">
        <v>1</v>
      </c>
      <c r="D45" s="4" t="b">
        <v>1</v>
      </c>
      <c r="E45" s="4" t="b">
        <v>1</v>
      </c>
      <c r="F45" s="4" t="s">
        <v>12</v>
      </c>
      <c r="G45" s="4" t="b">
        <v>1</v>
      </c>
      <c r="H45" s="4" t="s">
        <v>3167</v>
      </c>
      <c r="I45" s="4" t="b">
        <v>0</v>
      </c>
      <c r="J45" s="4" t="b">
        <v>1</v>
      </c>
      <c r="K45" s="4" t="b">
        <v>0</v>
      </c>
    </row>
    <row r="46" spans="1:11" ht="240" x14ac:dyDescent="0.2">
      <c r="A46" s="6" t="s">
        <v>967</v>
      </c>
      <c r="B46" s="11" t="s">
        <v>968</v>
      </c>
      <c r="C46" s="4" t="b">
        <v>1</v>
      </c>
      <c r="D46" s="4" t="b">
        <v>1</v>
      </c>
      <c r="E46" s="4" t="b">
        <v>1</v>
      </c>
      <c r="F46" s="4" t="s">
        <v>12</v>
      </c>
      <c r="G46" s="4" t="b">
        <v>1</v>
      </c>
      <c r="H46" s="4" t="s">
        <v>3376</v>
      </c>
      <c r="I46" s="4" t="b">
        <v>1</v>
      </c>
      <c r="J46" s="4" t="b">
        <v>1</v>
      </c>
      <c r="K46" s="4" t="b">
        <v>0</v>
      </c>
    </row>
    <row r="47" spans="1:11" ht="176" x14ac:dyDescent="0.2">
      <c r="A47" s="6" t="s">
        <v>1003</v>
      </c>
      <c r="B47" s="11" t="s">
        <v>1004</v>
      </c>
      <c r="C47" s="4" t="b">
        <v>1</v>
      </c>
      <c r="D47" s="4" t="b">
        <v>1</v>
      </c>
      <c r="E47" s="4" t="b">
        <v>1</v>
      </c>
      <c r="F47" s="4" t="s">
        <v>12</v>
      </c>
      <c r="G47" s="4" t="b">
        <v>1</v>
      </c>
      <c r="H47" s="4" t="s">
        <v>3368</v>
      </c>
      <c r="I47" s="4" t="b">
        <v>1</v>
      </c>
      <c r="J47" s="4" t="b">
        <v>1</v>
      </c>
      <c r="K47" s="4" t="b">
        <v>0</v>
      </c>
    </row>
    <row r="48" spans="1:11" ht="240" x14ac:dyDescent="0.2">
      <c r="A48" s="6" t="s">
        <v>1017</v>
      </c>
      <c r="B48" s="11" t="s">
        <v>1018</v>
      </c>
      <c r="C48" s="4" t="b">
        <v>1</v>
      </c>
      <c r="D48" s="4" t="b">
        <v>1</v>
      </c>
      <c r="E48" s="4" t="b">
        <v>1</v>
      </c>
      <c r="F48" s="4" t="s">
        <v>12</v>
      </c>
      <c r="G48" s="4" t="b">
        <v>1</v>
      </c>
      <c r="H48" s="4" t="s">
        <v>3365</v>
      </c>
      <c r="I48" s="4" t="b">
        <v>1</v>
      </c>
      <c r="J48" s="4" t="b">
        <v>1</v>
      </c>
      <c r="K48" s="4" t="b">
        <v>0</v>
      </c>
    </row>
    <row r="49" spans="1:11" ht="128" x14ac:dyDescent="0.2">
      <c r="A49" s="6" t="s">
        <v>1057</v>
      </c>
      <c r="B49" s="11" t="s">
        <v>1058</v>
      </c>
      <c r="C49" s="4" t="b">
        <v>1</v>
      </c>
      <c r="D49" s="4" t="b">
        <v>1</v>
      </c>
      <c r="E49" s="4" t="b">
        <v>1</v>
      </c>
      <c r="F49" s="4" t="s">
        <v>12</v>
      </c>
      <c r="G49" s="4" t="b">
        <v>1</v>
      </c>
      <c r="H49" s="4" t="s">
        <v>3361</v>
      </c>
      <c r="I49" s="4" t="b">
        <v>1</v>
      </c>
      <c r="J49" s="4" t="b">
        <v>0</v>
      </c>
      <c r="K49" s="4" t="b">
        <v>0</v>
      </c>
    </row>
    <row r="50" spans="1:11" ht="96" x14ac:dyDescent="0.2">
      <c r="A50" s="6" t="s">
        <v>1087</v>
      </c>
      <c r="B50" s="11" t="s">
        <v>1088</v>
      </c>
      <c r="C50" s="4" t="b">
        <v>1</v>
      </c>
      <c r="D50" s="4" t="b">
        <v>1</v>
      </c>
      <c r="E50" s="4" t="b">
        <v>1</v>
      </c>
      <c r="F50" s="4" t="s">
        <v>12</v>
      </c>
      <c r="G50" s="4" t="b">
        <v>1</v>
      </c>
      <c r="H50" s="4" t="s">
        <v>3356</v>
      </c>
      <c r="I50" s="4" t="b">
        <v>1</v>
      </c>
      <c r="J50" s="4" t="b">
        <v>0</v>
      </c>
      <c r="K50" s="4" t="b">
        <v>1</v>
      </c>
    </row>
    <row r="51" spans="1:11" ht="144" x14ac:dyDescent="0.2">
      <c r="A51" s="6" t="s">
        <v>1091</v>
      </c>
      <c r="B51" s="11" t="s">
        <v>1092</v>
      </c>
      <c r="C51" s="4" t="b">
        <v>1</v>
      </c>
      <c r="D51" s="4" t="b">
        <v>1</v>
      </c>
      <c r="E51" s="4" t="b">
        <v>1</v>
      </c>
      <c r="F51" s="4" t="s">
        <v>12</v>
      </c>
      <c r="G51" s="4" t="b">
        <v>1</v>
      </c>
      <c r="H51" s="4" t="s">
        <v>3355</v>
      </c>
      <c r="I51" s="4" t="b">
        <v>0</v>
      </c>
      <c r="J51" s="4" t="b">
        <v>1</v>
      </c>
      <c r="K51" s="4" t="b">
        <v>1</v>
      </c>
    </row>
    <row r="52" spans="1:11" ht="96" x14ac:dyDescent="0.2">
      <c r="A52" s="6" t="s">
        <v>1119</v>
      </c>
      <c r="B52" s="11" t="s">
        <v>1120</v>
      </c>
      <c r="C52" s="4" t="b">
        <v>1</v>
      </c>
      <c r="D52" s="4" t="b">
        <v>1</v>
      </c>
      <c r="E52" s="4" t="b">
        <v>1</v>
      </c>
      <c r="F52" s="4" t="s">
        <v>12</v>
      </c>
      <c r="G52" s="4" t="b">
        <v>1</v>
      </c>
      <c r="H52" s="4" t="s">
        <v>3351</v>
      </c>
      <c r="I52" s="4" t="b">
        <v>0</v>
      </c>
      <c r="J52" s="4" t="b">
        <v>1</v>
      </c>
      <c r="K52" s="4" t="b">
        <v>1</v>
      </c>
    </row>
    <row r="53" spans="1:11" ht="128" x14ac:dyDescent="0.2">
      <c r="A53" s="6" t="s">
        <v>1141</v>
      </c>
      <c r="B53" s="11" t="s">
        <v>1142</v>
      </c>
      <c r="C53" s="4" t="b">
        <v>1</v>
      </c>
      <c r="D53" s="4" t="b">
        <v>1</v>
      </c>
      <c r="E53" s="4" t="b">
        <v>1</v>
      </c>
      <c r="F53" s="4" t="s">
        <v>12</v>
      </c>
      <c r="G53" s="4" t="b">
        <v>1</v>
      </c>
      <c r="H53" s="4" t="s">
        <v>3346</v>
      </c>
      <c r="I53" s="4" t="b">
        <v>0</v>
      </c>
      <c r="J53" s="4" t="b">
        <v>1</v>
      </c>
      <c r="K53" s="4" t="b">
        <v>0</v>
      </c>
    </row>
    <row r="54" spans="1:11" ht="192" x14ac:dyDescent="0.2">
      <c r="A54" s="6" t="s">
        <v>1169</v>
      </c>
      <c r="B54" s="11" t="s">
        <v>1170</v>
      </c>
      <c r="C54" s="4" t="b">
        <v>1</v>
      </c>
      <c r="D54" s="4" t="b">
        <v>1</v>
      </c>
      <c r="E54" s="4" t="b">
        <v>1</v>
      </c>
      <c r="F54" s="4" t="s">
        <v>12</v>
      </c>
      <c r="G54" s="4" t="b">
        <v>1</v>
      </c>
      <c r="H54" s="4" t="s">
        <v>3342</v>
      </c>
      <c r="I54" s="4" t="b">
        <v>0</v>
      </c>
      <c r="J54" s="4" t="b">
        <v>1</v>
      </c>
      <c r="K54" s="4" t="b">
        <v>1</v>
      </c>
    </row>
    <row r="55" spans="1:11" ht="112" x14ac:dyDescent="0.2">
      <c r="A55" s="6" t="s">
        <v>1187</v>
      </c>
      <c r="B55" s="11" t="s">
        <v>1188</v>
      </c>
      <c r="C55" s="4" t="b">
        <v>1</v>
      </c>
      <c r="D55" s="4" t="b">
        <v>1</v>
      </c>
      <c r="E55" s="4" t="b">
        <v>1</v>
      </c>
      <c r="F55" s="4" t="s">
        <v>12</v>
      </c>
      <c r="G55" s="4" t="b">
        <v>1</v>
      </c>
      <c r="H55" s="4" t="s">
        <v>3160</v>
      </c>
      <c r="I55" s="4" t="b">
        <v>0</v>
      </c>
      <c r="J55" s="4" t="b">
        <v>1</v>
      </c>
      <c r="K55" s="4" t="b">
        <v>0</v>
      </c>
    </row>
    <row r="56" spans="1:11" ht="144" x14ac:dyDescent="0.2">
      <c r="A56" s="6" t="s">
        <v>1227</v>
      </c>
      <c r="B56" s="11" t="s">
        <v>1228</v>
      </c>
      <c r="C56" s="4" t="b">
        <v>1</v>
      </c>
      <c r="D56" s="4" t="b">
        <v>1</v>
      </c>
      <c r="E56" s="4" t="b">
        <v>1</v>
      </c>
      <c r="F56" s="4" t="s">
        <v>12</v>
      </c>
      <c r="G56" s="4" t="b">
        <v>1</v>
      </c>
      <c r="H56" s="4" t="s">
        <v>3153</v>
      </c>
      <c r="I56" s="4" t="b">
        <v>0</v>
      </c>
      <c r="J56" s="4" t="b">
        <v>1</v>
      </c>
      <c r="K56" s="4" t="b">
        <v>0</v>
      </c>
    </row>
    <row r="57" spans="1:11" ht="176" x14ac:dyDescent="0.2">
      <c r="A57" s="6" t="s">
        <v>1281</v>
      </c>
      <c r="B57" s="11" t="s">
        <v>1282</v>
      </c>
      <c r="C57" s="4" t="b">
        <v>1</v>
      </c>
      <c r="D57" s="4" t="b">
        <v>1</v>
      </c>
      <c r="E57" s="4" t="b">
        <v>1</v>
      </c>
      <c r="F57" s="4" t="s">
        <v>12</v>
      </c>
      <c r="G57" s="4" t="b">
        <v>1</v>
      </c>
      <c r="H57" s="4" t="s">
        <v>3158</v>
      </c>
      <c r="I57" s="4" t="b">
        <v>0</v>
      </c>
      <c r="J57" s="4" t="b">
        <v>1</v>
      </c>
      <c r="K57" s="4" t="b">
        <v>0</v>
      </c>
    </row>
    <row r="58" spans="1:11" ht="48" x14ac:dyDescent="0.2">
      <c r="A58" s="6" t="s">
        <v>1283</v>
      </c>
      <c r="B58" s="11" t="s">
        <v>1284</v>
      </c>
      <c r="C58" s="4" t="b">
        <v>1</v>
      </c>
      <c r="D58" s="4" t="b">
        <v>1</v>
      </c>
      <c r="E58" s="4" t="b">
        <v>1</v>
      </c>
      <c r="F58" s="4" t="s">
        <v>12</v>
      </c>
      <c r="G58" s="4" t="b">
        <v>1</v>
      </c>
      <c r="H58" s="4" t="s">
        <v>3147</v>
      </c>
      <c r="I58" s="4" t="b">
        <v>1</v>
      </c>
      <c r="J58" s="4" t="b">
        <v>0</v>
      </c>
      <c r="K58" s="4" t="b">
        <v>0</v>
      </c>
    </row>
    <row r="59" spans="1:11" ht="128" x14ac:dyDescent="0.2">
      <c r="A59" s="6" t="s">
        <v>1312</v>
      </c>
      <c r="B59" s="11" t="s">
        <v>1313</v>
      </c>
      <c r="C59" s="4" t="b">
        <v>1</v>
      </c>
      <c r="D59" s="4" t="b">
        <v>1</v>
      </c>
      <c r="E59" s="4" t="b">
        <v>1</v>
      </c>
      <c r="F59" s="4" t="s">
        <v>12</v>
      </c>
      <c r="G59" s="4" t="b">
        <v>1</v>
      </c>
      <c r="H59" s="4" t="s">
        <v>3096</v>
      </c>
      <c r="I59" s="4" t="b">
        <v>0</v>
      </c>
      <c r="J59" s="4" t="b">
        <v>1</v>
      </c>
      <c r="K59" s="4" t="b">
        <v>0</v>
      </c>
    </row>
    <row r="60" spans="1:11" ht="80" x14ac:dyDescent="0.2">
      <c r="A60" s="6" t="s">
        <v>1322</v>
      </c>
      <c r="B60" s="11" t="s">
        <v>1323</v>
      </c>
      <c r="C60" s="4" t="b">
        <v>1</v>
      </c>
      <c r="D60" s="4" t="b">
        <v>1</v>
      </c>
      <c r="E60" s="4" t="b">
        <v>1</v>
      </c>
      <c r="F60" s="4" t="s">
        <v>12</v>
      </c>
      <c r="G60" s="4" t="b">
        <v>1</v>
      </c>
      <c r="H60" s="4" t="s">
        <v>3092</v>
      </c>
      <c r="I60" s="4" t="b">
        <v>0</v>
      </c>
      <c r="J60" s="4" t="b">
        <v>1</v>
      </c>
      <c r="K60" s="4" t="b">
        <v>0</v>
      </c>
    </row>
    <row r="61" spans="1:11" ht="96" x14ac:dyDescent="0.2">
      <c r="A61" s="6" t="s">
        <v>1347</v>
      </c>
      <c r="B61" s="11" t="s">
        <v>1348</v>
      </c>
      <c r="C61" s="4" t="b">
        <v>1</v>
      </c>
      <c r="D61" s="4" t="b">
        <v>1</v>
      </c>
      <c r="E61" s="4" t="b">
        <v>1</v>
      </c>
      <c r="F61" s="4" t="s">
        <v>12</v>
      </c>
      <c r="G61" s="4" t="b">
        <v>1</v>
      </c>
      <c r="H61" s="4" t="s">
        <v>3089</v>
      </c>
      <c r="I61" s="4" t="b">
        <v>0</v>
      </c>
      <c r="J61" s="4" t="b">
        <v>1</v>
      </c>
      <c r="K61" s="4" t="b">
        <v>1</v>
      </c>
    </row>
    <row r="62" spans="1:11" ht="64" x14ac:dyDescent="0.2">
      <c r="A62" s="6" t="s">
        <v>1361</v>
      </c>
      <c r="B62" s="11" t="s">
        <v>1362</v>
      </c>
      <c r="C62" s="4" t="b">
        <v>1</v>
      </c>
      <c r="D62" s="4" t="b">
        <v>1</v>
      </c>
      <c r="E62" s="4" t="b">
        <v>1</v>
      </c>
      <c r="F62" s="4" t="s">
        <v>12</v>
      </c>
      <c r="G62" s="4" t="b">
        <v>1</v>
      </c>
      <c r="H62" s="4" t="s">
        <v>3389</v>
      </c>
      <c r="I62" s="4" t="b">
        <v>0</v>
      </c>
      <c r="J62" s="4" t="b">
        <v>1</v>
      </c>
      <c r="K62" s="4" t="b">
        <v>0</v>
      </c>
    </row>
    <row r="63" spans="1:11" ht="160" x14ac:dyDescent="0.2">
      <c r="A63" s="6" t="s">
        <v>1363</v>
      </c>
      <c r="B63" s="11" t="s">
        <v>1364</v>
      </c>
      <c r="C63" s="4" t="b">
        <v>1</v>
      </c>
      <c r="D63" s="4" t="b">
        <v>1</v>
      </c>
      <c r="E63" s="4" t="b">
        <v>1</v>
      </c>
      <c r="F63" s="4" t="s">
        <v>12</v>
      </c>
      <c r="G63" s="4" t="b">
        <v>1</v>
      </c>
      <c r="H63" s="4" t="s">
        <v>3204</v>
      </c>
      <c r="I63" s="4" t="b">
        <v>0</v>
      </c>
      <c r="J63" s="4" t="b">
        <v>1</v>
      </c>
      <c r="K63" s="4" t="b">
        <v>0</v>
      </c>
    </row>
    <row r="64" spans="1:11" ht="64" x14ac:dyDescent="0.2">
      <c r="A64" s="6" t="s">
        <v>1367</v>
      </c>
      <c r="B64" s="11" t="s">
        <v>1368</v>
      </c>
      <c r="C64" s="4" t="b">
        <v>1</v>
      </c>
      <c r="D64" s="4" t="b">
        <v>1</v>
      </c>
      <c r="E64" s="4" t="b">
        <v>1</v>
      </c>
      <c r="F64" s="4" t="s">
        <v>12</v>
      </c>
      <c r="G64" s="4" t="b">
        <v>1</v>
      </c>
      <c r="H64" s="4" t="s">
        <v>3085</v>
      </c>
      <c r="I64" s="4" t="b">
        <v>0</v>
      </c>
      <c r="J64" s="4" t="b">
        <v>1</v>
      </c>
      <c r="K64" s="4" t="b">
        <v>0</v>
      </c>
    </row>
    <row r="65" spans="1:11" ht="224" x14ac:dyDescent="0.2">
      <c r="A65" s="6" t="s">
        <v>1462</v>
      </c>
      <c r="B65" s="11" t="s">
        <v>1463</v>
      </c>
      <c r="C65" s="4" t="b">
        <v>1</v>
      </c>
      <c r="D65" s="4" t="b">
        <v>1</v>
      </c>
      <c r="E65" s="4" t="b">
        <v>1</v>
      </c>
      <c r="F65" s="4" t="s">
        <v>12</v>
      </c>
      <c r="G65" s="4" t="b">
        <v>1</v>
      </c>
      <c r="H65" s="4" t="s">
        <v>3340</v>
      </c>
      <c r="I65" s="4" t="b">
        <v>1</v>
      </c>
      <c r="J65" s="4" t="b">
        <v>1</v>
      </c>
      <c r="K65" s="4" t="b">
        <v>0</v>
      </c>
    </row>
    <row r="66" spans="1:11" ht="48" x14ac:dyDescent="0.2">
      <c r="A66" s="6" t="s">
        <v>1563</v>
      </c>
      <c r="B66" s="11" t="s">
        <v>1564</v>
      </c>
      <c r="C66" s="4" t="b">
        <v>1</v>
      </c>
      <c r="D66" s="4" t="b">
        <v>1</v>
      </c>
      <c r="E66" s="4" t="b">
        <v>1</v>
      </c>
      <c r="F66" s="4" t="s">
        <v>12</v>
      </c>
      <c r="G66" s="4" t="b">
        <v>1</v>
      </c>
      <c r="H66" s="4" t="s">
        <v>3321</v>
      </c>
      <c r="I66" s="4" t="b">
        <v>1</v>
      </c>
      <c r="J66" s="4" t="b">
        <v>0</v>
      </c>
      <c r="K66" s="4" t="b">
        <v>0</v>
      </c>
    </row>
    <row r="67" spans="1:11" ht="80" x14ac:dyDescent="0.2">
      <c r="A67" s="6" t="s">
        <v>1569</v>
      </c>
      <c r="B67" s="11" t="s">
        <v>1570</v>
      </c>
      <c r="C67" s="4" t="b">
        <v>1</v>
      </c>
      <c r="D67" s="4" t="b">
        <v>1</v>
      </c>
      <c r="E67" s="4" t="b">
        <v>1</v>
      </c>
      <c r="F67" s="4" t="s">
        <v>12</v>
      </c>
      <c r="G67" s="4" t="b">
        <v>1</v>
      </c>
      <c r="H67" s="4" t="s">
        <v>3320</v>
      </c>
      <c r="I67" s="4" t="b">
        <v>0</v>
      </c>
      <c r="J67" s="4" t="b">
        <v>1</v>
      </c>
      <c r="K67" s="4" t="b">
        <v>0</v>
      </c>
    </row>
    <row r="68" spans="1:11" ht="48" x14ac:dyDescent="0.2">
      <c r="A68" s="6" t="s">
        <v>1623</v>
      </c>
      <c r="B68" s="11" t="s">
        <v>1624</v>
      </c>
      <c r="C68" s="4" t="b">
        <v>1</v>
      </c>
      <c r="D68" s="4" t="b">
        <v>1</v>
      </c>
      <c r="E68" s="4" t="b">
        <v>1</v>
      </c>
      <c r="F68" s="4" t="s">
        <v>12</v>
      </c>
      <c r="G68" s="4" t="b">
        <v>1</v>
      </c>
      <c r="H68" s="4" t="s">
        <v>3310</v>
      </c>
      <c r="I68" s="4" t="b">
        <v>1</v>
      </c>
      <c r="J68" s="4" t="b">
        <v>1</v>
      </c>
      <c r="K68" s="4" t="b">
        <v>0</v>
      </c>
    </row>
    <row r="69" spans="1:11" ht="80" x14ac:dyDescent="0.2">
      <c r="A69" s="6" t="s">
        <v>1635</v>
      </c>
      <c r="B69" s="11" t="s">
        <v>1636</v>
      </c>
      <c r="C69" s="4" t="b">
        <v>1</v>
      </c>
      <c r="D69" s="4" t="b">
        <v>1</v>
      </c>
      <c r="E69" s="4" t="b">
        <v>1</v>
      </c>
      <c r="F69" s="4" t="s">
        <v>12</v>
      </c>
      <c r="G69" s="4" t="b">
        <v>1</v>
      </c>
      <c r="H69" s="4" t="s">
        <v>3308</v>
      </c>
      <c r="I69" s="4" t="b">
        <v>0</v>
      </c>
      <c r="J69" s="4" t="b">
        <v>1</v>
      </c>
      <c r="K69" s="4" t="b">
        <v>0</v>
      </c>
    </row>
    <row r="70" spans="1:11" ht="128" x14ac:dyDescent="0.2">
      <c r="A70" s="6" t="s">
        <v>1643</v>
      </c>
      <c r="B70" s="11" t="s">
        <v>1644</v>
      </c>
      <c r="C70" s="4" t="b">
        <v>1</v>
      </c>
      <c r="D70" s="4" t="b">
        <v>1</v>
      </c>
      <c r="E70" s="4" t="b">
        <v>1</v>
      </c>
      <c r="F70" s="4" t="s">
        <v>12</v>
      </c>
      <c r="G70" s="4" t="b">
        <v>1</v>
      </c>
      <c r="H70" s="4" t="s">
        <v>3306</v>
      </c>
      <c r="I70" s="4" t="b">
        <v>0</v>
      </c>
      <c r="J70" s="4" t="b">
        <v>1</v>
      </c>
      <c r="K70" s="4" t="b">
        <v>0</v>
      </c>
    </row>
    <row r="71" spans="1:11" ht="64" x14ac:dyDescent="0.2">
      <c r="A71" s="6" t="s">
        <v>1675</v>
      </c>
      <c r="B71" s="11" t="s">
        <v>1676</v>
      </c>
      <c r="C71" s="4" t="b">
        <v>1</v>
      </c>
      <c r="D71" s="4" t="b">
        <v>1</v>
      </c>
      <c r="E71" s="4" t="b">
        <v>1</v>
      </c>
      <c r="F71" s="4" t="s">
        <v>12</v>
      </c>
      <c r="G71" s="4" t="b">
        <v>1</v>
      </c>
      <c r="H71" s="4" t="s">
        <v>3118</v>
      </c>
      <c r="I71" s="4" t="b">
        <v>0</v>
      </c>
      <c r="J71" s="4" t="b">
        <v>1</v>
      </c>
      <c r="K71" s="4" t="b">
        <v>1</v>
      </c>
    </row>
    <row r="72" spans="1:11" ht="80" x14ac:dyDescent="0.2">
      <c r="A72" s="6" t="s">
        <v>1679</v>
      </c>
      <c r="B72" s="11" t="s">
        <v>1680</v>
      </c>
      <c r="C72" s="4" t="b">
        <v>1</v>
      </c>
      <c r="D72" s="4" t="b">
        <v>1</v>
      </c>
      <c r="E72" s="4" t="b">
        <v>1</v>
      </c>
      <c r="F72" s="4" t="s">
        <v>12</v>
      </c>
      <c r="G72" s="4" t="b">
        <v>1</v>
      </c>
      <c r="H72" s="4" t="s">
        <v>3117</v>
      </c>
      <c r="I72" s="4" t="b">
        <v>1</v>
      </c>
      <c r="J72" s="4" t="b">
        <v>0</v>
      </c>
      <c r="K72" s="4" t="b">
        <v>1</v>
      </c>
    </row>
    <row r="73" spans="1:11" ht="80" x14ac:dyDescent="0.2">
      <c r="A73" s="6" t="s">
        <v>1733</v>
      </c>
      <c r="B73" s="11" t="s">
        <v>1734</v>
      </c>
      <c r="C73" s="4" t="b">
        <v>1</v>
      </c>
      <c r="D73" s="4" t="b">
        <v>1</v>
      </c>
      <c r="E73" s="4" t="b">
        <v>1</v>
      </c>
      <c r="F73" s="4" t="s">
        <v>12</v>
      </c>
      <c r="G73" s="4" t="b">
        <v>1</v>
      </c>
      <c r="H73" s="4" t="s">
        <v>3107</v>
      </c>
      <c r="I73" s="4" t="b">
        <v>0</v>
      </c>
      <c r="J73" s="4" t="b">
        <v>1</v>
      </c>
      <c r="K73" s="4" t="b">
        <v>0</v>
      </c>
    </row>
    <row r="74" spans="1:11" ht="240" x14ac:dyDescent="0.2">
      <c r="A74" s="6" t="s">
        <v>1739</v>
      </c>
      <c r="B74" s="11" t="s">
        <v>1740</v>
      </c>
      <c r="C74" s="4" t="b">
        <v>1</v>
      </c>
      <c r="D74" s="4" t="b">
        <v>1</v>
      </c>
      <c r="E74" s="4" t="b">
        <v>1</v>
      </c>
      <c r="F74" s="4" t="s">
        <v>12</v>
      </c>
      <c r="G74" s="4" t="b">
        <v>1</v>
      </c>
      <c r="H74" s="4" t="s">
        <v>3100</v>
      </c>
      <c r="I74" s="4" t="b">
        <v>1</v>
      </c>
      <c r="J74" s="4" t="b">
        <v>1</v>
      </c>
      <c r="K74" s="4" t="b">
        <v>0</v>
      </c>
    </row>
    <row r="75" spans="1:11" ht="160" x14ac:dyDescent="0.2">
      <c r="A75" s="6" t="s">
        <v>1761</v>
      </c>
      <c r="B75" s="11" t="s">
        <v>1762</v>
      </c>
      <c r="C75" s="4" t="b">
        <v>1</v>
      </c>
      <c r="D75" s="4" t="b">
        <v>1</v>
      </c>
      <c r="E75" s="4" t="b">
        <v>1</v>
      </c>
      <c r="F75" s="4" t="s">
        <v>12</v>
      </c>
      <c r="G75" s="4" t="b">
        <v>1</v>
      </c>
      <c r="H75" s="4" t="s">
        <v>3392</v>
      </c>
      <c r="I75" s="4" t="b">
        <v>1</v>
      </c>
      <c r="J75" s="4" t="b">
        <v>1</v>
      </c>
      <c r="K75" s="4" t="b">
        <v>1</v>
      </c>
    </row>
    <row r="76" spans="1:11" ht="64" x14ac:dyDescent="0.2">
      <c r="A76" s="6" t="s">
        <v>1763</v>
      </c>
      <c r="B76" s="11" t="s">
        <v>1764</v>
      </c>
      <c r="C76" s="4" t="b">
        <v>1</v>
      </c>
      <c r="D76" s="4" t="b">
        <v>1</v>
      </c>
      <c r="E76" s="4" t="b">
        <v>1</v>
      </c>
      <c r="F76" s="4" t="s">
        <v>12</v>
      </c>
      <c r="G76" s="4" t="b">
        <v>1</v>
      </c>
      <c r="H76" s="4" t="s">
        <v>3072</v>
      </c>
      <c r="I76" s="4" t="b">
        <v>1</v>
      </c>
      <c r="J76" s="4" t="b">
        <v>0</v>
      </c>
      <c r="K76" s="4" t="b">
        <v>1</v>
      </c>
    </row>
    <row r="77" spans="1:11" ht="32" x14ac:dyDescent="0.2">
      <c r="A77" s="6" t="s">
        <v>1811</v>
      </c>
      <c r="B77" s="11" t="s">
        <v>1812</v>
      </c>
      <c r="C77" s="4" t="b">
        <v>1</v>
      </c>
      <c r="D77" s="4" t="b">
        <v>1</v>
      </c>
      <c r="E77" s="4" t="b">
        <v>1</v>
      </c>
      <c r="F77" s="4" t="s">
        <v>12</v>
      </c>
      <c r="G77" s="4" t="b">
        <v>1</v>
      </c>
      <c r="H77" s="4" t="s">
        <v>3066</v>
      </c>
      <c r="I77" s="4" t="b">
        <v>0</v>
      </c>
      <c r="J77" s="4" t="b">
        <v>1</v>
      </c>
      <c r="K77" s="4" t="b">
        <v>0</v>
      </c>
    </row>
    <row r="78" spans="1:11" ht="48" x14ac:dyDescent="0.2">
      <c r="A78" s="6" t="s">
        <v>1827</v>
      </c>
      <c r="B78" s="11" t="s">
        <v>1828</v>
      </c>
      <c r="C78" s="4" t="b">
        <v>0</v>
      </c>
      <c r="D78" s="4" t="b">
        <v>1</v>
      </c>
      <c r="E78" s="4" t="b">
        <v>0</v>
      </c>
      <c r="F78" s="4" t="s">
        <v>12</v>
      </c>
      <c r="G78" s="4" t="b">
        <v>1</v>
      </c>
      <c r="H78" s="4" t="s">
        <v>3064</v>
      </c>
      <c r="I78" s="4" t="b">
        <v>0</v>
      </c>
      <c r="J78" s="4" t="b">
        <v>1</v>
      </c>
      <c r="K78" s="4" t="b">
        <v>1</v>
      </c>
    </row>
    <row r="79" spans="1:11" ht="112" x14ac:dyDescent="0.2">
      <c r="A79" s="6" t="s">
        <v>1881</v>
      </c>
      <c r="B79" s="11" t="s">
        <v>1882</v>
      </c>
      <c r="C79" s="4" t="b">
        <v>1</v>
      </c>
      <c r="D79" s="4" t="b">
        <v>1</v>
      </c>
      <c r="E79" s="4" t="b">
        <v>1</v>
      </c>
      <c r="F79" s="4" t="s">
        <v>12</v>
      </c>
      <c r="G79" s="4" t="b">
        <v>1</v>
      </c>
      <c r="H79" s="4" t="s">
        <v>3057</v>
      </c>
      <c r="I79" s="4" t="b">
        <v>0</v>
      </c>
      <c r="J79" s="4" t="b">
        <v>1</v>
      </c>
      <c r="K79" s="4" t="b">
        <v>0</v>
      </c>
    </row>
    <row r="80" spans="1:11" ht="80" x14ac:dyDescent="0.2">
      <c r="A80" s="6" t="s">
        <v>1883</v>
      </c>
      <c r="B80" s="11" t="s">
        <v>1884</v>
      </c>
      <c r="C80" s="4" t="b">
        <v>1</v>
      </c>
      <c r="D80" s="4" t="b">
        <v>1</v>
      </c>
      <c r="E80" s="4" t="b">
        <v>1</v>
      </c>
      <c r="F80" s="4" t="s">
        <v>12</v>
      </c>
      <c r="G80" s="4" t="b">
        <v>1</v>
      </c>
      <c r="H80" s="4" t="s">
        <v>3056</v>
      </c>
      <c r="I80" s="4" t="b">
        <v>0</v>
      </c>
      <c r="J80" s="4" t="b">
        <v>1</v>
      </c>
      <c r="K80" s="4" t="b">
        <v>0</v>
      </c>
    </row>
    <row r="81" spans="1:11" ht="96" x14ac:dyDescent="0.2">
      <c r="A81" s="6" t="s">
        <v>1891</v>
      </c>
      <c r="B81" s="11" t="s">
        <v>1892</v>
      </c>
      <c r="C81" s="4" t="b">
        <v>1</v>
      </c>
      <c r="D81" s="4" t="b">
        <v>1</v>
      </c>
      <c r="E81" s="4" t="b">
        <v>1</v>
      </c>
      <c r="F81" s="4" t="s">
        <v>12</v>
      </c>
      <c r="G81" s="4" t="b">
        <v>1</v>
      </c>
      <c r="H81" s="4" t="s">
        <v>3053</v>
      </c>
      <c r="I81" s="4" t="b">
        <v>0</v>
      </c>
      <c r="J81" s="4" t="b">
        <v>1</v>
      </c>
      <c r="K81" s="4" t="b">
        <v>1</v>
      </c>
    </row>
    <row r="82" spans="1:11" ht="48" x14ac:dyDescent="0.2">
      <c r="A82" s="6" t="s">
        <v>1903</v>
      </c>
      <c r="B82" s="11" t="s">
        <v>1904</v>
      </c>
      <c r="C82" s="4" t="b">
        <v>1</v>
      </c>
      <c r="D82" s="4" t="b">
        <v>1</v>
      </c>
      <c r="E82" s="4" t="b">
        <v>1</v>
      </c>
      <c r="F82" s="4" t="s">
        <v>12</v>
      </c>
      <c r="G82" s="4" t="b">
        <v>1</v>
      </c>
      <c r="H82" s="4" t="s">
        <v>3051</v>
      </c>
      <c r="I82" s="4" t="b">
        <v>0</v>
      </c>
      <c r="J82" s="4" t="b">
        <v>1</v>
      </c>
      <c r="K82" s="4" t="b">
        <v>0</v>
      </c>
    </row>
    <row r="83" spans="1:11" ht="48" x14ac:dyDescent="0.2">
      <c r="A83" s="6" t="s">
        <v>1923</v>
      </c>
      <c r="B83" s="11" t="s">
        <v>1924</v>
      </c>
      <c r="C83" s="4" t="b">
        <v>1</v>
      </c>
      <c r="D83" s="4" t="b">
        <v>1</v>
      </c>
      <c r="E83" s="4" t="b">
        <v>1</v>
      </c>
      <c r="F83" s="4" t="s">
        <v>12</v>
      </c>
      <c r="G83" s="4" t="b">
        <v>1</v>
      </c>
      <c r="H83" s="4" t="s">
        <v>3050</v>
      </c>
      <c r="I83" s="4" t="b">
        <v>0</v>
      </c>
      <c r="J83" s="4" t="b">
        <v>1</v>
      </c>
      <c r="K83" s="4" t="b">
        <v>0</v>
      </c>
    </row>
    <row r="84" spans="1:11" ht="112" x14ac:dyDescent="0.2">
      <c r="A84" s="6" t="s">
        <v>1927</v>
      </c>
      <c r="B84" s="11" t="s">
        <v>1928</v>
      </c>
      <c r="C84" s="4" t="b">
        <v>1</v>
      </c>
      <c r="D84" s="4" t="b">
        <v>1</v>
      </c>
      <c r="E84" s="4" t="b">
        <v>1</v>
      </c>
      <c r="F84" s="4" t="s">
        <v>12</v>
      </c>
      <c r="G84" s="4" t="b">
        <v>1</v>
      </c>
      <c r="H84" s="4" t="s">
        <v>3048</v>
      </c>
      <c r="I84" s="4" t="b">
        <v>0</v>
      </c>
      <c r="J84" s="4" t="b">
        <v>1</v>
      </c>
      <c r="K84" s="4" t="b">
        <v>1</v>
      </c>
    </row>
    <row r="85" spans="1:11" ht="96" x14ac:dyDescent="0.2">
      <c r="A85" s="6" t="s">
        <v>1937</v>
      </c>
      <c r="B85" s="11" t="s">
        <v>1938</v>
      </c>
      <c r="C85" s="4" t="b">
        <v>1</v>
      </c>
      <c r="D85" s="4" t="b">
        <v>1</v>
      </c>
      <c r="E85" s="4" t="b">
        <v>1</v>
      </c>
      <c r="F85" s="4" t="s">
        <v>12</v>
      </c>
      <c r="G85" s="4" t="b">
        <v>1</v>
      </c>
      <c r="H85" s="4" t="s">
        <v>3049</v>
      </c>
      <c r="I85" s="4" t="b">
        <v>0</v>
      </c>
      <c r="J85" s="4" t="b">
        <v>1</v>
      </c>
      <c r="K85" s="4" t="b">
        <v>1</v>
      </c>
    </row>
    <row r="86" spans="1:11" ht="160" x14ac:dyDescent="0.2">
      <c r="A86" s="6" t="s">
        <v>1965</v>
      </c>
      <c r="B86" s="11" t="s">
        <v>1966</v>
      </c>
      <c r="C86" s="4" t="b">
        <v>1</v>
      </c>
      <c r="D86" s="4" t="b">
        <v>1</v>
      </c>
      <c r="E86" s="4" t="b">
        <v>1</v>
      </c>
      <c r="F86" s="4" t="s">
        <v>12</v>
      </c>
      <c r="G86" s="4" t="b">
        <v>1</v>
      </c>
      <c r="H86" s="4" t="s">
        <v>3043</v>
      </c>
      <c r="I86" s="4" t="b">
        <v>0</v>
      </c>
      <c r="J86" s="4" t="b">
        <v>1</v>
      </c>
      <c r="K86" s="4" t="b">
        <v>1</v>
      </c>
    </row>
    <row r="87" spans="1:11" ht="80" x14ac:dyDescent="0.2">
      <c r="A87" s="6" t="s">
        <v>1967</v>
      </c>
      <c r="B87" s="11" t="s">
        <v>1968</v>
      </c>
      <c r="C87" s="4" t="b">
        <v>1</v>
      </c>
      <c r="D87" s="4" t="b">
        <v>1</v>
      </c>
      <c r="E87" s="4" t="b">
        <v>1</v>
      </c>
      <c r="F87" s="4" t="s">
        <v>12</v>
      </c>
      <c r="G87" s="4" t="b">
        <v>1</v>
      </c>
      <c r="H87" s="4" t="s">
        <v>3042</v>
      </c>
      <c r="I87" s="4" t="b">
        <v>1</v>
      </c>
      <c r="J87" s="4" t="b">
        <v>1</v>
      </c>
      <c r="K87" s="4" t="b">
        <v>0</v>
      </c>
    </row>
    <row r="88" spans="1:11" ht="80" x14ac:dyDescent="0.2">
      <c r="A88" s="6" t="s">
        <v>1971</v>
      </c>
      <c r="B88" s="11" t="s">
        <v>1972</v>
      </c>
      <c r="C88" s="4" t="b">
        <v>1</v>
      </c>
      <c r="D88" s="4" t="b">
        <v>1</v>
      </c>
      <c r="E88" s="4" t="b">
        <v>1</v>
      </c>
      <c r="F88" s="4" t="s">
        <v>12</v>
      </c>
      <c r="G88" s="4" t="b">
        <v>1</v>
      </c>
      <c r="H88" s="4" t="s">
        <v>3039</v>
      </c>
      <c r="I88" s="4" t="b">
        <v>0</v>
      </c>
      <c r="J88" s="4" t="b">
        <v>1</v>
      </c>
      <c r="K88" s="4" t="b">
        <v>0</v>
      </c>
    </row>
    <row r="89" spans="1:11" ht="48" x14ac:dyDescent="0.2">
      <c r="A89" s="6" t="s">
        <v>2118</v>
      </c>
      <c r="B89" s="11" t="s">
        <v>2119</v>
      </c>
      <c r="C89" s="4" t="b">
        <v>1</v>
      </c>
      <c r="D89" s="4" t="b">
        <v>1</v>
      </c>
      <c r="E89" s="4" t="b">
        <v>1</v>
      </c>
      <c r="F89" s="4" t="s">
        <v>12</v>
      </c>
      <c r="G89" s="4" t="b">
        <v>1</v>
      </c>
      <c r="H89" s="4" t="s">
        <v>3393</v>
      </c>
      <c r="I89" s="4" t="b">
        <v>0</v>
      </c>
      <c r="J89" s="4" t="b">
        <v>1</v>
      </c>
      <c r="K89" s="4" t="b">
        <v>0</v>
      </c>
    </row>
    <row r="90" spans="1:11" ht="160" x14ac:dyDescent="0.2">
      <c r="A90" s="6" t="s">
        <v>2134</v>
      </c>
      <c r="B90" s="11" t="s">
        <v>2135</v>
      </c>
      <c r="C90" s="4" t="b">
        <v>1</v>
      </c>
      <c r="D90" s="4" t="b">
        <v>1</v>
      </c>
      <c r="E90" s="4" t="b">
        <v>1</v>
      </c>
      <c r="F90" s="4" t="s">
        <v>12</v>
      </c>
      <c r="G90" s="4" t="b">
        <v>1</v>
      </c>
      <c r="H90" s="4" t="s">
        <v>3284</v>
      </c>
      <c r="I90" s="4" t="b">
        <v>1</v>
      </c>
      <c r="J90" s="4" t="b">
        <v>1</v>
      </c>
      <c r="K90" s="4" t="b">
        <v>0</v>
      </c>
    </row>
    <row r="91" spans="1:11" ht="80" x14ac:dyDescent="0.2">
      <c r="A91" s="6" t="s">
        <v>2142</v>
      </c>
      <c r="B91" s="11" t="s">
        <v>2143</v>
      </c>
      <c r="C91" s="4" t="b">
        <v>1</v>
      </c>
      <c r="D91" s="4" t="b">
        <v>1</v>
      </c>
      <c r="E91" s="4" t="b">
        <v>1</v>
      </c>
      <c r="F91" s="4" t="s">
        <v>12</v>
      </c>
      <c r="G91" s="4" t="b">
        <v>1</v>
      </c>
      <c r="H91" s="4" t="s">
        <v>3032</v>
      </c>
      <c r="I91" s="4" t="b">
        <v>1</v>
      </c>
      <c r="J91" s="4" t="b">
        <v>1</v>
      </c>
      <c r="K91" s="4" t="b">
        <v>1</v>
      </c>
    </row>
    <row r="92" spans="1:11" ht="48" x14ac:dyDescent="0.2">
      <c r="A92" s="6" t="s">
        <v>2148</v>
      </c>
      <c r="B92" s="11" t="s">
        <v>2149</v>
      </c>
      <c r="C92" s="4" t="b">
        <v>1</v>
      </c>
      <c r="D92" s="4" t="b">
        <v>1</v>
      </c>
      <c r="E92" s="4" t="b">
        <v>1</v>
      </c>
      <c r="F92" s="4" t="s">
        <v>12</v>
      </c>
      <c r="G92" s="4" t="b">
        <v>1</v>
      </c>
      <c r="H92" s="4" t="s">
        <v>3031</v>
      </c>
      <c r="I92" s="4" t="b">
        <v>1</v>
      </c>
      <c r="J92" s="4" t="b">
        <v>1</v>
      </c>
      <c r="K92" s="4" t="b">
        <v>1</v>
      </c>
    </row>
    <row r="93" spans="1:11" ht="96" x14ac:dyDescent="0.2">
      <c r="A93" s="6" t="s">
        <v>2186</v>
      </c>
      <c r="B93" s="11" t="s">
        <v>2187</v>
      </c>
      <c r="C93" s="4" t="b">
        <v>1</v>
      </c>
      <c r="D93" s="4" t="b">
        <v>1</v>
      </c>
      <c r="E93" s="4" t="b">
        <v>1</v>
      </c>
      <c r="F93" s="4" t="s">
        <v>12</v>
      </c>
      <c r="G93" s="4" t="b">
        <v>1</v>
      </c>
      <c r="H93" s="4" t="s">
        <v>3025</v>
      </c>
      <c r="I93" s="4" t="b">
        <v>1</v>
      </c>
      <c r="J93" s="4" t="b">
        <v>1</v>
      </c>
      <c r="K93" s="4" t="b">
        <v>1</v>
      </c>
    </row>
    <row r="94" spans="1:11" ht="48" x14ac:dyDescent="0.2">
      <c r="A94" s="6" t="s">
        <v>2190</v>
      </c>
      <c r="B94" s="11" t="s">
        <v>2191</v>
      </c>
      <c r="C94" s="4" t="b">
        <v>1</v>
      </c>
      <c r="D94" s="4" t="b">
        <v>1</v>
      </c>
      <c r="E94" s="4" t="b">
        <v>1</v>
      </c>
      <c r="F94" s="4" t="s">
        <v>12</v>
      </c>
      <c r="G94" s="4" t="b">
        <v>1</v>
      </c>
      <c r="H94" s="4" t="s">
        <v>3024</v>
      </c>
      <c r="I94" s="4" t="b">
        <v>1</v>
      </c>
      <c r="J94" s="4" t="b">
        <v>1</v>
      </c>
      <c r="K94" s="4" t="b">
        <v>0</v>
      </c>
    </row>
    <row r="95" spans="1:11" ht="32" x14ac:dyDescent="0.2">
      <c r="A95" s="6" t="s">
        <v>2196</v>
      </c>
      <c r="B95" s="11" t="s">
        <v>2197</v>
      </c>
      <c r="C95" s="4" t="b">
        <v>1</v>
      </c>
      <c r="D95" s="4" t="b">
        <v>1</v>
      </c>
      <c r="E95" s="4" t="b">
        <v>1</v>
      </c>
      <c r="F95" s="4" t="s">
        <v>12</v>
      </c>
      <c r="G95" s="4" t="b">
        <v>1</v>
      </c>
      <c r="H95" s="4" t="s">
        <v>3023</v>
      </c>
      <c r="I95" s="4" t="b">
        <v>0</v>
      </c>
      <c r="J95" s="4" t="b">
        <v>1</v>
      </c>
      <c r="K95" s="4" t="b">
        <v>0</v>
      </c>
    </row>
    <row r="96" spans="1:11" ht="112" x14ac:dyDescent="0.2">
      <c r="A96" s="6" t="s">
        <v>2208</v>
      </c>
      <c r="B96" s="11" t="s">
        <v>2209</v>
      </c>
      <c r="C96" s="4" t="b">
        <v>1</v>
      </c>
      <c r="D96" s="4" t="b">
        <v>1</v>
      </c>
      <c r="E96" s="4" t="b">
        <v>1</v>
      </c>
      <c r="F96" s="4" t="s">
        <v>12</v>
      </c>
      <c r="G96" s="4" t="b">
        <v>1</v>
      </c>
      <c r="H96" s="4" t="s">
        <v>3022</v>
      </c>
      <c r="I96" s="4" t="b">
        <v>1</v>
      </c>
      <c r="J96" s="4" t="b">
        <v>0</v>
      </c>
      <c r="K96" s="4" t="b">
        <v>0</v>
      </c>
    </row>
    <row r="97" spans="1:11" ht="48" x14ac:dyDescent="0.2">
      <c r="A97" s="6" t="s">
        <v>2210</v>
      </c>
      <c r="B97" s="11" t="s">
        <v>2211</v>
      </c>
      <c r="C97" s="4" t="b">
        <v>0</v>
      </c>
      <c r="D97" s="4" t="b">
        <v>1</v>
      </c>
      <c r="E97" s="4" t="b">
        <v>1</v>
      </c>
      <c r="F97" s="4" t="s">
        <v>12</v>
      </c>
      <c r="G97" s="4" t="b">
        <v>1</v>
      </c>
      <c r="H97" s="4" t="s">
        <v>3018</v>
      </c>
      <c r="I97" s="4" t="b">
        <v>0</v>
      </c>
      <c r="J97" s="4" t="b">
        <v>1</v>
      </c>
      <c r="K97" s="4" t="b">
        <v>0</v>
      </c>
    </row>
    <row r="98" spans="1:11" ht="96" x14ac:dyDescent="0.2">
      <c r="A98" s="6" t="s">
        <v>2268</v>
      </c>
      <c r="B98" s="11" t="s">
        <v>2269</v>
      </c>
      <c r="C98" s="4" t="b">
        <v>1</v>
      </c>
      <c r="D98" s="4" t="b">
        <v>1</v>
      </c>
      <c r="E98" s="4" t="b">
        <v>1</v>
      </c>
      <c r="F98" s="4" t="s">
        <v>12</v>
      </c>
      <c r="G98" s="4" t="b">
        <v>1</v>
      </c>
      <c r="H98" s="4" t="s">
        <v>3010</v>
      </c>
      <c r="I98" s="4" t="b">
        <v>0</v>
      </c>
      <c r="J98" s="4" t="b">
        <v>1</v>
      </c>
      <c r="K98" s="4" t="b">
        <v>1</v>
      </c>
    </row>
    <row r="99" spans="1:11" ht="48" x14ac:dyDescent="0.2">
      <c r="A99" s="6" t="s">
        <v>2270</v>
      </c>
      <c r="B99" s="11" t="s">
        <v>2271</v>
      </c>
      <c r="C99" s="4" t="b">
        <v>1</v>
      </c>
      <c r="D99" s="4" t="b">
        <v>1</v>
      </c>
      <c r="E99" s="4" t="b">
        <v>1</v>
      </c>
      <c r="F99" s="4" t="s">
        <v>12</v>
      </c>
      <c r="G99" s="4" t="b">
        <v>1</v>
      </c>
      <c r="H99" s="4" t="s">
        <v>3009</v>
      </c>
      <c r="I99" s="4" t="b">
        <v>0</v>
      </c>
      <c r="J99" s="4" t="b">
        <v>1</v>
      </c>
      <c r="K99" s="4" t="b">
        <v>1</v>
      </c>
    </row>
    <row r="100" spans="1:11" ht="96" x14ac:dyDescent="0.2">
      <c r="A100" s="6" t="s">
        <v>2286</v>
      </c>
      <c r="B100" s="11" t="s">
        <v>2287</v>
      </c>
      <c r="C100" s="4" t="b">
        <v>1</v>
      </c>
      <c r="D100" s="4" t="b">
        <v>1</v>
      </c>
      <c r="E100" s="4" t="b">
        <v>1</v>
      </c>
      <c r="F100" s="4" t="s">
        <v>12</v>
      </c>
      <c r="G100" s="4" t="b">
        <v>1</v>
      </c>
      <c r="H100" s="4" t="s">
        <v>3186</v>
      </c>
      <c r="I100" s="4" t="b">
        <v>1</v>
      </c>
      <c r="J100" s="4" t="b">
        <v>0</v>
      </c>
      <c r="K100" s="4" t="b">
        <v>0</v>
      </c>
    </row>
    <row r="101" spans="1:11" ht="80" x14ac:dyDescent="0.2">
      <c r="A101" s="6" t="s">
        <v>2316</v>
      </c>
      <c r="B101" s="11" t="s">
        <v>2317</v>
      </c>
      <c r="C101" s="4" t="b">
        <v>1</v>
      </c>
      <c r="D101" s="4" t="b">
        <v>1</v>
      </c>
      <c r="E101" s="4" t="b">
        <v>1</v>
      </c>
      <c r="F101" s="4" t="s">
        <v>12</v>
      </c>
      <c r="G101" s="4" t="b">
        <v>1</v>
      </c>
      <c r="H101" s="4" t="s">
        <v>3001</v>
      </c>
      <c r="I101" s="4" t="b">
        <v>0</v>
      </c>
      <c r="J101" s="4" t="b">
        <v>1</v>
      </c>
      <c r="K101" s="4" t="b">
        <v>1</v>
      </c>
    </row>
    <row r="102" spans="1:11" ht="96" x14ac:dyDescent="0.2">
      <c r="A102" s="6" t="s">
        <v>2322</v>
      </c>
      <c r="B102" s="11" t="s">
        <v>2323</v>
      </c>
      <c r="C102" s="4" t="b">
        <v>1</v>
      </c>
      <c r="D102" s="4" t="b">
        <v>1</v>
      </c>
      <c r="E102" s="4" t="b">
        <v>1</v>
      </c>
      <c r="F102" s="4" t="s">
        <v>12</v>
      </c>
      <c r="G102" s="4" t="b">
        <v>1</v>
      </c>
      <c r="H102" s="4" t="s">
        <v>3003</v>
      </c>
      <c r="I102" s="4" t="b">
        <v>1</v>
      </c>
      <c r="J102" s="4" t="b">
        <v>0</v>
      </c>
      <c r="K102" s="4" t="b">
        <v>0</v>
      </c>
    </row>
    <row r="103" spans="1:11" ht="48" x14ac:dyDescent="0.2">
      <c r="A103" s="6" t="s">
        <v>2324</v>
      </c>
      <c r="B103" s="11" t="s">
        <v>2325</v>
      </c>
      <c r="C103" s="4" t="b">
        <v>1</v>
      </c>
      <c r="D103" s="4" t="b">
        <v>1</v>
      </c>
      <c r="E103" s="4" t="b">
        <v>1</v>
      </c>
      <c r="F103" s="4" t="s">
        <v>12</v>
      </c>
      <c r="G103" s="4" t="b">
        <v>1</v>
      </c>
      <c r="H103" s="4" t="s">
        <v>3000</v>
      </c>
      <c r="I103" s="4" t="b">
        <v>1</v>
      </c>
      <c r="J103" s="4" t="b">
        <v>0</v>
      </c>
      <c r="K103" s="4" t="b">
        <v>0</v>
      </c>
    </row>
    <row r="104" spans="1:11" ht="64" x14ac:dyDescent="0.2">
      <c r="A104" s="6" t="s">
        <v>2334</v>
      </c>
      <c r="B104" s="11" t="s">
        <v>2335</v>
      </c>
      <c r="C104" s="4" t="b">
        <v>1</v>
      </c>
      <c r="D104" s="4" t="b">
        <v>1</v>
      </c>
      <c r="E104" s="4" t="b">
        <v>1</v>
      </c>
      <c r="F104" s="4" t="s">
        <v>12</v>
      </c>
      <c r="G104" s="4" t="b">
        <v>1</v>
      </c>
      <c r="H104" s="4" t="s">
        <v>2997</v>
      </c>
      <c r="I104" s="4" t="b">
        <v>1</v>
      </c>
      <c r="J104" s="4" t="b">
        <v>0</v>
      </c>
      <c r="K104" s="4" t="b">
        <v>0</v>
      </c>
    </row>
    <row r="105" spans="1:11" ht="48" x14ac:dyDescent="0.2">
      <c r="A105" s="6" t="s">
        <v>2340</v>
      </c>
      <c r="B105" s="11" t="s">
        <v>2341</v>
      </c>
      <c r="C105" s="4" t="b">
        <v>1</v>
      </c>
      <c r="D105" s="4" t="b">
        <v>1</v>
      </c>
      <c r="E105" s="4" t="b">
        <v>1</v>
      </c>
      <c r="F105" s="4" t="s">
        <v>12</v>
      </c>
      <c r="G105" s="4" t="b">
        <v>1</v>
      </c>
      <c r="H105" s="4" t="s">
        <v>2995</v>
      </c>
      <c r="I105" s="4" t="b">
        <v>0</v>
      </c>
      <c r="J105" s="4" t="b">
        <v>1</v>
      </c>
      <c r="K105" s="4" t="b">
        <v>1</v>
      </c>
    </row>
    <row r="106" spans="1:11" ht="112" x14ac:dyDescent="0.2">
      <c r="A106" s="6" t="s">
        <v>2366</v>
      </c>
      <c r="B106" s="11" t="s">
        <v>2367</v>
      </c>
      <c r="C106" s="4" t="b">
        <v>1</v>
      </c>
      <c r="D106" s="4" t="b">
        <v>1</v>
      </c>
      <c r="E106" s="4" t="b">
        <v>1</v>
      </c>
      <c r="F106" s="4" t="s">
        <v>12</v>
      </c>
      <c r="G106" s="4" t="b">
        <v>1</v>
      </c>
      <c r="H106" s="4" t="s">
        <v>2988</v>
      </c>
      <c r="I106" s="4" t="b">
        <v>0</v>
      </c>
      <c r="J106" s="4" t="b">
        <v>1</v>
      </c>
      <c r="K106" s="4" t="b">
        <v>1</v>
      </c>
    </row>
    <row r="107" spans="1:11" ht="112" x14ac:dyDescent="0.2">
      <c r="A107" s="6" t="s">
        <v>2370</v>
      </c>
      <c r="B107" s="11" t="s">
        <v>2371</v>
      </c>
      <c r="C107" s="4" t="b">
        <v>1</v>
      </c>
      <c r="D107" s="4" t="b">
        <v>1</v>
      </c>
      <c r="E107" s="4" t="b">
        <v>1</v>
      </c>
      <c r="F107" s="4" t="s">
        <v>12</v>
      </c>
      <c r="G107" s="4" t="b">
        <v>1</v>
      </c>
      <c r="H107" s="4" t="s">
        <v>2987</v>
      </c>
      <c r="I107" s="4" t="b">
        <v>0</v>
      </c>
      <c r="J107" s="4" t="b">
        <v>1</v>
      </c>
      <c r="K107" s="4" t="b">
        <v>0</v>
      </c>
    </row>
    <row r="108" spans="1:11" ht="80" x14ac:dyDescent="0.2">
      <c r="A108" s="6" t="s">
        <v>2408</v>
      </c>
      <c r="B108" s="11" t="s">
        <v>2409</v>
      </c>
      <c r="C108" s="4" t="b">
        <v>1</v>
      </c>
      <c r="D108" s="4" t="b">
        <v>1</v>
      </c>
      <c r="E108" s="4" t="b">
        <v>1</v>
      </c>
      <c r="F108" s="4" t="s">
        <v>12</v>
      </c>
      <c r="G108" s="4" t="b">
        <v>1</v>
      </c>
      <c r="H108" s="4" t="s">
        <v>3280</v>
      </c>
      <c r="I108" s="4" t="b">
        <v>1</v>
      </c>
      <c r="J108" s="4" t="b">
        <v>1</v>
      </c>
      <c r="K108" s="4" t="b">
        <v>0</v>
      </c>
    </row>
    <row r="109" spans="1:11" ht="64" x14ac:dyDescent="0.2">
      <c r="A109" s="6" t="s">
        <v>2418</v>
      </c>
      <c r="B109" s="11" t="s">
        <v>2419</v>
      </c>
      <c r="C109" s="4" t="b">
        <v>1</v>
      </c>
      <c r="D109" s="4" t="b">
        <v>1</v>
      </c>
      <c r="E109" s="4" t="b">
        <v>1</v>
      </c>
      <c r="F109" s="4" t="s">
        <v>12</v>
      </c>
      <c r="G109" s="4" t="b">
        <v>1</v>
      </c>
      <c r="H109" s="4" t="s">
        <v>3278</v>
      </c>
      <c r="I109" s="4" t="b">
        <v>1</v>
      </c>
      <c r="J109" s="4" t="b">
        <v>0</v>
      </c>
      <c r="K109" s="4" t="b">
        <v>1</v>
      </c>
    </row>
    <row r="110" spans="1:11" ht="144" x14ac:dyDescent="0.2">
      <c r="A110" s="6" t="s">
        <v>2470</v>
      </c>
      <c r="B110" s="11" t="s">
        <v>2471</v>
      </c>
      <c r="C110" s="4" t="b">
        <v>1</v>
      </c>
      <c r="D110" s="4" t="b">
        <v>1</v>
      </c>
      <c r="E110" s="4" t="b">
        <v>1</v>
      </c>
      <c r="F110" s="4" t="s">
        <v>12</v>
      </c>
      <c r="G110" s="4" t="b">
        <v>1</v>
      </c>
      <c r="H110" s="4" t="s">
        <v>2980</v>
      </c>
      <c r="I110" s="4" t="b">
        <v>1</v>
      </c>
      <c r="J110" s="4" t="b">
        <v>1</v>
      </c>
      <c r="K110" s="4" t="b">
        <v>1</v>
      </c>
    </row>
    <row r="111" spans="1:11" ht="64" x14ac:dyDescent="0.2">
      <c r="A111" s="6" t="s">
        <v>2480</v>
      </c>
      <c r="B111" s="11" t="s">
        <v>2481</v>
      </c>
      <c r="C111" s="4" t="b">
        <v>1</v>
      </c>
      <c r="D111" s="4" t="b">
        <v>1</v>
      </c>
      <c r="E111" s="4" t="b">
        <v>1</v>
      </c>
      <c r="F111" s="4" t="s">
        <v>12</v>
      </c>
      <c r="G111" s="4" t="b">
        <v>1</v>
      </c>
      <c r="H111" s="4" t="s">
        <v>2977</v>
      </c>
      <c r="I111" s="4" t="b">
        <v>1</v>
      </c>
      <c r="J111" s="4" t="b">
        <v>0</v>
      </c>
      <c r="K111" s="4" t="b">
        <v>0</v>
      </c>
    </row>
    <row r="112" spans="1:11" ht="128" x14ac:dyDescent="0.2">
      <c r="A112" s="6" t="s">
        <v>2496</v>
      </c>
      <c r="B112" s="11" t="s">
        <v>2497</v>
      </c>
      <c r="C112" s="4" t="b">
        <v>1</v>
      </c>
      <c r="D112" s="4" t="b">
        <v>1</v>
      </c>
      <c r="E112" s="4" t="b">
        <v>1</v>
      </c>
      <c r="F112" s="4" t="s">
        <v>12</v>
      </c>
      <c r="G112" s="4" t="b">
        <v>1</v>
      </c>
      <c r="H112" s="4" t="s">
        <v>2974</v>
      </c>
      <c r="I112" s="4" t="b">
        <v>1</v>
      </c>
      <c r="J112" s="4" t="b">
        <v>0</v>
      </c>
      <c r="K112" s="4" t="b">
        <v>0</v>
      </c>
    </row>
    <row r="113" spans="1:11" ht="96" x14ac:dyDescent="0.2">
      <c r="A113" s="6" t="s">
        <v>2498</v>
      </c>
      <c r="B113" s="11" t="s">
        <v>2499</v>
      </c>
      <c r="C113" s="4" t="b">
        <v>1</v>
      </c>
      <c r="D113" s="4" t="b">
        <v>1</v>
      </c>
      <c r="E113" s="4" t="b">
        <v>1</v>
      </c>
      <c r="F113" s="4" t="s">
        <v>12</v>
      </c>
      <c r="G113" s="4" t="b">
        <v>1</v>
      </c>
      <c r="H113" s="4" t="s">
        <v>2973</v>
      </c>
      <c r="I113" s="4" t="b">
        <v>0</v>
      </c>
      <c r="J113" s="4" t="b">
        <v>1</v>
      </c>
      <c r="K113" s="4" t="b">
        <v>0</v>
      </c>
    </row>
    <row r="114" spans="1:11" ht="144" x14ac:dyDescent="0.2">
      <c r="A114" s="6" t="s">
        <v>2500</v>
      </c>
      <c r="B114" s="11" t="s">
        <v>2501</v>
      </c>
      <c r="C114" s="4" t="b">
        <v>1</v>
      </c>
      <c r="D114" s="4" t="b">
        <v>1</v>
      </c>
      <c r="E114" s="4" t="b">
        <v>1</v>
      </c>
      <c r="F114" s="4" t="s">
        <v>12</v>
      </c>
      <c r="G114" s="4" t="b">
        <v>1</v>
      </c>
      <c r="H114" s="4" t="s">
        <v>2972</v>
      </c>
      <c r="I114" s="4" t="b">
        <v>1</v>
      </c>
      <c r="J114" s="4" t="b">
        <v>1</v>
      </c>
      <c r="K114" s="4" t="b">
        <v>0</v>
      </c>
    </row>
    <row r="115" spans="1:11" ht="176" x14ac:dyDescent="0.2">
      <c r="A115" s="6" t="s">
        <v>2514</v>
      </c>
      <c r="B115" s="11" t="s">
        <v>2515</v>
      </c>
      <c r="C115" s="4" t="b">
        <v>1</v>
      </c>
      <c r="D115" s="4" t="b">
        <v>1</v>
      </c>
      <c r="E115" s="4" t="b">
        <v>1</v>
      </c>
      <c r="F115" s="4" t="s">
        <v>12</v>
      </c>
      <c r="G115" s="4" t="b">
        <v>1</v>
      </c>
      <c r="H115" s="4" t="s">
        <v>2970</v>
      </c>
      <c r="I115" s="4" t="b">
        <v>1</v>
      </c>
      <c r="J115" s="4" t="b">
        <v>0</v>
      </c>
      <c r="K115" s="4" t="b">
        <v>0</v>
      </c>
    </row>
    <row r="116" spans="1:11" ht="80" x14ac:dyDescent="0.2">
      <c r="A116" s="6" t="s">
        <v>2520</v>
      </c>
      <c r="B116" s="11" t="s">
        <v>2521</v>
      </c>
      <c r="C116" s="4" t="b">
        <v>1</v>
      </c>
      <c r="D116" s="4" t="b">
        <v>1</v>
      </c>
      <c r="E116" s="4" t="b">
        <v>1</v>
      </c>
      <c r="F116" s="4" t="s">
        <v>12</v>
      </c>
      <c r="G116" s="4" t="b">
        <v>1</v>
      </c>
      <c r="H116" s="4" t="s">
        <v>2969</v>
      </c>
      <c r="I116" s="4" t="b">
        <v>0</v>
      </c>
      <c r="J116" s="4" t="b">
        <v>1</v>
      </c>
      <c r="K116" s="4" t="b">
        <v>0</v>
      </c>
    </row>
    <row r="117" spans="1:11" ht="80" x14ac:dyDescent="0.2">
      <c r="A117" s="6" t="s">
        <v>2524</v>
      </c>
      <c r="B117" s="11" t="s">
        <v>2525</v>
      </c>
      <c r="C117" s="4" t="b">
        <v>1</v>
      </c>
      <c r="D117" s="4" t="b">
        <v>1</v>
      </c>
      <c r="E117" s="4" t="b">
        <v>1</v>
      </c>
      <c r="F117" s="4" t="s">
        <v>12</v>
      </c>
      <c r="G117" s="4" t="b">
        <v>1</v>
      </c>
      <c r="H117" s="4" t="s">
        <v>2968</v>
      </c>
      <c r="I117" s="4" t="b">
        <v>1</v>
      </c>
      <c r="J117" s="4" t="b">
        <v>0</v>
      </c>
      <c r="K117" s="4" t="b">
        <v>0</v>
      </c>
    </row>
    <row r="118" spans="1:11" ht="160" x14ac:dyDescent="0.2">
      <c r="A118" s="6" t="s">
        <v>2534</v>
      </c>
      <c r="B118" s="11" t="s">
        <v>2535</v>
      </c>
      <c r="C118" s="4" t="b">
        <v>1</v>
      </c>
      <c r="D118" s="4" t="b">
        <v>1</v>
      </c>
      <c r="E118" s="4" t="b">
        <v>1</v>
      </c>
      <c r="F118" s="4" t="s">
        <v>12</v>
      </c>
      <c r="G118" s="4" t="b">
        <v>1</v>
      </c>
      <c r="H118" s="4" t="s">
        <v>2964</v>
      </c>
      <c r="I118" s="4" t="b">
        <v>0</v>
      </c>
      <c r="J118" s="4" t="b">
        <v>1</v>
      </c>
      <c r="K118" s="4" t="b">
        <v>0</v>
      </c>
    </row>
    <row r="119" spans="1:11" ht="160" x14ac:dyDescent="0.2">
      <c r="A119" s="6" t="s">
        <v>2542</v>
      </c>
      <c r="B119" s="11" t="s">
        <v>2543</v>
      </c>
      <c r="C119" s="4" t="b">
        <v>1</v>
      </c>
      <c r="D119" s="4" t="b">
        <v>1</v>
      </c>
      <c r="E119" s="4" t="b">
        <v>1</v>
      </c>
      <c r="F119" s="4" t="s">
        <v>12</v>
      </c>
      <c r="G119" s="4" t="b">
        <v>1</v>
      </c>
      <c r="H119" s="4" t="s">
        <v>2963</v>
      </c>
      <c r="I119" s="4" t="b">
        <v>1</v>
      </c>
      <c r="J119" s="4" t="b">
        <v>0</v>
      </c>
      <c r="K119" s="4" t="b">
        <v>0</v>
      </c>
    </row>
    <row r="120" spans="1:11" ht="96" x14ac:dyDescent="0.2">
      <c r="A120" s="6" t="s">
        <v>2548</v>
      </c>
      <c r="B120" s="11" t="s">
        <v>2549</v>
      </c>
      <c r="C120" s="4" t="b">
        <v>1</v>
      </c>
      <c r="D120" s="4" t="b">
        <v>1</v>
      </c>
      <c r="E120" s="4" t="b">
        <v>1</v>
      </c>
      <c r="F120" s="4" t="s">
        <v>12</v>
      </c>
      <c r="G120" s="4" t="b">
        <v>1</v>
      </c>
      <c r="H120" s="4" t="s">
        <v>2962</v>
      </c>
      <c r="I120" s="4" t="b">
        <v>0</v>
      </c>
      <c r="J120" s="4" t="b">
        <v>1</v>
      </c>
      <c r="K120" s="4" t="b">
        <v>0</v>
      </c>
    </row>
    <row r="121" spans="1:11" ht="80" x14ac:dyDescent="0.2">
      <c r="A121" s="6" t="s">
        <v>2572</v>
      </c>
      <c r="B121" s="11" t="s">
        <v>2573</v>
      </c>
      <c r="C121" s="4" t="b">
        <v>1</v>
      </c>
      <c r="D121" s="4" t="b">
        <v>1</v>
      </c>
      <c r="E121" s="4" t="b">
        <v>1</v>
      </c>
      <c r="F121" s="4" t="s">
        <v>12</v>
      </c>
      <c r="G121" s="4" t="b">
        <v>1</v>
      </c>
      <c r="H121" s="4" t="s">
        <v>2957</v>
      </c>
      <c r="I121" s="4" t="b">
        <v>0</v>
      </c>
      <c r="J121" s="4" t="b">
        <v>1</v>
      </c>
      <c r="K121" s="4" t="b">
        <v>0</v>
      </c>
    </row>
    <row r="122" spans="1:11" ht="112" x14ac:dyDescent="0.2">
      <c r="A122" s="6" t="s">
        <v>2712</v>
      </c>
      <c r="B122" s="11" t="s">
        <v>2713</v>
      </c>
      <c r="C122" s="4" t="b">
        <v>1</v>
      </c>
      <c r="D122" s="4" t="b">
        <v>1</v>
      </c>
      <c r="E122" s="4" t="b">
        <v>1</v>
      </c>
      <c r="F122" s="4" t="s">
        <v>12</v>
      </c>
      <c r="G122" s="4" t="b">
        <v>1</v>
      </c>
      <c r="H122" s="4" t="s">
        <v>3391</v>
      </c>
      <c r="I122" s="4" t="b">
        <v>1</v>
      </c>
      <c r="J122" s="4" t="b">
        <v>1</v>
      </c>
      <c r="K122" s="4" t="b">
        <v>0</v>
      </c>
    </row>
    <row r="123" spans="1:11" ht="80" x14ac:dyDescent="0.2">
      <c r="A123" s="6" t="s">
        <v>2720</v>
      </c>
      <c r="B123" s="11" t="s">
        <v>2721</v>
      </c>
      <c r="C123" s="4" t="b">
        <v>1</v>
      </c>
      <c r="D123" s="4" t="b">
        <v>1</v>
      </c>
      <c r="E123" s="4" t="b">
        <v>1</v>
      </c>
      <c r="F123" s="4" t="s">
        <v>12</v>
      </c>
      <c r="G123" s="4" t="b">
        <v>1</v>
      </c>
      <c r="H123" s="4" t="s">
        <v>2927</v>
      </c>
      <c r="I123" s="4" t="b">
        <v>1</v>
      </c>
      <c r="J123" s="4" t="b">
        <v>1</v>
      </c>
      <c r="K123" s="4" t="b">
        <v>0</v>
      </c>
    </row>
    <row r="124" spans="1:11" ht="256" x14ac:dyDescent="0.2">
      <c r="A124" s="6" t="s">
        <v>2780</v>
      </c>
      <c r="B124" s="11" t="s">
        <v>2781</v>
      </c>
      <c r="C124" s="4" t="b">
        <v>1</v>
      </c>
      <c r="D124" s="4" t="b">
        <v>1</v>
      </c>
      <c r="E124" s="4" t="b">
        <v>1</v>
      </c>
      <c r="F124" s="4" t="s">
        <v>12</v>
      </c>
      <c r="G124" s="4" t="b">
        <v>1</v>
      </c>
      <c r="H124" s="4" t="s">
        <v>2922</v>
      </c>
      <c r="I124" s="4" t="b">
        <v>1</v>
      </c>
      <c r="J124" s="4" t="b">
        <v>1</v>
      </c>
      <c r="K124" s="4" t="b">
        <v>0</v>
      </c>
    </row>
    <row r="125" spans="1:11" ht="80" x14ac:dyDescent="0.2">
      <c r="A125" s="6" t="s">
        <v>2818</v>
      </c>
      <c r="B125" s="11" t="s">
        <v>2819</v>
      </c>
      <c r="C125" s="4" t="b">
        <v>1</v>
      </c>
      <c r="D125" s="4" t="b">
        <v>1</v>
      </c>
      <c r="E125" s="4" t="b">
        <v>1</v>
      </c>
      <c r="F125" s="4" t="s">
        <v>12</v>
      </c>
      <c r="G125" s="4" t="b">
        <v>1</v>
      </c>
      <c r="H125" s="4" t="s">
        <v>3390</v>
      </c>
      <c r="I125" s="4" t="b">
        <v>0</v>
      </c>
      <c r="J125" s="4" t="b">
        <v>1</v>
      </c>
      <c r="K125" s="4" t="b">
        <v>0</v>
      </c>
    </row>
    <row r="126" spans="1:11" ht="128" x14ac:dyDescent="0.2">
      <c r="A126" s="6" t="s">
        <v>2820</v>
      </c>
      <c r="B126" s="11" t="s">
        <v>2821</v>
      </c>
      <c r="C126" s="4" t="b">
        <v>1</v>
      </c>
      <c r="D126" s="4" t="b">
        <v>1</v>
      </c>
      <c r="E126" s="4" t="b">
        <v>1</v>
      </c>
      <c r="F126" s="4" t="s">
        <v>12</v>
      </c>
      <c r="G126" s="4" t="b">
        <v>1</v>
      </c>
      <c r="H126" s="4" t="s">
        <v>2914</v>
      </c>
      <c r="I126" s="4" t="b">
        <v>0</v>
      </c>
      <c r="J126" s="4" t="b">
        <v>1</v>
      </c>
      <c r="K126" s="4" t="b">
        <v>0</v>
      </c>
    </row>
    <row r="127" spans="1:11" ht="32" x14ac:dyDescent="0.2">
      <c r="A127" s="6" t="s">
        <v>2824</v>
      </c>
      <c r="B127" s="11" t="s">
        <v>2825</v>
      </c>
      <c r="C127" s="4" t="b">
        <v>1</v>
      </c>
      <c r="D127" s="4" t="b">
        <v>1</v>
      </c>
      <c r="E127" s="4" t="b">
        <v>1</v>
      </c>
      <c r="F127" s="4" t="s">
        <v>12</v>
      </c>
      <c r="G127" s="4" t="b">
        <v>1</v>
      </c>
      <c r="H127" s="4" t="s">
        <v>2913</v>
      </c>
      <c r="I127" s="4" t="b">
        <v>1</v>
      </c>
      <c r="J127" s="4" t="b">
        <v>1</v>
      </c>
      <c r="K127" s="4" t="b">
        <v>0</v>
      </c>
    </row>
    <row r="128" spans="1:11" ht="112" x14ac:dyDescent="0.2">
      <c r="A128" s="6" t="s">
        <v>2828</v>
      </c>
      <c r="B128" s="11" t="s">
        <v>2829</v>
      </c>
      <c r="C128" s="4" t="b">
        <v>1</v>
      </c>
      <c r="D128" s="4" t="b">
        <v>1</v>
      </c>
      <c r="E128" s="4" t="b">
        <v>1</v>
      </c>
      <c r="F128" s="4" t="s">
        <v>12</v>
      </c>
      <c r="G128" s="4" t="b">
        <v>1</v>
      </c>
      <c r="H128" s="4" t="s">
        <v>2911</v>
      </c>
      <c r="I128" s="4" t="b">
        <v>1</v>
      </c>
      <c r="J128" s="4" t="b">
        <v>0</v>
      </c>
      <c r="K128" s="4" t="b">
        <v>0</v>
      </c>
    </row>
    <row r="129" spans="7:12" x14ac:dyDescent="0.2">
      <c r="G129">
        <f>COUNTIF(G2:G128, TRUE)</f>
        <v>127</v>
      </c>
    </row>
    <row r="130" spans="7:12" x14ac:dyDescent="0.2">
      <c r="I130" s="17" t="s">
        <v>3214</v>
      </c>
      <c r="J130" s="17" t="s">
        <v>3215</v>
      </c>
      <c r="K130" s="3" t="s">
        <v>3205</v>
      </c>
      <c r="L130" s="17"/>
    </row>
    <row r="131" spans="7:12" x14ac:dyDescent="0.2">
      <c r="I131" s="17">
        <f>COUNTIF(I2:I127, TRUE)</f>
        <v>54</v>
      </c>
      <c r="J131" s="17">
        <f t="shared" ref="J131:L131" si="0">COUNTIF(J2:J127, TRUE)</f>
        <v>90</v>
      </c>
      <c r="K131" s="17">
        <f t="shared" si="0"/>
        <v>34</v>
      </c>
      <c r="L131" s="17">
        <f t="shared" si="0"/>
        <v>0</v>
      </c>
    </row>
    <row r="132" spans="7:12" x14ac:dyDescent="0.2">
      <c r="I132" s="17">
        <f>I131/127</f>
        <v>0.42519685039370081</v>
      </c>
      <c r="J132" s="17">
        <f t="shared" ref="J132:L132" si="1">J131/127</f>
        <v>0.70866141732283461</v>
      </c>
      <c r="K132" s="17">
        <f t="shared" si="1"/>
        <v>0.26771653543307089</v>
      </c>
      <c r="L132" s="17">
        <f t="shared" si="1"/>
        <v>0</v>
      </c>
    </row>
  </sheetData>
  <dataValidations count="1">
    <dataValidation type="list" allowBlank="1" showInputMessage="1" showErrorMessage="1" sqref="I2:K128" xr:uid="{C93A3E3B-CF7C-D24F-A8DC-8F713F2C5A5A}">
      <formula1>"TRUE, FALSE"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432C7-6122-2B42-98DA-8C90490586EF}">
  <dimension ref="A1:O100"/>
  <sheetViews>
    <sheetView topLeftCell="A91" workbookViewId="0">
      <selection activeCell="H98" sqref="H98"/>
    </sheetView>
  </sheetViews>
  <sheetFormatPr baseColWidth="10" defaultRowHeight="15" x14ac:dyDescent="0.2"/>
  <cols>
    <col min="1" max="1" width="24.6640625" customWidth="1"/>
    <col min="2" max="2" width="27.1640625" customWidth="1"/>
    <col min="8" max="8" width="29.83203125" customWidth="1"/>
    <col min="12" max="13" width="10.83203125" style="17"/>
    <col min="15" max="15" width="10.83203125" style="17"/>
  </cols>
  <sheetData>
    <row r="1" spans="1:15" ht="48" x14ac:dyDescent="0.2">
      <c r="A1" s="2" t="s">
        <v>0</v>
      </c>
      <c r="B1" s="2" t="s">
        <v>1</v>
      </c>
      <c r="C1" s="2" t="s">
        <v>2</v>
      </c>
      <c r="D1" s="2" t="s">
        <v>3</v>
      </c>
      <c r="E1" s="2" t="s">
        <v>4</v>
      </c>
      <c r="F1" s="2" t="s">
        <v>5</v>
      </c>
      <c r="G1" s="2" t="s">
        <v>6</v>
      </c>
      <c r="H1" s="2" t="s">
        <v>7</v>
      </c>
      <c r="I1" s="2" t="s">
        <v>8</v>
      </c>
      <c r="J1" s="2" t="s">
        <v>9</v>
      </c>
      <c r="K1" s="10" t="s">
        <v>2991</v>
      </c>
      <c r="L1" s="10" t="s">
        <v>3187</v>
      </c>
      <c r="M1" s="10" t="s">
        <v>3188</v>
      </c>
      <c r="N1" s="10" t="s">
        <v>3205</v>
      </c>
      <c r="O1" s="10" t="s">
        <v>3198</v>
      </c>
    </row>
    <row r="2" spans="1:15" ht="128" x14ac:dyDescent="0.2">
      <c r="A2" s="4" t="s">
        <v>10</v>
      </c>
      <c r="B2" s="4" t="s">
        <v>11</v>
      </c>
      <c r="C2" s="4" t="b">
        <v>1</v>
      </c>
      <c r="D2" s="4" t="b">
        <v>1</v>
      </c>
      <c r="E2" s="4" t="b">
        <v>1</v>
      </c>
      <c r="F2" s="4" t="s">
        <v>12</v>
      </c>
      <c r="G2" s="4" t="b">
        <v>1</v>
      </c>
      <c r="H2" s="4" t="s">
        <v>3189</v>
      </c>
      <c r="I2" s="4"/>
      <c r="J2" s="4" t="s">
        <v>14</v>
      </c>
      <c r="K2" s="4"/>
      <c r="L2" s="4" t="b">
        <v>0</v>
      </c>
      <c r="M2" s="17" t="b">
        <v>1</v>
      </c>
      <c r="N2" s="3" t="s">
        <v>3206</v>
      </c>
    </row>
    <row r="3" spans="1:15" ht="128" x14ac:dyDescent="0.2">
      <c r="A3" s="4" t="s">
        <v>23</v>
      </c>
      <c r="B3" s="4" t="s">
        <v>24</v>
      </c>
      <c r="C3" s="4" t="b">
        <v>1</v>
      </c>
      <c r="D3" s="4" t="b">
        <v>1</v>
      </c>
      <c r="E3" s="4" t="b">
        <v>1</v>
      </c>
      <c r="F3" s="4" t="s">
        <v>12</v>
      </c>
      <c r="G3" s="4" t="b">
        <v>1</v>
      </c>
      <c r="H3" s="4" t="s">
        <v>25</v>
      </c>
      <c r="I3" s="4"/>
      <c r="J3" s="4" t="s">
        <v>26</v>
      </c>
      <c r="K3" s="4"/>
      <c r="L3" s="17" t="b">
        <v>0</v>
      </c>
      <c r="M3" s="17" t="b">
        <v>1</v>
      </c>
      <c r="N3" s="3" t="s">
        <v>3206</v>
      </c>
    </row>
    <row r="4" spans="1:15" ht="409.6" x14ac:dyDescent="0.2">
      <c r="A4" s="4" t="s">
        <v>29</v>
      </c>
      <c r="B4" s="4" t="s">
        <v>30</v>
      </c>
      <c r="C4" s="4" t="b">
        <v>1</v>
      </c>
      <c r="D4" s="4" t="b">
        <v>1</v>
      </c>
      <c r="E4" s="4" t="b">
        <v>1</v>
      </c>
      <c r="F4" s="4" t="s">
        <v>12</v>
      </c>
      <c r="G4" s="4" t="b">
        <v>1</v>
      </c>
      <c r="H4" s="4" t="s">
        <v>2941</v>
      </c>
      <c r="I4" s="4" t="s">
        <v>31</v>
      </c>
      <c r="J4" s="4" t="s">
        <v>26</v>
      </c>
      <c r="K4" s="4"/>
      <c r="L4" s="17" t="b">
        <v>0</v>
      </c>
      <c r="M4" s="17" t="b">
        <v>1</v>
      </c>
      <c r="N4" s="3" t="s">
        <v>3206</v>
      </c>
    </row>
    <row r="5" spans="1:15" ht="48" x14ac:dyDescent="0.2">
      <c r="A5" s="4" t="s">
        <v>50</v>
      </c>
      <c r="B5" s="4" t="s">
        <v>51</v>
      </c>
      <c r="C5" s="4" t="b">
        <v>1</v>
      </c>
      <c r="D5" s="4" t="b">
        <v>1</v>
      </c>
      <c r="E5" s="4" t="b">
        <v>1</v>
      </c>
      <c r="F5" s="4" t="s">
        <v>12</v>
      </c>
      <c r="G5" s="4" t="b">
        <v>1</v>
      </c>
      <c r="H5" s="4" t="s">
        <v>52</v>
      </c>
      <c r="I5" s="4" t="s">
        <v>53</v>
      </c>
      <c r="J5" s="4" t="s">
        <v>26</v>
      </c>
      <c r="K5" s="4"/>
      <c r="L5" s="17" t="b">
        <v>0</v>
      </c>
      <c r="M5" s="17" t="b">
        <v>1</v>
      </c>
      <c r="N5" s="3" t="s">
        <v>3206</v>
      </c>
    </row>
    <row r="6" spans="1:15" ht="64" x14ac:dyDescent="0.2">
      <c r="A6" s="4" t="s">
        <v>54</v>
      </c>
      <c r="B6" s="4" t="s">
        <v>55</v>
      </c>
      <c r="C6" s="4" t="b">
        <v>0</v>
      </c>
      <c r="D6" s="4" t="b">
        <v>0</v>
      </c>
      <c r="E6" s="4" t="b">
        <v>1</v>
      </c>
      <c r="F6" s="4" t="s">
        <v>12</v>
      </c>
      <c r="G6" s="4" t="b">
        <v>1</v>
      </c>
      <c r="H6" s="4" t="s">
        <v>56</v>
      </c>
      <c r="I6" s="4"/>
      <c r="J6" s="4" t="s">
        <v>26</v>
      </c>
      <c r="K6" s="4"/>
      <c r="L6" s="17" t="b">
        <v>0</v>
      </c>
      <c r="M6" s="17" t="b">
        <v>0</v>
      </c>
      <c r="N6" s="3" t="s">
        <v>3206</v>
      </c>
    </row>
    <row r="7" spans="1:15" ht="192" x14ac:dyDescent="0.2">
      <c r="A7" s="4" t="s">
        <v>60</v>
      </c>
      <c r="B7" s="4" t="s">
        <v>61</v>
      </c>
      <c r="C7" s="4" t="b">
        <v>1</v>
      </c>
      <c r="D7" s="4" t="b">
        <v>1</v>
      </c>
      <c r="E7" s="4" t="b">
        <v>1</v>
      </c>
      <c r="F7" s="4" t="s">
        <v>12</v>
      </c>
      <c r="G7" s="4" t="b">
        <v>1</v>
      </c>
      <c r="H7" s="4" t="s">
        <v>62</v>
      </c>
      <c r="I7" s="4"/>
      <c r="J7" s="4" t="s">
        <v>26</v>
      </c>
      <c r="K7" s="4"/>
      <c r="L7" s="17" t="b">
        <v>0</v>
      </c>
      <c r="M7" s="17" t="b">
        <v>1</v>
      </c>
      <c r="N7" s="3" t="s">
        <v>3206</v>
      </c>
    </row>
    <row r="8" spans="1:15" ht="64" x14ac:dyDescent="0.2">
      <c r="A8" s="4" t="s">
        <v>85</v>
      </c>
      <c r="B8" s="4" t="s">
        <v>86</v>
      </c>
      <c r="C8" s="4" t="b">
        <v>1</v>
      </c>
      <c r="D8" s="4" t="b">
        <v>1</v>
      </c>
      <c r="E8" s="4" t="b">
        <v>1</v>
      </c>
      <c r="F8" s="4" t="s">
        <v>12</v>
      </c>
      <c r="G8" s="4" t="b">
        <v>1</v>
      </c>
      <c r="H8" s="4" t="s">
        <v>87</v>
      </c>
      <c r="I8" s="4"/>
      <c r="J8" s="4" t="s">
        <v>26</v>
      </c>
      <c r="K8" s="4"/>
      <c r="L8" s="17" t="b">
        <v>1</v>
      </c>
      <c r="M8" s="17" t="b">
        <v>0</v>
      </c>
      <c r="N8" s="3" t="s">
        <v>3206</v>
      </c>
    </row>
    <row r="9" spans="1:15" ht="96" x14ac:dyDescent="0.2">
      <c r="A9" s="4" t="s">
        <v>416</v>
      </c>
      <c r="B9" s="4" t="s">
        <v>417</v>
      </c>
      <c r="C9" s="4" t="b">
        <v>1</v>
      </c>
      <c r="D9" s="4" t="b">
        <v>1</v>
      </c>
      <c r="E9" s="4" t="b">
        <v>1</v>
      </c>
      <c r="F9" s="4" t="s">
        <v>12</v>
      </c>
      <c r="G9" s="4" t="b">
        <v>1</v>
      </c>
      <c r="H9" s="4" t="s">
        <v>3190</v>
      </c>
      <c r="I9" s="4"/>
      <c r="J9" s="4" t="s">
        <v>94</v>
      </c>
      <c r="K9" s="4"/>
      <c r="L9" s="17" t="b">
        <v>0</v>
      </c>
      <c r="M9" s="17" t="b">
        <v>1</v>
      </c>
      <c r="N9" s="3" t="s">
        <v>3206</v>
      </c>
    </row>
    <row r="10" spans="1:15" ht="192" x14ac:dyDescent="0.2">
      <c r="A10" s="4" t="s">
        <v>424</v>
      </c>
      <c r="B10" s="4" t="s">
        <v>425</v>
      </c>
      <c r="C10" s="4" t="b">
        <v>1</v>
      </c>
      <c r="D10" s="4" t="b">
        <v>1</v>
      </c>
      <c r="E10" s="4" t="b">
        <v>1</v>
      </c>
      <c r="F10" s="4" t="s">
        <v>12</v>
      </c>
      <c r="G10" s="4" t="b">
        <v>1</v>
      </c>
      <c r="H10" s="4" t="s">
        <v>3191</v>
      </c>
      <c r="I10" s="4"/>
      <c r="J10" s="4" t="s">
        <v>94</v>
      </c>
      <c r="K10" s="4"/>
      <c r="L10" s="17" t="b">
        <v>0</v>
      </c>
      <c r="M10" s="17" t="b">
        <v>1</v>
      </c>
      <c r="N10" s="3" t="s">
        <v>3206</v>
      </c>
    </row>
    <row r="11" spans="1:15" ht="144" x14ac:dyDescent="0.2">
      <c r="A11" s="4" t="s">
        <v>430</v>
      </c>
      <c r="B11" s="4" t="s">
        <v>431</v>
      </c>
      <c r="C11" s="4" t="b">
        <v>1</v>
      </c>
      <c r="D11" s="4" t="b">
        <v>1</v>
      </c>
      <c r="E11" s="4" t="b">
        <v>1</v>
      </c>
      <c r="F11" s="4" t="s">
        <v>12</v>
      </c>
      <c r="G11" s="4" t="b">
        <v>1</v>
      </c>
      <c r="H11" s="4" t="s">
        <v>3192</v>
      </c>
      <c r="I11" s="4"/>
      <c r="J11" s="4" t="s">
        <v>94</v>
      </c>
      <c r="K11" s="4"/>
      <c r="L11" s="17" t="b">
        <v>1</v>
      </c>
      <c r="M11" s="17" t="b">
        <v>0</v>
      </c>
      <c r="N11" s="3" t="s">
        <v>3206</v>
      </c>
    </row>
    <row r="12" spans="1:15" ht="350" x14ac:dyDescent="0.2">
      <c r="A12" s="4" t="s">
        <v>448</v>
      </c>
      <c r="B12" s="4" t="s">
        <v>449</v>
      </c>
      <c r="C12" s="4" t="b">
        <v>1</v>
      </c>
      <c r="D12" s="4" t="b">
        <v>1</v>
      </c>
      <c r="E12" s="4" t="b">
        <v>1</v>
      </c>
      <c r="F12" s="4" t="s">
        <v>12</v>
      </c>
      <c r="G12" s="4" t="b">
        <v>1</v>
      </c>
      <c r="H12" s="4" t="s">
        <v>3193</v>
      </c>
      <c r="I12" s="4"/>
      <c r="J12" s="4" t="s">
        <v>94</v>
      </c>
      <c r="K12" s="4"/>
      <c r="L12" s="17" t="b">
        <v>0</v>
      </c>
      <c r="M12" s="17" t="b">
        <v>1</v>
      </c>
      <c r="N12" s="3" t="s">
        <v>3206</v>
      </c>
    </row>
    <row r="13" spans="1:15" ht="208" x14ac:dyDescent="0.2">
      <c r="A13" s="4" t="s">
        <v>450</v>
      </c>
      <c r="B13" s="4" t="s">
        <v>451</v>
      </c>
      <c r="C13" s="4" t="b">
        <v>1</v>
      </c>
      <c r="D13" s="4" t="b">
        <v>1</v>
      </c>
      <c r="E13" s="4" t="b">
        <v>1</v>
      </c>
      <c r="F13" s="4" t="s">
        <v>12</v>
      </c>
      <c r="G13" s="4" t="b">
        <v>1</v>
      </c>
      <c r="H13" s="4" t="s">
        <v>2884</v>
      </c>
      <c r="I13" s="4"/>
      <c r="J13" s="4" t="s">
        <v>94</v>
      </c>
      <c r="K13" s="4"/>
      <c r="L13" s="17" t="b">
        <v>1</v>
      </c>
      <c r="M13" s="17" t="b">
        <v>0</v>
      </c>
      <c r="N13" s="3" t="s">
        <v>3206</v>
      </c>
    </row>
    <row r="14" spans="1:15" ht="144" x14ac:dyDescent="0.2">
      <c r="A14" s="4" t="s">
        <v>456</v>
      </c>
      <c r="B14" s="4" t="s">
        <v>457</v>
      </c>
      <c r="C14" s="4" t="b">
        <v>1</v>
      </c>
      <c r="D14" s="4" t="b">
        <v>1</v>
      </c>
      <c r="E14" s="4" t="b">
        <v>1</v>
      </c>
      <c r="F14" s="4" t="s">
        <v>12</v>
      </c>
      <c r="G14" s="4" t="b">
        <v>1</v>
      </c>
      <c r="H14" s="4" t="s">
        <v>3194</v>
      </c>
      <c r="I14" s="4"/>
      <c r="J14" s="4" t="s">
        <v>94</v>
      </c>
      <c r="K14" s="4"/>
      <c r="L14" s="17" t="b">
        <v>1</v>
      </c>
      <c r="M14" s="17" t="b">
        <v>0</v>
      </c>
      <c r="N14" s="3" t="s">
        <v>3206</v>
      </c>
    </row>
    <row r="15" spans="1:15" ht="48" x14ac:dyDescent="0.2">
      <c r="A15" s="4" t="s">
        <v>521</v>
      </c>
      <c r="B15" s="4" t="s">
        <v>522</v>
      </c>
      <c r="C15" s="4" t="b">
        <v>1</v>
      </c>
      <c r="D15" s="4" t="b">
        <v>1</v>
      </c>
      <c r="E15" s="4" t="b">
        <v>1</v>
      </c>
      <c r="F15" s="4" t="s">
        <v>12</v>
      </c>
      <c r="G15" s="4" t="b">
        <v>1</v>
      </c>
      <c r="H15" s="4" t="s">
        <v>2894</v>
      </c>
      <c r="I15" s="4"/>
      <c r="J15" s="4" t="s">
        <v>94</v>
      </c>
      <c r="K15" s="4"/>
      <c r="L15" s="17" t="b">
        <v>1</v>
      </c>
      <c r="M15" s="17" t="b">
        <v>0</v>
      </c>
      <c r="N15" s="3" t="s">
        <v>3206</v>
      </c>
    </row>
    <row r="16" spans="1:15" ht="176" x14ac:dyDescent="0.2">
      <c r="A16" s="4" t="s">
        <v>531</v>
      </c>
      <c r="B16" s="4" t="s">
        <v>532</v>
      </c>
      <c r="C16" s="4" t="b">
        <v>1</v>
      </c>
      <c r="D16" s="4" t="b">
        <v>1</v>
      </c>
      <c r="E16" s="4" t="b">
        <v>1</v>
      </c>
      <c r="F16" s="4" t="s">
        <v>12</v>
      </c>
      <c r="G16" s="4" t="b">
        <v>1</v>
      </c>
      <c r="H16" s="4" t="s">
        <v>2897</v>
      </c>
      <c r="I16" s="4"/>
      <c r="J16" s="4" t="s">
        <v>94</v>
      </c>
      <c r="K16" s="4"/>
      <c r="L16" s="17" t="b">
        <v>1</v>
      </c>
      <c r="M16" s="17" t="b">
        <v>0</v>
      </c>
      <c r="N16" s="3" t="s">
        <v>3206</v>
      </c>
    </row>
    <row r="17" spans="1:15" ht="320" x14ac:dyDescent="0.2">
      <c r="A17" s="4" t="s">
        <v>533</v>
      </c>
      <c r="B17" s="4" t="s">
        <v>534</v>
      </c>
      <c r="C17" s="4" t="b">
        <v>1</v>
      </c>
      <c r="D17" s="4" t="b">
        <v>1</v>
      </c>
      <c r="E17" s="4" t="b">
        <v>1</v>
      </c>
      <c r="F17" s="4" t="s">
        <v>12</v>
      </c>
      <c r="G17" s="4" t="b">
        <v>1</v>
      </c>
      <c r="H17" s="4" t="s">
        <v>3195</v>
      </c>
      <c r="I17" s="4"/>
      <c r="J17" s="4" t="s">
        <v>94</v>
      </c>
      <c r="K17" s="4"/>
      <c r="L17" s="17" t="b">
        <v>0</v>
      </c>
      <c r="M17" s="17" t="b">
        <v>0</v>
      </c>
      <c r="N17" s="3" t="s">
        <v>3206</v>
      </c>
      <c r="O17" s="17" t="s">
        <v>3199</v>
      </c>
    </row>
    <row r="18" spans="1:15" ht="96" x14ac:dyDescent="0.2">
      <c r="A18" s="4" t="s">
        <v>609</v>
      </c>
      <c r="B18" s="4" t="s">
        <v>610</v>
      </c>
      <c r="C18" s="4" t="b">
        <v>1</v>
      </c>
      <c r="D18" s="4" t="b">
        <v>1</v>
      </c>
      <c r="E18" s="4" t="b">
        <v>1</v>
      </c>
      <c r="F18" s="4" t="s">
        <v>12</v>
      </c>
      <c r="G18" s="4" t="b">
        <v>1</v>
      </c>
      <c r="H18" s="4" t="s">
        <v>2942</v>
      </c>
      <c r="I18" s="4"/>
      <c r="J18" s="4" t="s">
        <v>20</v>
      </c>
      <c r="K18" s="4"/>
      <c r="L18" s="17" t="b">
        <v>0</v>
      </c>
      <c r="M18" s="17" t="b">
        <v>1</v>
      </c>
      <c r="N18" s="3" t="s">
        <v>3206</v>
      </c>
    </row>
    <row r="19" spans="1:15" ht="96" x14ac:dyDescent="0.2">
      <c r="A19" s="4" t="s">
        <v>636</v>
      </c>
      <c r="B19" s="4" t="s">
        <v>637</v>
      </c>
      <c r="C19" s="4" t="b">
        <v>1</v>
      </c>
      <c r="D19" s="4" t="b">
        <v>1</v>
      </c>
      <c r="E19" s="4" t="b">
        <v>1</v>
      </c>
      <c r="F19" s="4" t="s">
        <v>12</v>
      </c>
      <c r="G19" s="4" t="b">
        <v>1</v>
      </c>
      <c r="H19" s="4" t="s">
        <v>3196</v>
      </c>
      <c r="I19" s="4"/>
      <c r="J19" s="4" t="s">
        <v>621</v>
      </c>
      <c r="K19" s="4"/>
      <c r="L19" s="17" t="b">
        <v>1</v>
      </c>
      <c r="M19" s="17" t="b">
        <v>0</v>
      </c>
      <c r="N19" s="3" t="s">
        <v>3206</v>
      </c>
    </row>
    <row r="20" spans="1:15" ht="80" x14ac:dyDescent="0.2">
      <c r="A20" s="4" t="s">
        <v>650</v>
      </c>
      <c r="B20" s="4" t="s">
        <v>651</v>
      </c>
      <c r="C20" s="4" t="b">
        <v>1</v>
      </c>
      <c r="D20" s="4" t="b">
        <v>1</v>
      </c>
      <c r="E20" s="4" t="b">
        <v>1</v>
      </c>
      <c r="F20" s="4" t="s">
        <v>12</v>
      </c>
      <c r="G20" s="4" t="b">
        <v>1</v>
      </c>
      <c r="H20" s="4" t="s">
        <v>2949</v>
      </c>
      <c r="I20" s="4"/>
      <c r="J20" s="4" t="s">
        <v>621</v>
      </c>
      <c r="K20" s="4"/>
      <c r="L20" s="17" t="b">
        <v>1</v>
      </c>
      <c r="M20" s="17" t="b">
        <v>0</v>
      </c>
      <c r="N20" s="3" t="s">
        <v>3206</v>
      </c>
    </row>
    <row r="21" spans="1:15" ht="240" x14ac:dyDescent="0.2">
      <c r="A21" s="4" t="s">
        <v>702</v>
      </c>
      <c r="B21" s="4" t="s">
        <v>703</v>
      </c>
      <c r="C21" s="4" t="b">
        <v>1</v>
      </c>
      <c r="D21" s="4" t="b">
        <v>1</v>
      </c>
      <c r="E21" s="4" t="b">
        <v>1</v>
      </c>
      <c r="F21" s="4" t="s">
        <v>12</v>
      </c>
      <c r="G21" s="4" t="b">
        <v>1</v>
      </c>
      <c r="H21" s="4" t="s">
        <v>3134</v>
      </c>
      <c r="I21" s="4"/>
      <c r="J21" s="4" t="s">
        <v>621</v>
      </c>
      <c r="K21" s="4"/>
      <c r="L21" s="17" t="b">
        <v>1</v>
      </c>
      <c r="M21" s="17" t="b">
        <v>0</v>
      </c>
      <c r="N21" s="3" t="s">
        <v>3206</v>
      </c>
    </row>
    <row r="22" spans="1:15" ht="176" x14ac:dyDescent="0.2">
      <c r="A22" s="4" t="s">
        <v>720</v>
      </c>
      <c r="B22" s="4" t="s">
        <v>721</v>
      </c>
      <c r="C22" s="4" t="b">
        <v>1</v>
      </c>
      <c r="D22" s="4" t="b">
        <v>1</v>
      </c>
      <c r="E22" s="4" t="b">
        <v>1</v>
      </c>
      <c r="F22" s="4" t="s">
        <v>12</v>
      </c>
      <c r="G22" s="4" t="b">
        <v>1</v>
      </c>
      <c r="H22" s="4" t="s">
        <v>3197</v>
      </c>
      <c r="I22" s="4"/>
      <c r="J22" s="4" t="s">
        <v>621</v>
      </c>
      <c r="K22" s="4"/>
      <c r="L22" s="17" t="b">
        <v>1</v>
      </c>
      <c r="M22" s="17" t="b">
        <v>0</v>
      </c>
      <c r="N22" s="3" t="s">
        <v>3206</v>
      </c>
    </row>
    <row r="23" spans="1:15" ht="409.6" x14ac:dyDescent="0.2">
      <c r="A23" s="4" t="s">
        <v>736</v>
      </c>
      <c r="B23" s="4" t="s">
        <v>737</v>
      </c>
      <c r="C23" s="4" t="b">
        <v>1</v>
      </c>
      <c r="D23" s="4" t="b">
        <v>1</v>
      </c>
      <c r="E23" s="4" t="b">
        <v>1</v>
      </c>
      <c r="F23" s="4" t="s">
        <v>12</v>
      </c>
      <c r="G23" s="4" t="b">
        <v>1</v>
      </c>
      <c r="H23" s="4" t="s">
        <v>3184</v>
      </c>
      <c r="I23" s="4"/>
      <c r="J23" s="4" t="s">
        <v>621</v>
      </c>
      <c r="K23" s="4"/>
      <c r="L23" s="17" t="b">
        <v>0</v>
      </c>
      <c r="M23" s="17" t="b">
        <v>1</v>
      </c>
      <c r="N23" s="3" t="s">
        <v>3206</v>
      </c>
    </row>
    <row r="24" spans="1:15" ht="64" x14ac:dyDescent="0.2">
      <c r="A24" s="4" t="s">
        <v>758</v>
      </c>
      <c r="B24" s="4" t="s">
        <v>759</v>
      </c>
      <c r="C24" s="4" t="b">
        <v>1</v>
      </c>
      <c r="D24" s="4" t="b">
        <v>1</v>
      </c>
      <c r="E24" s="4" t="b">
        <v>1</v>
      </c>
      <c r="F24" s="4" t="s">
        <v>12</v>
      </c>
      <c r="G24" s="4" t="b">
        <v>1</v>
      </c>
      <c r="H24" s="4" t="s">
        <v>3124</v>
      </c>
      <c r="I24" s="4"/>
      <c r="J24" s="4" t="s">
        <v>621</v>
      </c>
      <c r="K24" s="4" t="s">
        <v>2998</v>
      </c>
      <c r="L24" s="17" t="b">
        <v>0</v>
      </c>
      <c r="M24" s="17" t="b">
        <v>1</v>
      </c>
      <c r="N24" s="3" t="s">
        <v>3206</v>
      </c>
    </row>
    <row r="25" spans="1:15" ht="48" x14ac:dyDescent="0.2">
      <c r="A25" s="4" t="s">
        <v>778</v>
      </c>
      <c r="B25" s="4" t="s">
        <v>779</v>
      </c>
      <c r="C25" s="4" t="b">
        <v>1</v>
      </c>
      <c r="D25" s="4" t="b">
        <v>1</v>
      </c>
      <c r="E25" s="4" t="b">
        <v>1</v>
      </c>
      <c r="F25" s="4" t="s">
        <v>12</v>
      </c>
      <c r="G25" s="4" t="b">
        <v>1</v>
      </c>
      <c r="H25" s="4" t="s">
        <v>780</v>
      </c>
      <c r="I25" s="4"/>
      <c r="J25" s="4" t="s">
        <v>14</v>
      </c>
      <c r="K25" s="4"/>
      <c r="L25" s="17" t="b">
        <v>0</v>
      </c>
      <c r="M25" s="17" t="b">
        <v>0</v>
      </c>
      <c r="N25" s="3" t="s">
        <v>3206</v>
      </c>
      <c r="O25" s="17" t="s">
        <v>3200</v>
      </c>
    </row>
    <row r="26" spans="1:15" ht="128" x14ac:dyDescent="0.2">
      <c r="A26" s="4" t="s">
        <v>795</v>
      </c>
      <c r="B26" s="4" t="s">
        <v>796</v>
      </c>
      <c r="C26" s="4" t="b">
        <v>1</v>
      </c>
      <c r="D26" s="4" t="b">
        <v>1</v>
      </c>
      <c r="E26" s="4" t="b">
        <v>1</v>
      </c>
      <c r="F26" s="4" t="s">
        <v>12</v>
      </c>
      <c r="G26" s="4" t="b">
        <v>1</v>
      </c>
      <c r="H26" s="4" t="s">
        <v>3178</v>
      </c>
      <c r="I26" s="4"/>
      <c r="J26" s="4" t="s">
        <v>26</v>
      </c>
      <c r="K26" s="4"/>
      <c r="L26" s="17" t="b">
        <v>0</v>
      </c>
      <c r="M26" s="17" t="b">
        <v>1</v>
      </c>
      <c r="N26" s="3" t="s">
        <v>3206</v>
      </c>
    </row>
    <row r="27" spans="1:15" ht="96" x14ac:dyDescent="0.2">
      <c r="A27" s="4" t="s">
        <v>801</v>
      </c>
      <c r="B27" s="4" t="s">
        <v>802</v>
      </c>
      <c r="C27" s="4" t="b">
        <v>1</v>
      </c>
      <c r="D27" s="4" t="b">
        <v>1</v>
      </c>
      <c r="E27" s="4" t="b">
        <v>1</v>
      </c>
      <c r="F27" s="4" t="s">
        <v>12</v>
      </c>
      <c r="G27" s="4" t="b">
        <v>1</v>
      </c>
      <c r="H27" s="4" t="s">
        <v>3177</v>
      </c>
      <c r="I27" s="4"/>
      <c r="J27" s="4" t="s">
        <v>26</v>
      </c>
      <c r="K27" s="4"/>
      <c r="L27" s="17" t="b">
        <v>1</v>
      </c>
      <c r="M27" s="17" t="b">
        <v>0</v>
      </c>
      <c r="N27" s="3" t="s">
        <v>3206</v>
      </c>
    </row>
    <row r="28" spans="1:15" ht="144" x14ac:dyDescent="0.2">
      <c r="A28" s="4" t="s">
        <v>821</v>
      </c>
      <c r="B28" s="4" t="s">
        <v>822</v>
      </c>
      <c r="C28" s="4" t="b">
        <v>1</v>
      </c>
      <c r="D28" s="4" t="b">
        <v>1</v>
      </c>
      <c r="E28" s="4" t="b">
        <v>1</v>
      </c>
      <c r="F28" s="4" t="s">
        <v>12</v>
      </c>
      <c r="G28" s="4" t="b">
        <v>1</v>
      </c>
      <c r="H28" s="4" t="s">
        <v>3185</v>
      </c>
      <c r="I28" s="4"/>
      <c r="J28" s="4" t="s">
        <v>26</v>
      </c>
      <c r="K28" s="4"/>
      <c r="L28" s="17" t="b">
        <v>1</v>
      </c>
      <c r="M28" s="17" t="b">
        <v>0</v>
      </c>
      <c r="N28" s="3" t="s">
        <v>3206</v>
      </c>
    </row>
    <row r="29" spans="1:15" ht="128" x14ac:dyDescent="0.2">
      <c r="A29" s="4" t="s">
        <v>825</v>
      </c>
      <c r="B29" s="4" t="s">
        <v>826</v>
      </c>
      <c r="C29" s="4" t="b">
        <v>1</v>
      </c>
      <c r="D29" s="4" t="b">
        <v>1</v>
      </c>
      <c r="E29" s="4" t="b">
        <v>1</v>
      </c>
      <c r="F29" s="4" t="s">
        <v>12</v>
      </c>
      <c r="G29" s="4" t="b">
        <v>1</v>
      </c>
      <c r="H29" s="4" t="s">
        <v>3201</v>
      </c>
      <c r="I29" s="4"/>
      <c r="J29" s="4" t="s">
        <v>26</v>
      </c>
      <c r="K29" s="4"/>
      <c r="L29" s="17" t="b">
        <v>0</v>
      </c>
      <c r="M29" s="17" t="b">
        <v>1</v>
      </c>
      <c r="N29" s="3" t="s">
        <v>3206</v>
      </c>
    </row>
    <row r="30" spans="1:15" ht="272" x14ac:dyDescent="0.2">
      <c r="A30" s="4" t="s">
        <v>855</v>
      </c>
      <c r="B30" s="4" t="s">
        <v>856</v>
      </c>
      <c r="C30" s="4" t="b">
        <v>1</v>
      </c>
      <c r="D30" s="4" t="b">
        <v>1</v>
      </c>
      <c r="E30" s="4" t="b">
        <v>1</v>
      </c>
      <c r="F30" s="4" t="s">
        <v>12</v>
      </c>
      <c r="G30" s="4" t="b">
        <v>1</v>
      </c>
      <c r="H30" s="4" t="s">
        <v>3171</v>
      </c>
      <c r="I30" s="4"/>
      <c r="J30" s="4" t="s">
        <v>20</v>
      </c>
      <c r="K30" s="4"/>
      <c r="L30" s="17" t="b">
        <v>0</v>
      </c>
      <c r="M30" s="17" t="b">
        <v>1</v>
      </c>
      <c r="N30" s="3" t="s">
        <v>3206</v>
      </c>
    </row>
    <row r="31" spans="1:15" ht="112" x14ac:dyDescent="0.2">
      <c r="A31" s="4" t="s">
        <v>859</v>
      </c>
      <c r="B31" s="4" t="s">
        <v>860</v>
      </c>
      <c r="C31" s="4" t="b">
        <v>1</v>
      </c>
      <c r="D31" s="4" t="b">
        <v>1</v>
      </c>
      <c r="E31" s="4" t="b">
        <v>1</v>
      </c>
      <c r="F31" s="4" t="s">
        <v>12</v>
      </c>
      <c r="G31" s="4" t="b">
        <v>1</v>
      </c>
      <c r="H31" s="4" t="s">
        <v>3170</v>
      </c>
      <c r="I31" s="4"/>
      <c r="J31" s="4" t="s">
        <v>20</v>
      </c>
      <c r="K31" s="4"/>
      <c r="L31" s="17" t="b">
        <v>1</v>
      </c>
      <c r="M31" s="17" t="b">
        <v>1</v>
      </c>
      <c r="N31" s="3" t="s">
        <v>3206</v>
      </c>
    </row>
    <row r="32" spans="1:15" ht="224" x14ac:dyDescent="0.2">
      <c r="A32" s="4" t="s">
        <v>919</v>
      </c>
      <c r="B32" s="4" t="s">
        <v>920</v>
      </c>
      <c r="C32" s="4" t="b">
        <v>1</v>
      </c>
      <c r="D32" s="4" t="b">
        <v>1</v>
      </c>
      <c r="E32" s="4" t="b">
        <v>1</v>
      </c>
      <c r="F32" s="4" t="s">
        <v>12</v>
      </c>
      <c r="G32" s="4" t="b">
        <v>1</v>
      </c>
      <c r="H32" s="4" t="s">
        <v>3202</v>
      </c>
      <c r="I32" s="4"/>
      <c r="J32" s="4" t="s">
        <v>20</v>
      </c>
      <c r="K32" s="4"/>
      <c r="L32" s="17" t="b">
        <v>0</v>
      </c>
      <c r="M32" s="17" t="b">
        <v>1</v>
      </c>
      <c r="N32" s="3" t="s">
        <v>3206</v>
      </c>
    </row>
    <row r="33" spans="1:14" ht="144" x14ac:dyDescent="0.2">
      <c r="A33" s="4" t="s">
        <v>1187</v>
      </c>
      <c r="B33" s="4" t="s">
        <v>1188</v>
      </c>
      <c r="C33" s="4" t="b">
        <v>1</v>
      </c>
      <c r="D33" s="4" t="b">
        <v>1</v>
      </c>
      <c r="E33" s="4" t="b">
        <v>1</v>
      </c>
      <c r="F33" s="4" t="s">
        <v>12</v>
      </c>
      <c r="G33" s="4" t="b">
        <v>1</v>
      </c>
      <c r="H33" s="4" t="s">
        <v>3160</v>
      </c>
      <c r="I33" s="4"/>
      <c r="J33" s="4" t="s">
        <v>94</v>
      </c>
      <c r="K33" s="4"/>
      <c r="L33" s="17" t="b">
        <v>0</v>
      </c>
      <c r="M33" s="17" t="b">
        <v>1</v>
      </c>
      <c r="N33" s="3" t="s">
        <v>3206</v>
      </c>
    </row>
    <row r="34" spans="1:14" ht="192" x14ac:dyDescent="0.2">
      <c r="A34" s="4" t="s">
        <v>1227</v>
      </c>
      <c r="B34" s="4" t="s">
        <v>1228</v>
      </c>
      <c r="C34" s="4" t="b">
        <v>1</v>
      </c>
      <c r="D34" s="4" t="b">
        <v>1</v>
      </c>
      <c r="E34" s="4" t="b">
        <v>1</v>
      </c>
      <c r="F34" s="4" t="s">
        <v>12</v>
      </c>
      <c r="G34" s="4" t="b">
        <v>1</v>
      </c>
      <c r="H34" s="4" t="s">
        <v>3153</v>
      </c>
      <c r="I34" s="4"/>
      <c r="J34" s="4" t="s">
        <v>94</v>
      </c>
      <c r="K34" s="4"/>
      <c r="L34" s="17" t="b">
        <v>0</v>
      </c>
      <c r="M34" s="17" t="b">
        <v>1</v>
      </c>
      <c r="N34" s="3" t="s">
        <v>3206</v>
      </c>
    </row>
    <row r="35" spans="1:14" ht="240" x14ac:dyDescent="0.2">
      <c r="A35" s="4" t="s">
        <v>1281</v>
      </c>
      <c r="B35" s="4" t="s">
        <v>1282</v>
      </c>
      <c r="C35" s="4" t="b">
        <v>1</v>
      </c>
      <c r="D35" s="4" t="b">
        <v>1</v>
      </c>
      <c r="E35" s="4" t="b">
        <v>1</v>
      </c>
      <c r="F35" s="4" t="s">
        <v>12</v>
      </c>
      <c r="G35" s="4" t="b">
        <v>1</v>
      </c>
      <c r="H35" s="4" t="s">
        <v>3158</v>
      </c>
      <c r="I35" s="4"/>
      <c r="J35" s="4" t="s">
        <v>94</v>
      </c>
      <c r="K35" s="4"/>
      <c r="L35" s="17" t="b">
        <v>0</v>
      </c>
      <c r="M35" s="17" t="b">
        <v>1</v>
      </c>
      <c r="N35" s="3" t="s">
        <v>3206</v>
      </c>
    </row>
    <row r="36" spans="1:14" ht="64" x14ac:dyDescent="0.2">
      <c r="A36" s="4" t="s">
        <v>1283</v>
      </c>
      <c r="B36" s="4" t="s">
        <v>1284</v>
      </c>
      <c r="C36" s="4" t="b">
        <v>1</v>
      </c>
      <c r="D36" s="4" t="b">
        <v>1</v>
      </c>
      <c r="E36" s="4" t="b">
        <v>1</v>
      </c>
      <c r="F36" s="4" t="s">
        <v>12</v>
      </c>
      <c r="G36" s="4" t="b">
        <v>1</v>
      </c>
      <c r="H36" s="4" t="s">
        <v>3147</v>
      </c>
      <c r="I36" s="4"/>
      <c r="J36" s="4" t="s">
        <v>94</v>
      </c>
      <c r="K36" s="4"/>
      <c r="L36" s="17" t="b">
        <v>1</v>
      </c>
      <c r="M36" s="17" t="b">
        <v>0</v>
      </c>
      <c r="N36" s="3" t="s">
        <v>3206</v>
      </c>
    </row>
    <row r="37" spans="1:14" ht="160" x14ac:dyDescent="0.2">
      <c r="A37" s="4" t="s">
        <v>1312</v>
      </c>
      <c r="B37" s="4" t="s">
        <v>1313</v>
      </c>
      <c r="C37" s="4" t="b">
        <v>1</v>
      </c>
      <c r="D37" s="4" t="b">
        <v>1</v>
      </c>
      <c r="E37" s="4" t="b">
        <v>1</v>
      </c>
      <c r="F37" s="4" t="s">
        <v>12</v>
      </c>
      <c r="G37" s="4" t="b">
        <v>1</v>
      </c>
      <c r="H37" s="4" t="s">
        <v>3096</v>
      </c>
      <c r="I37" s="4"/>
      <c r="J37" s="4" t="s">
        <v>1309</v>
      </c>
      <c r="K37" s="4"/>
      <c r="L37" s="17" t="b">
        <v>0</v>
      </c>
      <c r="M37" s="17" t="b">
        <v>1</v>
      </c>
      <c r="N37" s="3" t="s">
        <v>3206</v>
      </c>
    </row>
    <row r="38" spans="1:14" ht="96" x14ac:dyDescent="0.2">
      <c r="A38" s="4" t="s">
        <v>1322</v>
      </c>
      <c r="B38" s="4" t="s">
        <v>1323</v>
      </c>
      <c r="C38" s="4" t="b">
        <v>1</v>
      </c>
      <c r="D38" s="4" t="b">
        <v>1</v>
      </c>
      <c r="E38" s="4" t="b">
        <v>1</v>
      </c>
      <c r="F38" s="4" t="s">
        <v>12</v>
      </c>
      <c r="G38" s="4" t="b">
        <v>1</v>
      </c>
      <c r="H38" s="4" t="s">
        <v>3092</v>
      </c>
      <c r="I38" s="4"/>
      <c r="J38" s="4" t="s">
        <v>1309</v>
      </c>
      <c r="K38" s="4"/>
      <c r="L38" s="17" t="b">
        <v>1</v>
      </c>
      <c r="M38" s="17" t="b">
        <v>1</v>
      </c>
      <c r="N38" s="3" t="s">
        <v>3206</v>
      </c>
    </row>
    <row r="39" spans="1:14" ht="128" x14ac:dyDescent="0.2">
      <c r="A39" s="4" t="s">
        <v>1347</v>
      </c>
      <c r="B39" s="4" t="s">
        <v>1348</v>
      </c>
      <c r="C39" s="4" t="b">
        <v>1</v>
      </c>
      <c r="D39" s="4" t="b">
        <v>1</v>
      </c>
      <c r="E39" s="4" t="b">
        <v>1</v>
      </c>
      <c r="F39" s="4" t="s">
        <v>12</v>
      </c>
      <c r="G39" s="4" t="b">
        <v>1</v>
      </c>
      <c r="H39" s="4" t="s">
        <v>3089</v>
      </c>
      <c r="I39" s="4"/>
      <c r="J39" s="4" t="s">
        <v>621</v>
      </c>
      <c r="K39" s="4"/>
      <c r="L39" s="17" t="b">
        <v>1</v>
      </c>
      <c r="M39" s="17" t="b">
        <v>0</v>
      </c>
      <c r="N39" s="3" t="s">
        <v>3206</v>
      </c>
    </row>
    <row r="40" spans="1:14" ht="80" x14ac:dyDescent="0.2">
      <c r="A40" s="4" t="s">
        <v>1361</v>
      </c>
      <c r="B40" s="4" t="s">
        <v>1362</v>
      </c>
      <c r="C40" s="4" t="b">
        <v>1</v>
      </c>
      <c r="D40" s="4" t="b">
        <v>1</v>
      </c>
      <c r="E40" s="4" t="b">
        <v>1</v>
      </c>
      <c r="F40" s="4" t="s">
        <v>12</v>
      </c>
      <c r="G40" s="4" t="b">
        <v>1</v>
      </c>
      <c r="H40" s="4" t="s">
        <v>3203</v>
      </c>
      <c r="I40" s="4"/>
      <c r="J40" s="4" t="s">
        <v>621</v>
      </c>
      <c r="K40" s="4"/>
      <c r="L40" s="17" t="b">
        <v>0</v>
      </c>
      <c r="M40" s="17" t="b">
        <v>1</v>
      </c>
      <c r="N40" s="3" t="s">
        <v>3206</v>
      </c>
    </row>
    <row r="41" spans="1:14" ht="192" x14ac:dyDescent="0.2">
      <c r="A41" s="4" t="s">
        <v>1363</v>
      </c>
      <c r="B41" s="4" t="s">
        <v>1364</v>
      </c>
      <c r="C41" s="4" t="b">
        <v>1</v>
      </c>
      <c r="D41" s="4" t="b">
        <v>1</v>
      </c>
      <c r="E41" s="4" t="b">
        <v>1</v>
      </c>
      <c r="F41" s="4" t="s">
        <v>12</v>
      </c>
      <c r="G41" s="4" t="b">
        <v>1</v>
      </c>
      <c r="H41" s="4" t="s">
        <v>3204</v>
      </c>
      <c r="I41" s="4"/>
      <c r="J41" s="4" t="s">
        <v>621</v>
      </c>
      <c r="K41" s="4"/>
      <c r="L41" s="17" t="b">
        <v>0</v>
      </c>
      <c r="M41" s="17" t="b">
        <v>1</v>
      </c>
      <c r="N41" s="3" t="s">
        <v>3206</v>
      </c>
    </row>
    <row r="42" spans="1:14" ht="96" x14ac:dyDescent="0.2">
      <c r="A42" s="4" t="s">
        <v>1367</v>
      </c>
      <c r="B42" s="4" t="s">
        <v>1368</v>
      </c>
      <c r="C42" s="4" t="b">
        <v>1</v>
      </c>
      <c r="D42" s="4" t="b">
        <v>1</v>
      </c>
      <c r="E42" s="4" t="b">
        <v>1</v>
      </c>
      <c r="F42" s="4" t="s">
        <v>12</v>
      </c>
      <c r="G42" s="4" t="b">
        <v>1</v>
      </c>
      <c r="H42" s="4" t="s">
        <v>3085</v>
      </c>
      <c r="I42" s="4"/>
      <c r="J42" s="4" t="s">
        <v>621</v>
      </c>
      <c r="K42" s="4"/>
      <c r="L42" s="17" t="b">
        <v>0</v>
      </c>
      <c r="M42" s="17" t="b">
        <v>1</v>
      </c>
      <c r="N42" s="3" t="s">
        <v>3206</v>
      </c>
    </row>
    <row r="43" spans="1:14" ht="80" x14ac:dyDescent="0.2">
      <c r="A43" s="4" t="s">
        <v>1675</v>
      </c>
      <c r="B43" s="4" t="s">
        <v>1676</v>
      </c>
      <c r="C43" s="4" t="b">
        <v>1</v>
      </c>
      <c r="D43" s="4" t="b">
        <v>1</v>
      </c>
      <c r="E43" s="4" t="b">
        <v>1</v>
      </c>
      <c r="F43" s="4" t="s">
        <v>12</v>
      </c>
      <c r="G43" s="4" t="b">
        <v>1</v>
      </c>
      <c r="H43" s="4" t="s">
        <v>3118</v>
      </c>
      <c r="I43" s="4"/>
      <c r="J43" s="4" t="s">
        <v>94</v>
      </c>
      <c r="K43" s="4"/>
      <c r="L43" s="17" t="b">
        <v>1</v>
      </c>
      <c r="M43" s="17" t="b">
        <v>0</v>
      </c>
      <c r="N43" s="3" t="s">
        <v>3206</v>
      </c>
    </row>
    <row r="44" spans="1:14" ht="112" x14ac:dyDescent="0.2">
      <c r="A44" s="4" t="s">
        <v>1679</v>
      </c>
      <c r="B44" s="4" t="s">
        <v>1680</v>
      </c>
      <c r="C44" s="4" t="b">
        <v>1</v>
      </c>
      <c r="D44" s="4" t="b">
        <v>1</v>
      </c>
      <c r="E44" s="4" t="b">
        <v>1</v>
      </c>
      <c r="F44" s="4" t="s">
        <v>12</v>
      </c>
      <c r="G44" s="4" t="b">
        <v>1</v>
      </c>
      <c r="H44" s="4" t="s">
        <v>3117</v>
      </c>
      <c r="I44" s="4"/>
      <c r="J44" s="4" t="s">
        <v>94</v>
      </c>
      <c r="K44" s="4"/>
      <c r="L44" s="17" t="b">
        <v>0</v>
      </c>
      <c r="M44" s="17" t="b">
        <v>1</v>
      </c>
      <c r="N44" s="3" t="b">
        <v>1</v>
      </c>
    </row>
    <row r="45" spans="1:14" ht="96" x14ac:dyDescent="0.2">
      <c r="A45" s="4" t="s">
        <v>1733</v>
      </c>
      <c r="B45" s="4" t="s">
        <v>1734</v>
      </c>
      <c r="C45" s="4" t="b">
        <v>1</v>
      </c>
      <c r="D45" s="4" t="b">
        <v>1</v>
      </c>
      <c r="E45" s="4" t="b">
        <v>1</v>
      </c>
      <c r="F45" s="4" t="s">
        <v>12</v>
      </c>
      <c r="G45" s="4" t="b">
        <v>1</v>
      </c>
      <c r="H45" s="4" t="s">
        <v>3107</v>
      </c>
      <c r="I45" s="4"/>
      <c r="J45" s="4" t="s">
        <v>94</v>
      </c>
      <c r="K45" s="4"/>
      <c r="L45" s="17" t="b">
        <v>0</v>
      </c>
      <c r="M45" s="17" t="b">
        <v>1</v>
      </c>
      <c r="N45" s="3" t="s">
        <v>3206</v>
      </c>
    </row>
    <row r="46" spans="1:14" ht="240" x14ac:dyDescent="0.2">
      <c r="A46" s="4" t="s">
        <v>1739</v>
      </c>
      <c r="B46" s="4" t="s">
        <v>1740</v>
      </c>
      <c r="C46" s="4" t="b">
        <v>1</v>
      </c>
      <c r="D46" s="4" t="b">
        <v>1</v>
      </c>
      <c r="E46" s="4" t="b">
        <v>1</v>
      </c>
      <c r="F46" s="4" t="s">
        <v>12</v>
      </c>
      <c r="G46" s="4" t="b">
        <v>1</v>
      </c>
      <c r="H46" s="4" t="s">
        <v>3207</v>
      </c>
      <c r="I46" s="4"/>
      <c r="J46" s="4" t="s">
        <v>94</v>
      </c>
      <c r="K46" s="4"/>
      <c r="L46" s="17" t="b">
        <v>0</v>
      </c>
      <c r="M46" s="17" t="b">
        <v>1</v>
      </c>
      <c r="N46" s="3" t="s">
        <v>3206</v>
      </c>
    </row>
    <row r="47" spans="1:14" ht="208" x14ac:dyDescent="0.2">
      <c r="A47" s="4" t="s">
        <v>1761</v>
      </c>
      <c r="B47" s="4" t="s">
        <v>1762</v>
      </c>
      <c r="C47" s="4" t="b">
        <v>1</v>
      </c>
      <c r="D47" s="4" t="b">
        <v>1</v>
      </c>
      <c r="E47" s="4" t="b">
        <v>1</v>
      </c>
      <c r="F47" s="4" t="s">
        <v>12</v>
      </c>
      <c r="G47" s="4" t="b">
        <v>1</v>
      </c>
      <c r="H47" s="4" t="s">
        <v>3208</v>
      </c>
      <c r="I47" s="4"/>
      <c r="J47" s="4" t="s">
        <v>94</v>
      </c>
      <c r="K47" s="4"/>
      <c r="L47" s="17" t="b">
        <v>1</v>
      </c>
      <c r="M47" s="17" t="b">
        <v>1</v>
      </c>
      <c r="N47" s="3" t="b">
        <v>1</v>
      </c>
    </row>
    <row r="48" spans="1:14" ht="96" x14ac:dyDescent="0.2">
      <c r="A48" s="4" t="s">
        <v>1763</v>
      </c>
      <c r="B48" s="4" t="s">
        <v>1764</v>
      </c>
      <c r="C48" s="4" t="b">
        <v>1</v>
      </c>
      <c r="D48" s="4" t="b">
        <v>1</v>
      </c>
      <c r="E48" s="4" t="b">
        <v>1</v>
      </c>
      <c r="F48" s="4" t="s">
        <v>12</v>
      </c>
      <c r="G48" s="4" t="b">
        <v>1</v>
      </c>
      <c r="H48" s="4" t="s">
        <v>3072</v>
      </c>
      <c r="I48" s="4"/>
      <c r="J48" s="4" t="s">
        <v>94</v>
      </c>
      <c r="K48" s="4"/>
      <c r="L48" s="17" t="b">
        <v>1</v>
      </c>
      <c r="M48" s="17" t="b">
        <v>0</v>
      </c>
      <c r="N48" s="3" t="s">
        <v>3206</v>
      </c>
    </row>
    <row r="49" spans="1:15" ht="64" x14ac:dyDescent="0.2">
      <c r="A49" s="4" t="s">
        <v>1811</v>
      </c>
      <c r="B49" s="4" t="s">
        <v>1812</v>
      </c>
      <c r="C49" s="4" t="b">
        <v>1</v>
      </c>
      <c r="D49" s="4" t="b">
        <v>1</v>
      </c>
      <c r="E49" s="4" t="b">
        <v>1</v>
      </c>
      <c r="F49" s="4" t="s">
        <v>12</v>
      </c>
      <c r="G49" s="4" t="b">
        <v>1</v>
      </c>
      <c r="H49" s="4" t="s">
        <v>3066</v>
      </c>
      <c r="I49" s="4"/>
      <c r="J49" s="4" t="s">
        <v>1336</v>
      </c>
      <c r="K49" s="4"/>
      <c r="L49" s="17" t="b">
        <v>0</v>
      </c>
      <c r="M49" s="17" t="b">
        <v>1</v>
      </c>
      <c r="N49" s="3" t="s">
        <v>3206</v>
      </c>
    </row>
    <row r="50" spans="1:15" ht="144" x14ac:dyDescent="0.2">
      <c r="A50" s="4" t="s">
        <v>1881</v>
      </c>
      <c r="B50" s="4" t="s">
        <v>1882</v>
      </c>
      <c r="C50" s="4" t="b">
        <v>1</v>
      </c>
      <c r="D50" s="4" t="b">
        <v>1</v>
      </c>
      <c r="E50" s="4" t="b">
        <v>1</v>
      </c>
      <c r="F50" s="4" t="s">
        <v>12</v>
      </c>
      <c r="G50" s="4" t="b">
        <v>1</v>
      </c>
      <c r="H50" s="4" t="s">
        <v>3057</v>
      </c>
      <c r="I50" s="4"/>
      <c r="J50" s="4" t="s">
        <v>621</v>
      </c>
      <c r="K50" s="4"/>
      <c r="L50" s="17" t="b">
        <v>0</v>
      </c>
      <c r="M50" s="17" t="b">
        <v>1</v>
      </c>
      <c r="N50" s="3" t="s">
        <v>3206</v>
      </c>
    </row>
    <row r="51" spans="1:15" ht="96" x14ac:dyDescent="0.2">
      <c r="A51" s="4" t="s">
        <v>1883</v>
      </c>
      <c r="B51" s="4" t="s">
        <v>1884</v>
      </c>
      <c r="C51" s="4" t="b">
        <v>1</v>
      </c>
      <c r="D51" s="4" t="b">
        <v>1</v>
      </c>
      <c r="E51" s="4" t="b">
        <v>1</v>
      </c>
      <c r="F51" s="4" t="s">
        <v>12</v>
      </c>
      <c r="G51" s="4" t="b">
        <v>1</v>
      </c>
      <c r="H51" s="4" t="s">
        <v>3056</v>
      </c>
      <c r="I51" s="4"/>
      <c r="J51" s="4" t="s">
        <v>621</v>
      </c>
      <c r="K51" s="4"/>
      <c r="L51" s="17" t="b">
        <v>0</v>
      </c>
      <c r="M51" s="17" t="b">
        <v>1</v>
      </c>
      <c r="N51" s="3" t="s">
        <v>3206</v>
      </c>
    </row>
    <row r="52" spans="1:15" ht="128" x14ac:dyDescent="0.2">
      <c r="A52" s="4" t="s">
        <v>1891</v>
      </c>
      <c r="B52" s="4" t="s">
        <v>1892</v>
      </c>
      <c r="C52" s="4" t="b">
        <v>1</v>
      </c>
      <c r="D52" s="4" t="b">
        <v>1</v>
      </c>
      <c r="E52" s="4" t="b">
        <v>1</v>
      </c>
      <c r="F52" s="4" t="s">
        <v>12</v>
      </c>
      <c r="G52" s="4" t="b">
        <v>1</v>
      </c>
      <c r="H52" s="4" t="s">
        <v>3053</v>
      </c>
      <c r="I52" s="4"/>
      <c r="J52" s="4" t="s">
        <v>621</v>
      </c>
      <c r="K52" s="4"/>
      <c r="L52" s="17" t="b">
        <v>0</v>
      </c>
      <c r="M52" s="17" t="b">
        <v>1</v>
      </c>
      <c r="N52" s="3" t="b">
        <v>1</v>
      </c>
    </row>
    <row r="53" spans="1:15" ht="64" x14ac:dyDescent="0.2">
      <c r="A53" s="4" t="s">
        <v>1903</v>
      </c>
      <c r="B53" s="4" t="s">
        <v>1904</v>
      </c>
      <c r="C53" s="4" t="b">
        <v>1</v>
      </c>
      <c r="D53" s="4" t="b">
        <v>1</v>
      </c>
      <c r="E53" s="4" t="b">
        <v>1</v>
      </c>
      <c r="F53" s="4" t="s">
        <v>12</v>
      </c>
      <c r="G53" s="4" t="b">
        <v>1</v>
      </c>
      <c r="H53" s="4" t="s">
        <v>3051</v>
      </c>
      <c r="I53" s="4"/>
      <c r="J53" s="4" t="s">
        <v>621</v>
      </c>
      <c r="K53" s="4"/>
      <c r="L53" s="17" t="b">
        <v>1</v>
      </c>
      <c r="M53" s="17" t="b">
        <v>0</v>
      </c>
      <c r="N53" s="3" t="s">
        <v>3206</v>
      </c>
    </row>
    <row r="54" spans="1:15" ht="64" x14ac:dyDescent="0.2">
      <c r="A54" s="4" t="s">
        <v>1923</v>
      </c>
      <c r="B54" s="4" t="s">
        <v>1924</v>
      </c>
      <c r="C54" s="4" t="b">
        <v>1</v>
      </c>
      <c r="D54" s="4" t="b">
        <v>1</v>
      </c>
      <c r="E54" s="4" t="b">
        <v>1</v>
      </c>
      <c r="F54" s="4" t="s">
        <v>12</v>
      </c>
      <c r="G54" s="4" t="b">
        <v>1</v>
      </c>
      <c r="H54" s="4" t="s">
        <v>3050</v>
      </c>
      <c r="I54" s="4"/>
      <c r="J54" s="4" t="s">
        <v>621</v>
      </c>
      <c r="K54" s="4"/>
      <c r="L54" s="17" t="b">
        <v>1</v>
      </c>
      <c r="M54" s="17" t="b">
        <v>0</v>
      </c>
      <c r="N54" s="3" t="s">
        <v>3206</v>
      </c>
    </row>
    <row r="55" spans="1:15" ht="128" x14ac:dyDescent="0.2">
      <c r="A55" s="4" t="s">
        <v>1927</v>
      </c>
      <c r="B55" s="4" t="s">
        <v>1928</v>
      </c>
      <c r="C55" s="4" t="b">
        <v>1</v>
      </c>
      <c r="D55" s="4" t="b">
        <v>1</v>
      </c>
      <c r="E55" s="4" t="b">
        <v>1</v>
      </c>
      <c r="F55" s="4" t="s">
        <v>12</v>
      </c>
      <c r="G55" s="4" t="b">
        <v>1</v>
      </c>
      <c r="H55" s="4" t="s">
        <v>3209</v>
      </c>
      <c r="I55" s="4"/>
      <c r="J55" s="4" t="s">
        <v>621</v>
      </c>
      <c r="K55" s="4"/>
      <c r="L55" s="17" t="b">
        <v>0</v>
      </c>
      <c r="M55" s="17" t="b">
        <v>1</v>
      </c>
      <c r="N55" s="3" t="s">
        <v>3206</v>
      </c>
    </row>
    <row r="56" spans="1:15" ht="128" x14ac:dyDescent="0.2">
      <c r="A56" s="4" t="s">
        <v>1937</v>
      </c>
      <c r="B56" s="4" t="s">
        <v>1938</v>
      </c>
      <c r="C56" s="4" t="b">
        <v>1</v>
      </c>
      <c r="D56" s="4" t="b">
        <v>1</v>
      </c>
      <c r="E56" s="4" t="b">
        <v>1</v>
      </c>
      <c r="F56" s="4" t="s">
        <v>12</v>
      </c>
      <c r="G56" s="4" t="b">
        <v>1</v>
      </c>
      <c r="H56" s="4" t="s">
        <v>3049</v>
      </c>
      <c r="I56" s="4"/>
      <c r="J56" s="4" t="s">
        <v>621</v>
      </c>
      <c r="K56" s="4"/>
      <c r="L56" s="17" t="b">
        <v>0</v>
      </c>
      <c r="M56" s="17" t="b">
        <v>1</v>
      </c>
      <c r="N56" s="3" t="s">
        <v>3206</v>
      </c>
    </row>
    <row r="57" spans="1:15" ht="176" x14ac:dyDescent="0.2">
      <c r="A57" s="4" t="s">
        <v>1965</v>
      </c>
      <c r="B57" s="4" t="s">
        <v>1966</v>
      </c>
      <c r="C57" s="4" t="b">
        <v>1</v>
      </c>
      <c r="D57" s="4" t="b">
        <v>1</v>
      </c>
      <c r="E57" s="4" t="b">
        <v>1</v>
      </c>
      <c r="F57" s="4" t="s">
        <v>12</v>
      </c>
      <c r="G57" s="4" t="b">
        <v>1</v>
      </c>
      <c r="H57" s="4" t="s">
        <v>3043</v>
      </c>
      <c r="I57" s="4"/>
      <c r="J57" s="4" t="s">
        <v>14</v>
      </c>
      <c r="K57" s="4"/>
      <c r="L57" s="17" t="b">
        <v>0</v>
      </c>
      <c r="M57" s="17" t="b">
        <v>1</v>
      </c>
      <c r="N57" s="3" t="s">
        <v>3206</v>
      </c>
    </row>
    <row r="58" spans="1:15" ht="96" x14ac:dyDescent="0.2">
      <c r="A58" s="4" t="s">
        <v>1967</v>
      </c>
      <c r="B58" s="4" t="s">
        <v>1968</v>
      </c>
      <c r="C58" s="4" t="b">
        <v>1</v>
      </c>
      <c r="D58" s="4" t="b">
        <v>1</v>
      </c>
      <c r="E58" s="4" t="b">
        <v>1</v>
      </c>
      <c r="F58" s="4" t="s">
        <v>12</v>
      </c>
      <c r="G58" s="4" t="b">
        <v>1</v>
      </c>
      <c r="H58" s="4" t="s">
        <v>3042</v>
      </c>
      <c r="I58" s="4"/>
      <c r="J58" s="4" t="s">
        <v>26</v>
      </c>
      <c r="K58" s="4"/>
      <c r="L58" s="17" t="b">
        <v>1</v>
      </c>
      <c r="M58" s="17" t="b">
        <v>1</v>
      </c>
      <c r="N58" s="3" t="s">
        <v>3206</v>
      </c>
    </row>
    <row r="59" spans="1:15" ht="112" x14ac:dyDescent="0.2">
      <c r="A59" s="4" t="s">
        <v>1971</v>
      </c>
      <c r="B59" s="4" t="s">
        <v>1972</v>
      </c>
      <c r="C59" s="4" t="b">
        <v>1</v>
      </c>
      <c r="D59" s="4" t="b">
        <v>1</v>
      </c>
      <c r="E59" s="4" t="b">
        <v>1</v>
      </c>
      <c r="F59" s="4" t="s">
        <v>12</v>
      </c>
      <c r="G59" s="4" t="b">
        <v>1</v>
      </c>
      <c r="H59" s="4" t="s">
        <v>3039</v>
      </c>
      <c r="I59" s="4"/>
      <c r="J59" s="4" t="s">
        <v>26</v>
      </c>
      <c r="K59" s="4"/>
      <c r="L59" s="17" t="b">
        <v>0</v>
      </c>
      <c r="M59" s="17" t="b">
        <v>1</v>
      </c>
      <c r="N59" s="3" t="s">
        <v>3206</v>
      </c>
      <c r="O59" s="17" t="s">
        <v>3199</v>
      </c>
    </row>
    <row r="60" spans="1:15" ht="96" x14ac:dyDescent="0.2">
      <c r="A60" s="4" t="s">
        <v>2142</v>
      </c>
      <c r="B60" s="4" t="s">
        <v>2143</v>
      </c>
      <c r="C60" s="4" t="b">
        <v>1</v>
      </c>
      <c r="D60" s="4" t="b">
        <v>1</v>
      </c>
      <c r="E60" s="4" t="b">
        <v>1</v>
      </c>
      <c r="F60" s="4" t="s">
        <v>12</v>
      </c>
      <c r="G60" s="4" t="b">
        <v>1</v>
      </c>
      <c r="H60" s="4" t="s">
        <v>3032</v>
      </c>
      <c r="I60" s="4"/>
      <c r="J60" s="4" t="s">
        <v>94</v>
      </c>
      <c r="K60" s="4"/>
      <c r="L60" s="17" t="b">
        <v>1</v>
      </c>
      <c r="M60" s="17" t="b">
        <v>1</v>
      </c>
      <c r="N60" s="3" t="b">
        <v>1</v>
      </c>
    </row>
    <row r="61" spans="1:15" ht="64" x14ac:dyDescent="0.2">
      <c r="A61" s="4" t="s">
        <v>2148</v>
      </c>
      <c r="B61" s="4" t="s">
        <v>2149</v>
      </c>
      <c r="C61" s="4" t="b">
        <v>1</v>
      </c>
      <c r="D61" s="4" t="b">
        <v>1</v>
      </c>
      <c r="E61" s="4" t="b">
        <v>1</v>
      </c>
      <c r="F61" s="4" t="s">
        <v>12</v>
      </c>
      <c r="G61" s="4" t="b">
        <v>1</v>
      </c>
      <c r="H61" s="4" t="s">
        <v>3031</v>
      </c>
      <c r="I61" s="4"/>
      <c r="J61" s="4" t="s">
        <v>94</v>
      </c>
      <c r="K61" s="4"/>
      <c r="L61" s="17" t="b">
        <v>1</v>
      </c>
      <c r="M61" s="17" t="b">
        <v>1</v>
      </c>
      <c r="N61" s="3" t="b">
        <v>1</v>
      </c>
    </row>
    <row r="62" spans="1:15" ht="112" x14ac:dyDescent="0.2">
      <c r="A62" s="4" t="s">
        <v>2186</v>
      </c>
      <c r="B62" s="4" t="s">
        <v>2187</v>
      </c>
      <c r="C62" s="4" t="b">
        <v>1</v>
      </c>
      <c r="D62" s="4" t="b">
        <v>1</v>
      </c>
      <c r="E62" s="4" t="b">
        <v>1</v>
      </c>
      <c r="F62" s="4" t="s">
        <v>12</v>
      </c>
      <c r="G62" s="4" t="b">
        <v>1</v>
      </c>
      <c r="H62" s="4" t="s">
        <v>3025</v>
      </c>
      <c r="I62" s="4"/>
      <c r="J62" s="4" t="s">
        <v>94</v>
      </c>
      <c r="K62" s="4"/>
      <c r="L62" s="17" t="b">
        <v>1</v>
      </c>
      <c r="M62" s="17" t="b">
        <v>1</v>
      </c>
      <c r="N62" s="3" t="b">
        <v>1</v>
      </c>
    </row>
    <row r="63" spans="1:15" ht="48" x14ac:dyDescent="0.2">
      <c r="A63" s="4" t="s">
        <v>2190</v>
      </c>
      <c r="B63" s="4" t="s">
        <v>2191</v>
      </c>
      <c r="C63" s="4" t="b">
        <v>1</v>
      </c>
      <c r="D63" s="4" t="b">
        <v>1</v>
      </c>
      <c r="E63" s="4" t="b">
        <v>1</v>
      </c>
      <c r="F63" s="4" t="s">
        <v>12</v>
      </c>
      <c r="G63" s="4" t="b">
        <v>1</v>
      </c>
      <c r="H63" s="4" t="s">
        <v>3024</v>
      </c>
      <c r="I63" s="4"/>
      <c r="J63" s="4" t="s">
        <v>94</v>
      </c>
      <c r="K63" s="4"/>
      <c r="L63" s="17" t="b">
        <v>1</v>
      </c>
      <c r="M63" s="17" t="b">
        <v>1</v>
      </c>
      <c r="N63" s="3" t="s">
        <v>3206</v>
      </c>
    </row>
    <row r="64" spans="1:15" ht="32" x14ac:dyDescent="0.2">
      <c r="A64" s="4" t="s">
        <v>2196</v>
      </c>
      <c r="B64" s="4" t="s">
        <v>2197</v>
      </c>
      <c r="C64" s="4" t="b">
        <v>1</v>
      </c>
      <c r="D64" s="4" t="b">
        <v>1</v>
      </c>
      <c r="E64" s="4" t="b">
        <v>1</v>
      </c>
      <c r="F64" s="4" t="s">
        <v>12</v>
      </c>
      <c r="G64" s="4" t="b">
        <v>1</v>
      </c>
      <c r="H64" s="4" t="s">
        <v>3023</v>
      </c>
      <c r="I64" s="4"/>
      <c r="J64" s="4" t="s">
        <v>94</v>
      </c>
      <c r="K64" s="4"/>
      <c r="L64" s="17" t="b">
        <v>0</v>
      </c>
      <c r="M64" s="17" t="b">
        <v>1</v>
      </c>
      <c r="N64" s="3" t="s">
        <v>3206</v>
      </c>
    </row>
    <row r="65" spans="1:14" ht="112" x14ac:dyDescent="0.2">
      <c r="A65" s="4" t="s">
        <v>2208</v>
      </c>
      <c r="B65" s="4" t="s">
        <v>2209</v>
      </c>
      <c r="C65" s="4" t="b">
        <v>1</v>
      </c>
      <c r="D65" s="4" t="b">
        <v>1</v>
      </c>
      <c r="E65" s="4" t="b">
        <v>1</v>
      </c>
      <c r="F65" s="4" t="s">
        <v>12</v>
      </c>
      <c r="G65" s="4" t="b">
        <v>1</v>
      </c>
      <c r="H65" s="4" t="s">
        <v>3210</v>
      </c>
      <c r="I65" s="4"/>
      <c r="J65" s="4" t="s">
        <v>94</v>
      </c>
      <c r="K65" s="4"/>
      <c r="L65" s="17" t="b">
        <v>1</v>
      </c>
      <c r="M65" s="17" t="b">
        <v>0</v>
      </c>
      <c r="N65" s="3" t="s">
        <v>3206</v>
      </c>
    </row>
    <row r="66" spans="1:14" ht="96" x14ac:dyDescent="0.2">
      <c r="A66" s="4" t="s">
        <v>2268</v>
      </c>
      <c r="B66" s="4" t="s">
        <v>2269</v>
      </c>
      <c r="C66" s="4" t="b">
        <v>1</v>
      </c>
      <c r="D66" s="4" t="b">
        <v>1</v>
      </c>
      <c r="E66" s="4" t="b">
        <v>1</v>
      </c>
      <c r="F66" s="4" t="s">
        <v>12</v>
      </c>
      <c r="G66" s="4" t="b">
        <v>1</v>
      </c>
      <c r="H66" s="4" t="s">
        <v>3010</v>
      </c>
      <c r="I66" s="4"/>
      <c r="J66" s="4" t="s">
        <v>621</v>
      </c>
      <c r="K66" s="4"/>
      <c r="L66" s="17" t="b">
        <v>0</v>
      </c>
      <c r="M66" s="17" t="b">
        <v>1</v>
      </c>
      <c r="N66" s="3" t="b">
        <v>1</v>
      </c>
    </row>
    <row r="67" spans="1:14" ht="64" x14ac:dyDescent="0.2">
      <c r="A67" s="4" t="s">
        <v>2270</v>
      </c>
      <c r="B67" s="4" t="s">
        <v>2271</v>
      </c>
      <c r="C67" s="4" t="b">
        <v>1</v>
      </c>
      <c r="D67" s="4" t="b">
        <v>1</v>
      </c>
      <c r="E67" s="4" t="b">
        <v>1</v>
      </c>
      <c r="F67" s="4" t="s">
        <v>12</v>
      </c>
      <c r="G67" s="4" t="b">
        <v>1</v>
      </c>
      <c r="H67" s="4" t="s">
        <v>3009</v>
      </c>
      <c r="I67" s="4"/>
      <c r="J67" s="4" t="s">
        <v>621</v>
      </c>
      <c r="K67" s="4"/>
      <c r="L67" s="17" t="b">
        <v>0</v>
      </c>
      <c r="M67" s="17" t="b">
        <v>1</v>
      </c>
      <c r="N67" s="3" t="b">
        <v>1</v>
      </c>
    </row>
    <row r="68" spans="1:14" ht="32" x14ac:dyDescent="0.2">
      <c r="A68" s="4" t="s">
        <v>2286</v>
      </c>
      <c r="B68" s="4" t="s">
        <v>2287</v>
      </c>
      <c r="C68" s="4" t="b">
        <v>1</v>
      </c>
      <c r="D68" s="4" t="b">
        <v>1</v>
      </c>
      <c r="E68" s="4" t="b">
        <v>1</v>
      </c>
      <c r="F68" s="4" t="s">
        <v>12</v>
      </c>
      <c r="G68" s="4" t="b">
        <v>1</v>
      </c>
      <c r="H68" s="4" t="s">
        <v>3006</v>
      </c>
      <c r="I68" s="4"/>
      <c r="J68" s="4" t="s">
        <v>621</v>
      </c>
      <c r="K68" s="4"/>
      <c r="L68" s="17" t="b">
        <v>1</v>
      </c>
      <c r="M68" s="17" t="b">
        <v>0</v>
      </c>
      <c r="N68" s="3" t="b">
        <v>0</v>
      </c>
    </row>
    <row r="69" spans="1:14" ht="112" x14ac:dyDescent="0.2">
      <c r="A69" s="4" t="s">
        <v>2316</v>
      </c>
      <c r="B69" s="4" t="s">
        <v>2317</v>
      </c>
      <c r="C69" s="4" t="b">
        <v>1</v>
      </c>
      <c r="D69" s="4" t="b">
        <v>1</v>
      </c>
      <c r="E69" s="4" t="b">
        <v>1</v>
      </c>
      <c r="F69" s="4" t="s">
        <v>12</v>
      </c>
      <c r="G69" s="4" t="b">
        <v>1</v>
      </c>
      <c r="H69" s="4" t="s">
        <v>3001</v>
      </c>
      <c r="I69" s="4"/>
      <c r="J69" s="4" t="s">
        <v>621</v>
      </c>
      <c r="K69" s="4"/>
      <c r="L69" s="17" t="b">
        <v>0</v>
      </c>
      <c r="M69" s="17" t="b">
        <v>1</v>
      </c>
      <c r="N69" s="3" t="b">
        <v>1</v>
      </c>
    </row>
    <row r="70" spans="1:14" ht="112" x14ac:dyDescent="0.2">
      <c r="A70" s="4" t="s">
        <v>2322</v>
      </c>
      <c r="B70" s="4" t="s">
        <v>2323</v>
      </c>
      <c r="C70" s="4" t="b">
        <v>1</v>
      </c>
      <c r="D70" s="4" t="b">
        <v>1</v>
      </c>
      <c r="E70" s="4" t="b">
        <v>1</v>
      </c>
      <c r="F70" s="4" t="s">
        <v>12</v>
      </c>
      <c r="G70" s="4" t="b">
        <v>1</v>
      </c>
      <c r="H70" s="4" t="s">
        <v>3003</v>
      </c>
      <c r="I70" s="4"/>
      <c r="J70" s="4" t="s">
        <v>621</v>
      </c>
      <c r="K70" s="4"/>
      <c r="L70" s="17" t="b">
        <v>1</v>
      </c>
      <c r="M70" s="17" t="b">
        <v>0</v>
      </c>
      <c r="N70" s="3" t="s">
        <v>3206</v>
      </c>
    </row>
    <row r="71" spans="1:14" ht="80" x14ac:dyDescent="0.2">
      <c r="A71" s="4" t="s">
        <v>2324</v>
      </c>
      <c r="B71" s="4" t="s">
        <v>2325</v>
      </c>
      <c r="C71" s="4" t="b">
        <v>1</v>
      </c>
      <c r="D71" s="4" t="b">
        <v>1</v>
      </c>
      <c r="E71" s="4" t="b">
        <v>1</v>
      </c>
      <c r="F71" s="4" t="s">
        <v>12</v>
      </c>
      <c r="G71" s="4" t="b">
        <v>1</v>
      </c>
      <c r="H71" s="4" t="s">
        <v>3000</v>
      </c>
      <c r="I71" s="4"/>
      <c r="J71" s="4" t="s">
        <v>1451</v>
      </c>
      <c r="K71" s="4"/>
      <c r="L71" s="17" t="b">
        <v>1</v>
      </c>
      <c r="M71" s="17" t="b">
        <v>0</v>
      </c>
      <c r="N71" s="3" t="s">
        <v>3206</v>
      </c>
    </row>
    <row r="72" spans="1:14" ht="80" x14ac:dyDescent="0.2">
      <c r="A72" s="4" t="s">
        <v>2334</v>
      </c>
      <c r="B72" s="4" t="s">
        <v>2335</v>
      </c>
      <c r="C72" s="4" t="b">
        <v>1</v>
      </c>
      <c r="D72" s="4" t="b">
        <v>1</v>
      </c>
      <c r="E72" s="4" t="b">
        <v>1</v>
      </c>
      <c r="F72" s="4" t="s">
        <v>12</v>
      </c>
      <c r="G72" s="4" t="b">
        <v>1</v>
      </c>
      <c r="H72" s="4" t="s">
        <v>2997</v>
      </c>
      <c r="I72" s="4"/>
      <c r="J72" s="4" t="s">
        <v>14</v>
      </c>
      <c r="K72" s="4"/>
      <c r="L72" s="17" t="b">
        <v>1</v>
      </c>
      <c r="M72" s="17" t="b">
        <v>0</v>
      </c>
      <c r="N72" s="3" t="s">
        <v>3206</v>
      </c>
    </row>
    <row r="73" spans="1:14" ht="80" x14ac:dyDescent="0.2">
      <c r="A73" s="4" t="s">
        <v>2340</v>
      </c>
      <c r="B73" s="4" t="s">
        <v>2341</v>
      </c>
      <c r="C73" s="4" t="b">
        <v>1</v>
      </c>
      <c r="D73" s="4" t="b">
        <v>1</v>
      </c>
      <c r="E73" s="4" t="b">
        <v>1</v>
      </c>
      <c r="F73" s="4" t="s">
        <v>12</v>
      </c>
      <c r="G73" s="4" t="b">
        <v>1</v>
      </c>
      <c r="H73" s="4" t="s">
        <v>2995</v>
      </c>
      <c r="I73" s="4"/>
      <c r="J73" s="4" t="s">
        <v>14</v>
      </c>
      <c r="K73" s="4"/>
      <c r="L73" s="17" t="b">
        <v>0</v>
      </c>
      <c r="M73" s="17" t="b">
        <v>0</v>
      </c>
      <c r="N73" s="3" t="b">
        <v>1</v>
      </c>
    </row>
    <row r="74" spans="1:14" ht="160" x14ac:dyDescent="0.2">
      <c r="A74" s="4" t="s">
        <v>2366</v>
      </c>
      <c r="B74" s="4" t="s">
        <v>2367</v>
      </c>
      <c r="C74" s="4" t="b">
        <v>1</v>
      </c>
      <c r="D74" s="4" t="b">
        <v>1</v>
      </c>
      <c r="E74" s="4" t="b">
        <v>1</v>
      </c>
      <c r="F74" s="4" t="s">
        <v>12</v>
      </c>
      <c r="G74" s="4" t="b">
        <v>1</v>
      </c>
      <c r="H74" s="4" t="s">
        <v>2988</v>
      </c>
      <c r="I74" s="4"/>
      <c r="J74" s="4" t="s">
        <v>26</v>
      </c>
      <c r="K74" s="4"/>
      <c r="L74" s="17" t="b">
        <v>0</v>
      </c>
      <c r="M74" s="17" t="b">
        <v>0</v>
      </c>
      <c r="N74" s="3" t="b">
        <v>1</v>
      </c>
    </row>
    <row r="75" spans="1:14" ht="112" x14ac:dyDescent="0.2">
      <c r="A75" s="4" t="s">
        <v>2370</v>
      </c>
      <c r="B75" s="4" t="s">
        <v>2371</v>
      </c>
      <c r="C75" s="4" t="b">
        <v>1</v>
      </c>
      <c r="D75" s="4" t="b">
        <v>1</v>
      </c>
      <c r="E75" s="4" t="b">
        <v>1</v>
      </c>
      <c r="F75" s="4" t="s">
        <v>12</v>
      </c>
      <c r="G75" s="4" t="b">
        <v>1</v>
      </c>
      <c r="H75" s="4" t="s">
        <v>3211</v>
      </c>
      <c r="I75" s="4"/>
      <c r="J75" s="4" t="s">
        <v>26</v>
      </c>
      <c r="K75" s="4"/>
      <c r="L75" s="17" t="b">
        <v>0</v>
      </c>
      <c r="M75" s="17" t="b">
        <v>1</v>
      </c>
      <c r="N75" s="3" t="s">
        <v>3206</v>
      </c>
    </row>
    <row r="76" spans="1:14" ht="192" x14ac:dyDescent="0.2">
      <c r="A76" s="4" t="s">
        <v>2470</v>
      </c>
      <c r="B76" s="4" t="s">
        <v>2471</v>
      </c>
      <c r="C76" s="4" t="b">
        <v>1</v>
      </c>
      <c r="D76" s="4" t="b">
        <v>1</v>
      </c>
      <c r="E76" s="4" t="b">
        <v>1</v>
      </c>
      <c r="F76" s="4" t="s">
        <v>12</v>
      </c>
      <c r="G76" s="4" t="b">
        <v>1</v>
      </c>
      <c r="H76" s="4" t="s">
        <v>2980</v>
      </c>
      <c r="I76" s="4"/>
      <c r="J76" s="4" t="s">
        <v>94</v>
      </c>
      <c r="K76" s="4"/>
      <c r="L76" s="17" t="b">
        <v>1</v>
      </c>
      <c r="M76" s="17" t="b">
        <v>1</v>
      </c>
      <c r="N76" s="3" t="s">
        <v>3206</v>
      </c>
    </row>
    <row r="77" spans="1:14" ht="80" x14ac:dyDescent="0.2">
      <c r="A77" s="4" t="s">
        <v>2480</v>
      </c>
      <c r="B77" s="4" t="s">
        <v>2481</v>
      </c>
      <c r="C77" s="4" t="b">
        <v>1</v>
      </c>
      <c r="D77" s="4" t="b">
        <v>1</v>
      </c>
      <c r="E77" s="4" t="b">
        <v>1</v>
      </c>
      <c r="F77" s="4" t="s">
        <v>12</v>
      </c>
      <c r="G77" s="4" t="b">
        <v>1</v>
      </c>
      <c r="H77" s="4" t="s">
        <v>2977</v>
      </c>
      <c r="I77" s="4"/>
      <c r="J77" s="4" t="s">
        <v>94</v>
      </c>
      <c r="K77" s="4"/>
      <c r="L77" s="17" t="b">
        <v>1</v>
      </c>
      <c r="M77" s="17" t="b">
        <v>0</v>
      </c>
      <c r="N77" s="3" t="s">
        <v>3206</v>
      </c>
    </row>
    <row r="78" spans="1:14" ht="144" x14ac:dyDescent="0.2">
      <c r="A78" s="4" t="s">
        <v>2496</v>
      </c>
      <c r="B78" s="4" t="s">
        <v>2497</v>
      </c>
      <c r="C78" s="4" t="b">
        <v>1</v>
      </c>
      <c r="D78" s="4" t="b">
        <v>1</v>
      </c>
      <c r="E78" s="4" t="b">
        <v>1</v>
      </c>
      <c r="F78" s="4" t="s">
        <v>12</v>
      </c>
      <c r="G78" s="4" t="b">
        <v>1</v>
      </c>
      <c r="H78" s="4" t="s">
        <v>2974</v>
      </c>
      <c r="I78" s="4"/>
      <c r="J78" s="4" t="s">
        <v>94</v>
      </c>
      <c r="K78" s="4"/>
      <c r="L78" s="17" t="b">
        <v>1</v>
      </c>
      <c r="M78" s="17" t="b">
        <v>0</v>
      </c>
      <c r="N78" s="3" t="s">
        <v>3206</v>
      </c>
    </row>
    <row r="79" spans="1:14" ht="112" x14ac:dyDescent="0.2">
      <c r="A79" s="4" t="s">
        <v>2498</v>
      </c>
      <c r="B79" s="4" t="s">
        <v>2499</v>
      </c>
      <c r="C79" s="4" t="b">
        <v>1</v>
      </c>
      <c r="D79" s="4" t="b">
        <v>1</v>
      </c>
      <c r="E79" s="4" t="b">
        <v>1</v>
      </c>
      <c r="F79" s="4" t="s">
        <v>12</v>
      </c>
      <c r="G79" s="4" t="b">
        <v>1</v>
      </c>
      <c r="H79" s="4" t="s">
        <v>2973</v>
      </c>
      <c r="I79" s="4"/>
      <c r="J79" s="4" t="s">
        <v>94</v>
      </c>
      <c r="K79" s="4"/>
      <c r="L79" s="17" t="b">
        <v>0</v>
      </c>
      <c r="M79" s="17" t="b">
        <v>1</v>
      </c>
      <c r="N79" s="3" t="s">
        <v>3206</v>
      </c>
    </row>
    <row r="80" spans="1:14" ht="160" x14ac:dyDescent="0.2">
      <c r="A80" s="4" t="s">
        <v>2500</v>
      </c>
      <c r="B80" s="4" t="s">
        <v>2501</v>
      </c>
      <c r="C80" s="4" t="b">
        <v>1</v>
      </c>
      <c r="D80" s="4" t="b">
        <v>1</v>
      </c>
      <c r="E80" s="4" t="b">
        <v>1</v>
      </c>
      <c r="F80" s="4" t="s">
        <v>12</v>
      </c>
      <c r="G80" s="4" t="b">
        <v>1</v>
      </c>
      <c r="H80" s="4" t="s">
        <v>2972</v>
      </c>
      <c r="I80" s="4"/>
      <c r="J80" s="4" t="s">
        <v>94</v>
      </c>
      <c r="K80" s="4"/>
      <c r="L80" s="17" t="b">
        <v>1</v>
      </c>
      <c r="M80" s="17" t="b">
        <v>1</v>
      </c>
      <c r="N80" s="3" t="s">
        <v>3206</v>
      </c>
    </row>
    <row r="81" spans="1:14" ht="224" x14ac:dyDescent="0.2">
      <c r="A81" s="4" t="s">
        <v>2514</v>
      </c>
      <c r="B81" s="4" t="s">
        <v>2515</v>
      </c>
      <c r="C81" s="4" t="b">
        <v>1</v>
      </c>
      <c r="D81" s="4" t="b">
        <v>1</v>
      </c>
      <c r="E81" s="4" t="b">
        <v>1</v>
      </c>
      <c r="F81" s="4" t="s">
        <v>12</v>
      </c>
      <c r="G81" s="4" t="b">
        <v>1</v>
      </c>
      <c r="H81" s="4" t="s">
        <v>2970</v>
      </c>
      <c r="I81" s="4"/>
      <c r="J81" s="4" t="s">
        <v>94</v>
      </c>
      <c r="K81" s="4"/>
      <c r="L81" s="17" t="b">
        <v>1</v>
      </c>
      <c r="M81" s="17" t="b">
        <v>0</v>
      </c>
      <c r="N81" s="3" t="s">
        <v>3206</v>
      </c>
    </row>
    <row r="82" spans="1:14" ht="112" x14ac:dyDescent="0.2">
      <c r="A82" s="4" t="s">
        <v>2520</v>
      </c>
      <c r="B82" s="4" t="s">
        <v>2521</v>
      </c>
      <c r="C82" s="4" t="b">
        <v>1</v>
      </c>
      <c r="D82" s="4" t="b">
        <v>1</v>
      </c>
      <c r="E82" s="4" t="b">
        <v>1</v>
      </c>
      <c r="F82" s="4" t="s">
        <v>12</v>
      </c>
      <c r="G82" s="4" t="b">
        <v>1</v>
      </c>
      <c r="H82" s="4" t="s">
        <v>2969</v>
      </c>
      <c r="I82" s="4"/>
      <c r="J82" s="4" t="s">
        <v>94</v>
      </c>
      <c r="K82" s="4"/>
      <c r="L82" s="17" t="b">
        <v>0</v>
      </c>
      <c r="M82" s="17" t="b">
        <v>1</v>
      </c>
      <c r="N82" s="3" t="s">
        <v>3206</v>
      </c>
    </row>
    <row r="83" spans="1:14" ht="80" x14ac:dyDescent="0.2">
      <c r="A83" s="4" t="s">
        <v>2524</v>
      </c>
      <c r="B83" s="4" t="s">
        <v>2525</v>
      </c>
      <c r="C83" s="4" t="b">
        <v>1</v>
      </c>
      <c r="D83" s="4" t="b">
        <v>1</v>
      </c>
      <c r="E83" s="4" t="b">
        <v>1</v>
      </c>
      <c r="F83" s="4" t="s">
        <v>12</v>
      </c>
      <c r="G83" s="4" t="b">
        <v>1</v>
      </c>
      <c r="H83" s="4" t="s">
        <v>3212</v>
      </c>
      <c r="I83" s="4"/>
      <c r="J83" s="4" t="s">
        <v>94</v>
      </c>
      <c r="K83" s="4"/>
      <c r="L83" s="17" t="b">
        <v>1</v>
      </c>
      <c r="M83" s="17" t="b">
        <v>0</v>
      </c>
      <c r="N83" s="3" t="s">
        <v>3206</v>
      </c>
    </row>
    <row r="84" spans="1:14" ht="176" x14ac:dyDescent="0.2">
      <c r="A84" s="4" t="s">
        <v>2534</v>
      </c>
      <c r="B84" s="4" t="s">
        <v>2535</v>
      </c>
      <c r="C84" s="4" t="b">
        <v>1</v>
      </c>
      <c r="D84" s="4" t="b">
        <v>1</v>
      </c>
      <c r="E84" s="4" t="b">
        <v>1</v>
      </c>
      <c r="F84" s="4" t="s">
        <v>12</v>
      </c>
      <c r="G84" s="4" t="b">
        <v>1</v>
      </c>
      <c r="H84" s="4" t="s">
        <v>3213</v>
      </c>
      <c r="I84" s="4"/>
      <c r="J84" s="4" t="s">
        <v>1309</v>
      </c>
      <c r="K84" s="4"/>
      <c r="L84" s="17" t="b">
        <v>0</v>
      </c>
      <c r="M84" s="17" t="b">
        <v>1</v>
      </c>
      <c r="N84" s="3" t="s">
        <v>3206</v>
      </c>
    </row>
    <row r="85" spans="1:14" ht="192" x14ac:dyDescent="0.2">
      <c r="A85" s="4" t="s">
        <v>2542</v>
      </c>
      <c r="B85" s="4" t="s">
        <v>2543</v>
      </c>
      <c r="C85" s="4" t="b">
        <v>1</v>
      </c>
      <c r="D85" s="4" t="b">
        <v>1</v>
      </c>
      <c r="E85" s="4" t="b">
        <v>1</v>
      </c>
      <c r="F85" s="4" t="s">
        <v>12</v>
      </c>
      <c r="G85" s="4" t="b">
        <v>1</v>
      </c>
      <c r="H85" s="4" t="s">
        <v>2963</v>
      </c>
      <c r="I85" s="4"/>
      <c r="J85" s="4" t="s">
        <v>1309</v>
      </c>
      <c r="K85" s="4"/>
      <c r="L85" s="17" t="b">
        <v>1</v>
      </c>
      <c r="M85" s="17" t="b">
        <v>0</v>
      </c>
      <c r="N85" s="3" t="s">
        <v>3206</v>
      </c>
    </row>
    <row r="86" spans="1:14" ht="144" x14ac:dyDescent="0.2">
      <c r="A86" s="4" t="s">
        <v>2548</v>
      </c>
      <c r="B86" s="4" t="s">
        <v>2549</v>
      </c>
      <c r="C86" s="4" t="b">
        <v>1</v>
      </c>
      <c r="D86" s="4" t="b">
        <v>1</v>
      </c>
      <c r="E86" s="4" t="b">
        <v>1</v>
      </c>
      <c r="F86" s="4" t="s">
        <v>12</v>
      </c>
      <c r="G86" s="4" t="b">
        <v>1</v>
      </c>
      <c r="H86" s="4" t="s">
        <v>2962</v>
      </c>
      <c r="I86" s="4"/>
      <c r="J86" s="4" t="s">
        <v>1336</v>
      </c>
      <c r="K86" s="4"/>
      <c r="L86" s="17" t="b">
        <v>0</v>
      </c>
      <c r="M86" s="17" t="b">
        <v>1</v>
      </c>
      <c r="N86" s="3" t="s">
        <v>3206</v>
      </c>
    </row>
    <row r="87" spans="1:14" ht="80" x14ac:dyDescent="0.2">
      <c r="A87" s="4" t="s">
        <v>2572</v>
      </c>
      <c r="B87" s="4" t="s">
        <v>2573</v>
      </c>
      <c r="C87" s="4" t="b">
        <v>1</v>
      </c>
      <c r="D87" s="4" t="b">
        <v>1</v>
      </c>
      <c r="E87" s="4" t="b">
        <v>1</v>
      </c>
      <c r="F87" s="4" t="s">
        <v>12</v>
      </c>
      <c r="G87" s="4" t="b">
        <v>1</v>
      </c>
      <c r="H87" s="4" t="s">
        <v>2957</v>
      </c>
      <c r="I87" s="4"/>
      <c r="J87" s="4" t="s">
        <v>621</v>
      </c>
      <c r="K87" s="4"/>
      <c r="L87" s="17" t="b">
        <v>0</v>
      </c>
      <c r="M87" s="17" t="b">
        <v>1</v>
      </c>
      <c r="N87" s="3" t="s">
        <v>3206</v>
      </c>
    </row>
    <row r="88" spans="1:14" ht="160" x14ac:dyDescent="0.2">
      <c r="A88" s="4" t="s">
        <v>2712</v>
      </c>
      <c r="B88" s="4" t="s">
        <v>2713</v>
      </c>
      <c r="C88" s="4" t="b">
        <v>1</v>
      </c>
      <c r="D88" s="4" t="b">
        <v>1</v>
      </c>
      <c r="E88" s="4" t="b">
        <v>1</v>
      </c>
      <c r="F88" s="4" t="s">
        <v>12</v>
      </c>
      <c r="G88" s="4" t="b">
        <v>1</v>
      </c>
      <c r="H88" s="4" t="s">
        <v>2928</v>
      </c>
      <c r="I88" s="4"/>
      <c r="J88" s="4" t="s">
        <v>94</v>
      </c>
      <c r="K88" s="4"/>
      <c r="L88" s="17" t="b">
        <v>1</v>
      </c>
      <c r="M88" s="17" t="b">
        <v>1</v>
      </c>
      <c r="N88" s="3" t="s">
        <v>3206</v>
      </c>
    </row>
    <row r="89" spans="1:14" ht="96" x14ac:dyDescent="0.2">
      <c r="A89" s="4" t="s">
        <v>2720</v>
      </c>
      <c r="B89" s="4" t="s">
        <v>2721</v>
      </c>
      <c r="C89" s="4" t="b">
        <v>1</v>
      </c>
      <c r="D89" s="4" t="b">
        <v>1</v>
      </c>
      <c r="E89" s="4" t="b">
        <v>1</v>
      </c>
      <c r="F89" s="4" t="s">
        <v>12</v>
      </c>
      <c r="G89" s="4" t="b">
        <v>1</v>
      </c>
      <c r="H89" s="4" t="s">
        <v>2927</v>
      </c>
      <c r="I89" s="4"/>
      <c r="J89" s="4" t="s">
        <v>94</v>
      </c>
      <c r="K89" s="4"/>
      <c r="L89" s="17" t="b">
        <v>1</v>
      </c>
      <c r="M89" s="17" t="b">
        <v>1</v>
      </c>
      <c r="N89" s="3" t="s">
        <v>3206</v>
      </c>
    </row>
    <row r="90" spans="1:14" ht="320" x14ac:dyDescent="0.2">
      <c r="A90" s="4" t="s">
        <v>2780</v>
      </c>
      <c r="B90" s="4" t="s">
        <v>2781</v>
      </c>
      <c r="C90" s="4" t="b">
        <v>1</v>
      </c>
      <c r="D90" s="4" t="b">
        <v>1</v>
      </c>
      <c r="E90" s="4" t="b">
        <v>1</v>
      </c>
      <c r="F90" s="4" t="s">
        <v>12</v>
      </c>
      <c r="G90" s="4" t="b">
        <v>1</v>
      </c>
      <c r="H90" s="4" t="s">
        <v>2922</v>
      </c>
      <c r="I90" s="4"/>
      <c r="J90" s="4" t="s">
        <v>20</v>
      </c>
      <c r="K90" s="4"/>
      <c r="L90" s="17" t="b">
        <v>1</v>
      </c>
      <c r="M90" s="17" t="b">
        <v>1</v>
      </c>
      <c r="N90" s="3" t="s">
        <v>3206</v>
      </c>
    </row>
    <row r="91" spans="1:14" ht="112" x14ac:dyDescent="0.2">
      <c r="A91" s="4" t="s">
        <v>2818</v>
      </c>
      <c r="B91" s="4" t="s">
        <v>2819</v>
      </c>
      <c r="C91" s="4" t="b">
        <v>1</v>
      </c>
      <c r="D91" s="4" t="b">
        <v>1</v>
      </c>
      <c r="E91" s="4" t="b">
        <v>1</v>
      </c>
      <c r="F91" s="4" t="s">
        <v>12</v>
      </c>
      <c r="G91" s="4" t="b">
        <v>1</v>
      </c>
      <c r="H91" s="4" t="s">
        <v>2915</v>
      </c>
      <c r="I91" s="4"/>
      <c r="J91" s="4" t="s">
        <v>621</v>
      </c>
      <c r="K91" s="4"/>
      <c r="L91" s="17" t="b">
        <v>0</v>
      </c>
      <c r="M91" s="17" t="b">
        <v>1</v>
      </c>
      <c r="N91" s="3" t="s">
        <v>3206</v>
      </c>
    </row>
    <row r="92" spans="1:14" ht="176" x14ac:dyDescent="0.2">
      <c r="A92" s="4" t="s">
        <v>2820</v>
      </c>
      <c r="B92" s="4" t="s">
        <v>2821</v>
      </c>
      <c r="C92" s="4" t="b">
        <v>1</v>
      </c>
      <c r="D92" s="4" t="b">
        <v>1</v>
      </c>
      <c r="E92" s="4" t="b">
        <v>1</v>
      </c>
      <c r="F92" s="4" t="s">
        <v>12</v>
      </c>
      <c r="G92" s="4" t="b">
        <v>1</v>
      </c>
      <c r="H92" s="4" t="s">
        <v>2914</v>
      </c>
      <c r="I92" s="4"/>
      <c r="J92" s="4" t="s">
        <v>621</v>
      </c>
      <c r="K92" s="4"/>
      <c r="L92" s="17" t="b">
        <v>0</v>
      </c>
      <c r="M92" s="17" t="b">
        <v>1</v>
      </c>
      <c r="N92" s="3" t="s">
        <v>3206</v>
      </c>
    </row>
    <row r="93" spans="1:14" ht="48" x14ac:dyDescent="0.2">
      <c r="A93" s="4" t="s">
        <v>2824</v>
      </c>
      <c r="B93" s="4" t="s">
        <v>2825</v>
      </c>
      <c r="C93" s="4" t="b">
        <v>1</v>
      </c>
      <c r="D93" s="4" t="b">
        <v>1</v>
      </c>
      <c r="E93" s="4" t="b">
        <v>1</v>
      </c>
      <c r="F93" s="4" t="s">
        <v>12</v>
      </c>
      <c r="G93" s="4" t="b">
        <v>1</v>
      </c>
      <c r="H93" s="4" t="s">
        <v>2913</v>
      </c>
      <c r="I93" s="4"/>
      <c r="J93" s="4" t="s">
        <v>621</v>
      </c>
      <c r="K93" s="4"/>
      <c r="L93" s="17" t="b">
        <v>1</v>
      </c>
      <c r="M93" s="17" t="b">
        <v>1</v>
      </c>
      <c r="N93" s="3" t="s">
        <v>3206</v>
      </c>
    </row>
    <row r="94" spans="1:14" ht="112" x14ac:dyDescent="0.2">
      <c r="A94" s="4" t="s">
        <v>2828</v>
      </c>
      <c r="B94" s="4" t="s">
        <v>2829</v>
      </c>
      <c r="C94" s="4" t="b">
        <v>1</v>
      </c>
      <c r="D94" s="4" t="b">
        <v>1</v>
      </c>
      <c r="E94" s="4" t="b">
        <v>1</v>
      </c>
      <c r="F94" s="4" t="s">
        <v>12</v>
      </c>
      <c r="G94" s="4" t="b">
        <v>1</v>
      </c>
      <c r="H94" s="4" t="s">
        <v>2911</v>
      </c>
      <c r="I94" s="4"/>
      <c r="J94" s="4" t="s">
        <v>621</v>
      </c>
      <c r="K94" s="4"/>
      <c r="L94" s="17" t="b">
        <v>1</v>
      </c>
      <c r="M94" s="17" t="b">
        <v>0</v>
      </c>
      <c r="N94" s="3" t="s">
        <v>3206</v>
      </c>
    </row>
    <row r="98" spans="12:15" x14ac:dyDescent="0.2">
      <c r="L98" s="17" t="s">
        <v>3214</v>
      </c>
      <c r="M98" s="17" t="s">
        <v>3215</v>
      </c>
      <c r="N98" s="3" t="s">
        <v>3205</v>
      </c>
    </row>
    <row r="99" spans="12:15" x14ac:dyDescent="0.2">
      <c r="L99" s="17">
        <f>COUNTIF(L2:L94, TRUE)</f>
        <v>43</v>
      </c>
      <c r="M99" s="17">
        <f>COUNTIF(M2:M94, TRUE)</f>
        <v>59</v>
      </c>
      <c r="N99" s="17">
        <f>COUNTIF(N2:N94, TRUE)</f>
        <v>11</v>
      </c>
      <c r="O99" s="17">
        <f>COUNTIF(O2:O94, "Free-Text")</f>
        <v>2</v>
      </c>
    </row>
    <row r="100" spans="12:15" x14ac:dyDescent="0.2">
      <c r="L100" s="17">
        <f>L99/93</f>
        <v>0.46236559139784944</v>
      </c>
      <c r="M100" s="17">
        <f>M99/93</f>
        <v>0.63440860215053763</v>
      </c>
      <c r="N100" s="17">
        <f t="shared" ref="N100:O100" si="0">N99/93</f>
        <v>0.11827956989247312</v>
      </c>
      <c r="O100" s="17">
        <f t="shared" si="0"/>
        <v>2.1505376344086023E-2</v>
      </c>
    </row>
  </sheetData>
  <autoFilter ref="A1:K94" xr:uid="{41B432C7-6122-2B42-98DA-8C90490586EF}"/>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D6B7B-32DC-D949-BE39-D364C54C5C19}">
  <dimension ref="A1:N237"/>
  <sheetViews>
    <sheetView workbookViewId="0">
      <selection activeCell="H5" sqref="H5"/>
    </sheetView>
  </sheetViews>
  <sheetFormatPr baseColWidth="10" defaultRowHeight="15" x14ac:dyDescent="0.2"/>
  <cols>
    <col min="1" max="1" width="28.6640625" customWidth="1"/>
    <col min="2" max="2" width="19.5" customWidth="1"/>
    <col min="8" max="8" width="39" customWidth="1"/>
    <col min="12" max="14" width="10.83203125" style="3"/>
  </cols>
  <sheetData>
    <row r="1" spans="1:14" ht="48" x14ac:dyDescent="0.2">
      <c r="A1" s="5" t="s">
        <v>0</v>
      </c>
      <c r="B1" s="5" t="s">
        <v>1</v>
      </c>
      <c r="C1" s="2" t="s">
        <v>2</v>
      </c>
      <c r="D1" s="2" t="s">
        <v>3</v>
      </c>
      <c r="E1" s="2" t="s">
        <v>4</v>
      </c>
      <c r="F1" s="2" t="s">
        <v>5</v>
      </c>
      <c r="G1" s="2" t="s">
        <v>6</v>
      </c>
      <c r="H1" s="2" t="s">
        <v>7</v>
      </c>
      <c r="I1" s="2" t="s">
        <v>8</v>
      </c>
      <c r="J1" s="2" t="s">
        <v>9</v>
      </c>
      <c r="K1" s="10" t="s">
        <v>2991</v>
      </c>
      <c r="L1" s="10" t="s">
        <v>3216</v>
      </c>
      <c r="M1" s="10" t="s">
        <v>3217</v>
      </c>
      <c r="N1" s="10" t="s">
        <v>3221</v>
      </c>
    </row>
    <row r="2" spans="1:14" ht="48" x14ac:dyDescent="0.2">
      <c r="A2" s="6" t="s">
        <v>15</v>
      </c>
      <c r="B2" s="6" t="s">
        <v>16</v>
      </c>
      <c r="C2" s="4" t="b">
        <v>1</v>
      </c>
      <c r="D2" s="4" t="b">
        <v>0</v>
      </c>
      <c r="E2" s="4" t="b">
        <v>1</v>
      </c>
      <c r="F2" s="4" t="s">
        <v>12</v>
      </c>
      <c r="G2" s="4" t="b">
        <v>1</v>
      </c>
      <c r="H2" s="4"/>
      <c r="I2" s="4"/>
      <c r="J2" s="4" t="s">
        <v>14</v>
      </c>
      <c r="K2" s="1"/>
      <c r="L2" s="4" t="s">
        <v>3219</v>
      </c>
      <c r="M2" s="4" t="s">
        <v>3218</v>
      </c>
    </row>
    <row r="3" spans="1:14" ht="112" x14ac:dyDescent="0.2">
      <c r="A3" s="6" t="s">
        <v>41</v>
      </c>
      <c r="B3" s="6" t="s">
        <v>42</v>
      </c>
      <c r="C3" s="4" t="b">
        <v>1</v>
      </c>
      <c r="D3" s="4" t="b">
        <v>0</v>
      </c>
      <c r="E3" s="4" t="b">
        <v>1</v>
      </c>
      <c r="F3" s="4" t="s">
        <v>12</v>
      </c>
      <c r="G3" s="4" t="b">
        <v>1</v>
      </c>
      <c r="H3" s="4" t="s">
        <v>43</v>
      </c>
      <c r="I3" s="4"/>
      <c r="J3" s="4" t="s">
        <v>26</v>
      </c>
      <c r="K3" s="1"/>
      <c r="L3" s="4" t="s">
        <v>3220</v>
      </c>
      <c r="N3" s="4" t="s">
        <v>3222</v>
      </c>
    </row>
    <row r="4" spans="1:14" ht="80" x14ac:dyDescent="0.2">
      <c r="A4" s="6" t="s">
        <v>44</v>
      </c>
      <c r="B4" s="6" t="s">
        <v>45</v>
      </c>
      <c r="C4" s="4" t="b">
        <v>1</v>
      </c>
      <c r="D4" s="4" t="b">
        <v>0</v>
      </c>
      <c r="E4" s="4" t="b">
        <v>1</v>
      </c>
      <c r="F4" s="4" t="s">
        <v>12</v>
      </c>
      <c r="G4" s="4" t="b">
        <v>1</v>
      </c>
      <c r="H4" s="4" t="s">
        <v>46</v>
      </c>
      <c r="I4" s="4"/>
      <c r="J4" s="4" t="s">
        <v>26</v>
      </c>
      <c r="K4" s="1"/>
      <c r="L4" s="4" t="s">
        <v>3219</v>
      </c>
      <c r="N4" s="4" t="s">
        <v>3223</v>
      </c>
    </row>
    <row r="5" spans="1:14" ht="96" x14ac:dyDescent="0.2">
      <c r="A5" s="6" t="s">
        <v>47</v>
      </c>
      <c r="B5" s="6" t="s">
        <v>48</v>
      </c>
      <c r="C5" s="4" t="b">
        <v>1</v>
      </c>
      <c r="D5" s="4" t="b">
        <v>0</v>
      </c>
      <c r="E5" s="4" t="b">
        <v>1</v>
      </c>
      <c r="F5" s="4" t="s">
        <v>12</v>
      </c>
      <c r="G5" s="4" t="b">
        <v>1</v>
      </c>
      <c r="H5" s="4" t="s">
        <v>49</v>
      </c>
      <c r="I5" s="4"/>
      <c r="J5" s="4" t="s">
        <v>26</v>
      </c>
      <c r="K5" s="1"/>
      <c r="L5" s="4" t="s">
        <v>3219</v>
      </c>
    </row>
    <row r="6" spans="1:14" ht="32" x14ac:dyDescent="0.2">
      <c r="A6" s="6" t="s">
        <v>54</v>
      </c>
      <c r="B6" s="6" t="s">
        <v>55</v>
      </c>
      <c r="C6" s="4" t="b">
        <v>0</v>
      </c>
      <c r="D6" s="4" t="b">
        <v>0</v>
      </c>
      <c r="E6" s="4" t="b">
        <v>1</v>
      </c>
      <c r="F6" s="4" t="s">
        <v>12</v>
      </c>
      <c r="G6" s="4" t="b">
        <v>1</v>
      </c>
      <c r="H6" s="4" t="s">
        <v>56</v>
      </c>
      <c r="I6" s="4"/>
      <c r="J6" s="4" t="s">
        <v>26</v>
      </c>
      <c r="K6" s="1"/>
    </row>
    <row r="7" spans="1:14" ht="16" x14ac:dyDescent="0.2">
      <c r="A7" s="6" t="s">
        <v>57</v>
      </c>
      <c r="B7" s="6" t="s">
        <v>58</v>
      </c>
      <c r="C7" s="4" t="b">
        <v>1</v>
      </c>
      <c r="D7" s="4" t="b">
        <v>0</v>
      </c>
      <c r="E7" s="4" t="b">
        <v>1</v>
      </c>
      <c r="F7" s="4" t="s">
        <v>12</v>
      </c>
      <c r="G7" s="4" t="b">
        <v>1</v>
      </c>
      <c r="H7" s="4" t="s">
        <v>59</v>
      </c>
      <c r="I7" s="4"/>
      <c r="J7" s="4" t="s">
        <v>26</v>
      </c>
      <c r="K7" s="1"/>
    </row>
    <row r="8" spans="1:14" ht="16" x14ac:dyDescent="0.2">
      <c r="A8" s="6" t="s">
        <v>65</v>
      </c>
      <c r="B8" s="6" t="s">
        <v>66</v>
      </c>
      <c r="C8" s="4" t="b">
        <v>1</v>
      </c>
      <c r="D8" s="4" t="b">
        <v>0</v>
      </c>
      <c r="E8" s="4" t="b">
        <v>1</v>
      </c>
      <c r="F8" s="4" t="s">
        <v>12</v>
      </c>
      <c r="G8" s="4" t="b">
        <v>1</v>
      </c>
      <c r="H8" s="4"/>
      <c r="I8" s="4"/>
      <c r="J8" s="4" t="s">
        <v>26</v>
      </c>
      <c r="K8" s="1"/>
    </row>
    <row r="9" spans="1:14" ht="128" x14ac:dyDescent="0.2">
      <c r="A9" s="6" t="s">
        <v>67</v>
      </c>
      <c r="B9" s="6" t="s">
        <v>68</v>
      </c>
      <c r="C9" s="4" t="b">
        <v>1</v>
      </c>
      <c r="D9" s="4" t="b">
        <v>0</v>
      </c>
      <c r="E9" s="4" t="b">
        <v>1</v>
      </c>
      <c r="F9" s="4" t="s">
        <v>12</v>
      </c>
      <c r="G9" s="4" t="b">
        <v>1</v>
      </c>
      <c r="H9" s="4" t="s">
        <v>69</v>
      </c>
      <c r="I9" s="4"/>
      <c r="J9" s="4" t="s">
        <v>26</v>
      </c>
      <c r="K9" s="1"/>
    </row>
    <row r="10" spans="1:14" ht="48" x14ac:dyDescent="0.2">
      <c r="A10" s="6" t="s">
        <v>70</v>
      </c>
      <c r="B10" s="6" t="s">
        <v>71</v>
      </c>
      <c r="C10" s="4" t="b">
        <v>1</v>
      </c>
      <c r="D10" s="4" t="b">
        <v>0</v>
      </c>
      <c r="E10" s="4" t="b">
        <v>1</v>
      </c>
      <c r="F10" s="4" t="s">
        <v>12</v>
      </c>
      <c r="G10" s="4" t="b">
        <v>1</v>
      </c>
      <c r="H10" s="4" t="s">
        <v>72</v>
      </c>
      <c r="I10" s="4"/>
      <c r="J10" s="4" t="s">
        <v>26</v>
      </c>
      <c r="K10" s="1"/>
    </row>
    <row r="11" spans="1:14" ht="32" x14ac:dyDescent="0.2">
      <c r="A11" s="6" t="s">
        <v>73</v>
      </c>
      <c r="B11" s="6" t="s">
        <v>74</v>
      </c>
      <c r="C11" s="4" t="b">
        <v>1</v>
      </c>
      <c r="D11" s="4" t="b">
        <v>0</v>
      </c>
      <c r="E11" s="4" t="b">
        <v>1</v>
      </c>
      <c r="F11" s="4" t="s">
        <v>12</v>
      </c>
      <c r="G11" s="4" t="b">
        <v>1</v>
      </c>
      <c r="H11" s="4" t="s">
        <v>75</v>
      </c>
      <c r="I11" s="4"/>
      <c r="J11" s="4" t="s">
        <v>26</v>
      </c>
      <c r="K11" s="1"/>
    </row>
    <row r="12" spans="1:14" ht="64" x14ac:dyDescent="0.2">
      <c r="A12" s="6" t="s">
        <v>76</v>
      </c>
      <c r="B12" s="6" t="s">
        <v>77</v>
      </c>
      <c r="C12" s="4" t="b">
        <v>1</v>
      </c>
      <c r="D12" s="4" t="b">
        <v>0</v>
      </c>
      <c r="E12" s="4" t="b">
        <v>1</v>
      </c>
      <c r="F12" s="4" t="s">
        <v>12</v>
      </c>
      <c r="G12" s="4" t="b">
        <v>1</v>
      </c>
      <c r="H12" s="4" t="s">
        <v>78</v>
      </c>
      <c r="I12" s="4"/>
      <c r="J12" s="4" t="s">
        <v>26</v>
      </c>
      <c r="K12" s="1"/>
    </row>
    <row r="13" spans="1:14" ht="409.6" x14ac:dyDescent="0.2">
      <c r="A13" s="6" t="s">
        <v>79</v>
      </c>
      <c r="B13" s="6" t="s">
        <v>80</v>
      </c>
      <c r="C13" s="4" t="b">
        <v>1</v>
      </c>
      <c r="D13" s="4" t="b">
        <v>0</v>
      </c>
      <c r="E13" s="4" t="b">
        <v>1</v>
      </c>
      <c r="F13" s="4" t="s">
        <v>12</v>
      </c>
      <c r="G13" s="4" t="b">
        <v>1</v>
      </c>
      <c r="H13" s="4" t="s">
        <v>81</v>
      </c>
      <c r="I13" s="4" t="s">
        <v>2852</v>
      </c>
      <c r="J13" s="4" t="s">
        <v>26</v>
      </c>
      <c r="K13" s="1"/>
    </row>
    <row r="14" spans="1:14" ht="16" x14ac:dyDescent="0.2">
      <c r="A14" s="6" t="s">
        <v>402</v>
      </c>
      <c r="B14" s="6" t="s">
        <v>403</v>
      </c>
      <c r="C14" s="4" t="b">
        <v>1</v>
      </c>
      <c r="D14" s="4" t="b">
        <v>0</v>
      </c>
      <c r="E14" s="4" t="b">
        <v>1</v>
      </c>
      <c r="F14" s="4" t="s">
        <v>12</v>
      </c>
      <c r="G14" s="4" t="b">
        <v>1</v>
      </c>
      <c r="H14" s="4"/>
      <c r="I14" s="4"/>
      <c r="J14" s="4" t="s">
        <v>94</v>
      </c>
      <c r="K14" s="1"/>
    </row>
    <row r="15" spans="1:14" ht="80" x14ac:dyDescent="0.2">
      <c r="A15" s="6" t="s">
        <v>404</v>
      </c>
      <c r="B15" s="6" t="s">
        <v>405</v>
      </c>
      <c r="C15" s="4" t="b">
        <v>1</v>
      </c>
      <c r="D15" s="4" t="b">
        <v>0</v>
      </c>
      <c r="E15" s="4" t="b">
        <v>1</v>
      </c>
      <c r="F15" s="4" t="s">
        <v>12</v>
      </c>
      <c r="G15" s="4" t="b">
        <v>1</v>
      </c>
      <c r="H15" s="4" t="s">
        <v>2858</v>
      </c>
      <c r="I15" s="4"/>
      <c r="J15" s="4" t="s">
        <v>94</v>
      </c>
      <c r="K15" s="1"/>
    </row>
    <row r="16" spans="1:14" ht="32" x14ac:dyDescent="0.2">
      <c r="A16" s="6" t="s">
        <v>406</v>
      </c>
      <c r="B16" s="6" t="s">
        <v>407</v>
      </c>
      <c r="C16" s="4" t="b">
        <v>1</v>
      </c>
      <c r="D16" s="4" t="b">
        <v>0</v>
      </c>
      <c r="E16" s="4" t="b">
        <v>1</v>
      </c>
      <c r="F16" s="4" t="s">
        <v>12</v>
      </c>
      <c r="G16" s="4" t="b">
        <v>1</v>
      </c>
      <c r="H16" s="4" t="s">
        <v>2859</v>
      </c>
      <c r="I16" s="4"/>
      <c r="J16" s="4" t="s">
        <v>94</v>
      </c>
      <c r="K16" s="1"/>
    </row>
    <row r="17" spans="1:11" ht="48" x14ac:dyDescent="0.2">
      <c r="A17" s="6" t="s">
        <v>408</v>
      </c>
      <c r="B17" s="6" t="s">
        <v>409</v>
      </c>
      <c r="C17" s="4" t="b">
        <v>1</v>
      </c>
      <c r="D17" s="4" t="b">
        <v>0</v>
      </c>
      <c r="E17" s="4" t="b">
        <v>1</v>
      </c>
      <c r="F17" s="4" t="s">
        <v>12</v>
      </c>
      <c r="G17" s="4" t="b">
        <v>1</v>
      </c>
      <c r="H17" s="4" t="s">
        <v>2860</v>
      </c>
      <c r="I17" s="4"/>
      <c r="J17" s="4" t="s">
        <v>94</v>
      </c>
      <c r="K17" s="1"/>
    </row>
    <row r="18" spans="1:11" ht="32" x14ac:dyDescent="0.2">
      <c r="A18" s="6" t="s">
        <v>410</v>
      </c>
      <c r="B18" s="6" t="s">
        <v>411</v>
      </c>
      <c r="C18" s="4" t="b">
        <v>1</v>
      </c>
      <c r="D18" s="4" t="b">
        <v>0</v>
      </c>
      <c r="E18" s="4" t="b">
        <v>1</v>
      </c>
      <c r="F18" s="4" t="s">
        <v>12</v>
      </c>
      <c r="G18" s="4" t="b">
        <v>1</v>
      </c>
      <c r="H18" s="4" t="s">
        <v>2861</v>
      </c>
      <c r="I18" s="4"/>
      <c r="J18" s="4" t="s">
        <v>94</v>
      </c>
      <c r="K18" s="1"/>
    </row>
    <row r="19" spans="1:11" ht="16" x14ac:dyDescent="0.2">
      <c r="A19" s="6" t="s">
        <v>428</v>
      </c>
      <c r="B19" s="6" t="s">
        <v>429</v>
      </c>
      <c r="C19" s="4" t="b">
        <v>1</v>
      </c>
      <c r="D19" s="4" t="b">
        <v>0</v>
      </c>
      <c r="E19" s="4" t="b">
        <v>1</v>
      </c>
      <c r="F19" s="4" t="s">
        <v>12</v>
      </c>
      <c r="G19" s="4" t="b">
        <v>1</v>
      </c>
      <c r="H19" s="4" t="s">
        <v>2865</v>
      </c>
      <c r="I19" s="4"/>
      <c r="J19" s="4" t="s">
        <v>94</v>
      </c>
      <c r="K19" s="1"/>
    </row>
    <row r="20" spans="1:11" ht="16" x14ac:dyDescent="0.2">
      <c r="A20" s="6" t="s">
        <v>432</v>
      </c>
      <c r="B20" s="6" t="s">
        <v>433</v>
      </c>
      <c r="C20" s="4" t="b">
        <v>1</v>
      </c>
      <c r="D20" s="4" t="b">
        <v>0</v>
      </c>
      <c r="E20" s="4" t="b">
        <v>1</v>
      </c>
      <c r="F20" s="4" t="s">
        <v>12</v>
      </c>
      <c r="G20" s="4" t="b">
        <v>1</v>
      </c>
      <c r="H20" s="4"/>
      <c r="I20" s="4"/>
      <c r="J20" s="4" t="s">
        <v>94</v>
      </c>
      <c r="K20" s="1"/>
    </row>
    <row r="21" spans="1:11" ht="32" x14ac:dyDescent="0.2">
      <c r="A21" s="6" t="s">
        <v>434</v>
      </c>
      <c r="B21" s="6" t="s">
        <v>435</v>
      </c>
      <c r="C21" s="4" t="b">
        <v>1</v>
      </c>
      <c r="D21" s="4" t="b">
        <v>0</v>
      </c>
      <c r="E21" s="4" t="b">
        <v>1</v>
      </c>
      <c r="F21" s="4" t="s">
        <v>12</v>
      </c>
      <c r="G21" s="4" t="b">
        <v>1</v>
      </c>
      <c r="H21" s="4" t="s">
        <v>2867</v>
      </c>
      <c r="I21" s="4"/>
      <c r="J21" s="4" t="s">
        <v>94</v>
      </c>
      <c r="K21" s="1"/>
    </row>
    <row r="22" spans="1:11" ht="32" x14ac:dyDescent="0.2">
      <c r="A22" s="6" t="s">
        <v>436</v>
      </c>
      <c r="B22" s="6" t="s">
        <v>437</v>
      </c>
      <c r="C22" s="4" t="b">
        <v>1</v>
      </c>
      <c r="D22" s="4" t="b">
        <v>0</v>
      </c>
      <c r="E22" s="4" t="b">
        <v>1</v>
      </c>
      <c r="F22" s="4" t="s">
        <v>12</v>
      </c>
      <c r="G22" s="4" t="b">
        <v>1</v>
      </c>
      <c r="H22" s="4" t="s">
        <v>2868</v>
      </c>
      <c r="I22" s="4"/>
      <c r="J22" s="4" t="s">
        <v>94</v>
      </c>
      <c r="K22" s="1"/>
    </row>
    <row r="23" spans="1:11" ht="96" x14ac:dyDescent="0.2">
      <c r="A23" s="6" t="s">
        <v>438</v>
      </c>
      <c r="B23" s="6" t="s">
        <v>439</v>
      </c>
      <c r="C23" s="4" t="b">
        <v>1</v>
      </c>
      <c r="D23" s="4" t="b">
        <v>0</v>
      </c>
      <c r="E23" s="4" t="b">
        <v>1</v>
      </c>
      <c r="F23" s="4" t="s">
        <v>12</v>
      </c>
      <c r="G23" s="4" t="b">
        <v>1</v>
      </c>
      <c r="H23" s="4" t="s">
        <v>2869</v>
      </c>
      <c r="I23" s="4"/>
      <c r="J23" s="4" t="s">
        <v>94</v>
      </c>
      <c r="K23" s="1"/>
    </row>
    <row r="24" spans="1:11" ht="160" x14ac:dyDescent="0.2">
      <c r="A24" s="6" t="s">
        <v>440</v>
      </c>
      <c r="B24" s="6" t="s">
        <v>441</v>
      </c>
      <c r="C24" s="4" t="b">
        <v>1</v>
      </c>
      <c r="D24" s="4" t="b">
        <v>0</v>
      </c>
      <c r="E24" s="4" t="b">
        <v>1</v>
      </c>
      <c r="F24" s="4" t="s">
        <v>12</v>
      </c>
      <c r="G24" s="4" t="b">
        <v>1</v>
      </c>
      <c r="H24" s="4" t="s">
        <v>2870</v>
      </c>
      <c r="I24" s="4"/>
      <c r="J24" s="4" t="s">
        <v>94</v>
      </c>
      <c r="K24" s="1"/>
    </row>
    <row r="25" spans="1:11" ht="32" x14ac:dyDescent="0.2">
      <c r="A25" s="6" t="s">
        <v>444</v>
      </c>
      <c r="B25" s="6" t="s">
        <v>445</v>
      </c>
      <c r="C25" s="4" t="b">
        <v>1</v>
      </c>
      <c r="D25" s="4" t="b">
        <v>0</v>
      </c>
      <c r="E25" s="4" t="b">
        <v>1</v>
      </c>
      <c r="F25" s="4" t="s">
        <v>12</v>
      </c>
      <c r="G25" s="4" t="b">
        <v>1</v>
      </c>
      <c r="H25" s="4" t="s">
        <v>2872</v>
      </c>
      <c r="I25" s="4"/>
      <c r="J25" s="4" t="s">
        <v>94</v>
      </c>
      <c r="K25" s="1"/>
    </row>
    <row r="26" spans="1:11" ht="16" x14ac:dyDescent="0.2">
      <c r="A26" s="6" t="s">
        <v>446</v>
      </c>
      <c r="B26" s="6" t="s">
        <v>447</v>
      </c>
      <c r="C26" s="4" t="b">
        <v>1</v>
      </c>
      <c r="D26" s="4" t="b">
        <v>0</v>
      </c>
      <c r="E26" s="4" t="b">
        <v>1</v>
      </c>
      <c r="F26" s="4" t="s">
        <v>12</v>
      </c>
      <c r="G26" s="4" t="b">
        <v>1</v>
      </c>
      <c r="H26" s="4" t="s">
        <v>2873</v>
      </c>
      <c r="I26" s="4"/>
      <c r="J26" s="4" t="s">
        <v>94</v>
      </c>
      <c r="K26" s="1"/>
    </row>
    <row r="27" spans="1:11" ht="32" x14ac:dyDescent="0.2">
      <c r="A27" s="6" t="s">
        <v>458</v>
      </c>
      <c r="B27" s="6" t="s">
        <v>459</v>
      </c>
      <c r="C27" s="4" t="b">
        <v>1</v>
      </c>
      <c r="D27" s="4" t="b">
        <v>0</v>
      </c>
      <c r="E27" s="4" t="b">
        <v>1</v>
      </c>
      <c r="F27" s="4" t="s">
        <v>12</v>
      </c>
      <c r="G27" s="4" t="b">
        <v>1</v>
      </c>
      <c r="H27" s="4" t="s">
        <v>2886</v>
      </c>
      <c r="I27" s="4"/>
      <c r="J27" s="4" t="s">
        <v>94</v>
      </c>
      <c r="K27" s="1"/>
    </row>
    <row r="28" spans="1:11" ht="80" x14ac:dyDescent="0.2">
      <c r="A28" s="6" t="s">
        <v>460</v>
      </c>
      <c r="B28" s="6" t="s">
        <v>461</v>
      </c>
      <c r="C28" s="4" t="b">
        <v>1</v>
      </c>
      <c r="D28" s="4" t="b">
        <v>0</v>
      </c>
      <c r="E28" s="4" t="b">
        <v>1</v>
      </c>
      <c r="F28" s="4" t="s">
        <v>12</v>
      </c>
      <c r="G28" s="4" t="b">
        <v>1</v>
      </c>
      <c r="H28" s="4" t="s">
        <v>2887</v>
      </c>
      <c r="I28" s="4"/>
      <c r="J28" s="4" t="s">
        <v>94</v>
      </c>
      <c r="K28" s="1"/>
    </row>
    <row r="29" spans="1:11" ht="64" x14ac:dyDescent="0.2">
      <c r="A29" s="6" t="s">
        <v>480</v>
      </c>
      <c r="B29" s="6" t="s">
        <v>481</v>
      </c>
      <c r="C29" s="4" t="b">
        <v>1</v>
      </c>
      <c r="D29" s="4" t="b">
        <v>0</v>
      </c>
      <c r="E29" s="4" t="b">
        <v>1</v>
      </c>
      <c r="F29" s="4" t="s">
        <v>12</v>
      </c>
      <c r="G29" s="4" t="b">
        <v>1</v>
      </c>
      <c r="H29" s="4" t="s">
        <v>2888</v>
      </c>
      <c r="I29" s="4"/>
      <c r="J29" s="4" t="s">
        <v>94</v>
      </c>
      <c r="K29" s="1"/>
    </row>
    <row r="30" spans="1:11" ht="64" x14ac:dyDescent="0.2">
      <c r="A30" s="6" t="s">
        <v>484</v>
      </c>
      <c r="B30" s="6" t="s">
        <v>485</v>
      </c>
      <c r="C30" s="4" t="b">
        <v>1</v>
      </c>
      <c r="D30" s="4" t="b">
        <v>0</v>
      </c>
      <c r="E30" s="4" t="b">
        <v>1</v>
      </c>
      <c r="F30" s="4" t="s">
        <v>12</v>
      </c>
      <c r="G30" s="4" t="b">
        <v>1</v>
      </c>
      <c r="H30" s="4" t="s">
        <v>2889</v>
      </c>
      <c r="I30" s="4"/>
      <c r="J30" s="4" t="s">
        <v>94</v>
      </c>
      <c r="K30" s="1"/>
    </row>
    <row r="31" spans="1:11" ht="16" x14ac:dyDescent="0.2">
      <c r="A31" s="6" t="s">
        <v>492</v>
      </c>
      <c r="B31" s="6" t="s">
        <v>493</v>
      </c>
      <c r="C31" s="4" t="b">
        <v>1</v>
      </c>
      <c r="D31" s="4" t="b">
        <v>0</v>
      </c>
      <c r="E31" s="4" t="b">
        <v>1</v>
      </c>
      <c r="F31" s="4" t="s">
        <v>12</v>
      </c>
      <c r="G31" s="4" t="b">
        <v>1</v>
      </c>
      <c r="H31" s="4" t="s">
        <v>2890</v>
      </c>
      <c r="I31" s="4"/>
      <c r="J31" s="4" t="s">
        <v>94</v>
      </c>
      <c r="K31" s="1"/>
    </row>
    <row r="32" spans="1:11" ht="16" x14ac:dyDescent="0.2">
      <c r="A32" s="6" t="s">
        <v>497</v>
      </c>
      <c r="B32" s="6" t="s">
        <v>498</v>
      </c>
      <c r="C32" s="4" t="b">
        <v>1</v>
      </c>
      <c r="D32" s="4" t="b">
        <v>0</v>
      </c>
      <c r="E32" s="4" t="b">
        <v>1</v>
      </c>
      <c r="F32" s="4" t="s">
        <v>12</v>
      </c>
      <c r="G32" s="4" t="b">
        <v>1</v>
      </c>
      <c r="H32" s="4" t="s">
        <v>2891</v>
      </c>
      <c r="I32" s="4"/>
      <c r="J32" s="4" t="s">
        <v>94</v>
      </c>
      <c r="K32" s="1"/>
    </row>
    <row r="33" spans="1:11" ht="288" x14ac:dyDescent="0.2">
      <c r="A33" s="6" t="s">
        <v>517</v>
      </c>
      <c r="B33" s="6" t="s">
        <v>518</v>
      </c>
      <c r="C33" s="4" t="b">
        <v>1</v>
      </c>
      <c r="D33" s="4" t="b">
        <v>0</v>
      </c>
      <c r="E33" s="4" t="b">
        <v>1</v>
      </c>
      <c r="F33" s="4" t="s">
        <v>12</v>
      </c>
      <c r="G33" s="4" t="b">
        <v>1</v>
      </c>
      <c r="H33" s="4" t="s">
        <v>2892</v>
      </c>
      <c r="I33" s="4"/>
      <c r="J33" s="4" t="s">
        <v>94</v>
      </c>
      <c r="K33" s="1"/>
    </row>
    <row r="34" spans="1:11" ht="32" x14ac:dyDescent="0.2">
      <c r="A34" s="6" t="s">
        <v>519</v>
      </c>
      <c r="B34" s="6" t="s">
        <v>520</v>
      </c>
      <c r="C34" s="4" t="b">
        <v>1</v>
      </c>
      <c r="D34" s="4" t="b">
        <v>0</v>
      </c>
      <c r="E34" s="4" t="b">
        <v>1</v>
      </c>
      <c r="F34" s="4" t="s">
        <v>12</v>
      </c>
      <c r="G34" s="4" t="b">
        <v>1</v>
      </c>
      <c r="H34" s="4" t="s">
        <v>2893</v>
      </c>
      <c r="I34" s="4"/>
      <c r="J34" s="4" t="s">
        <v>94</v>
      </c>
      <c r="K34" s="1"/>
    </row>
    <row r="35" spans="1:11" ht="16" x14ac:dyDescent="0.2">
      <c r="A35" s="6" t="s">
        <v>527</v>
      </c>
      <c r="B35" s="6" t="s">
        <v>528</v>
      </c>
      <c r="C35" s="4" t="b">
        <v>1</v>
      </c>
      <c r="D35" s="4" t="b">
        <v>0</v>
      </c>
      <c r="E35" s="4" t="b">
        <v>1</v>
      </c>
      <c r="F35" s="4" t="s">
        <v>12</v>
      </c>
      <c r="G35" s="4" t="b">
        <v>1</v>
      </c>
      <c r="H35" s="4" t="s">
        <v>2895</v>
      </c>
      <c r="I35" s="4"/>
      <c r="J35" s="4" t="s">
        <v>94</v>
      </c>
      <c r="K35" s="1"/>
    </row>
    <row r="36" spans="1:11" ht="96" x14ac:dyDescent="0.2">
      <c r="A36" s="6" t="s">
        <v>529</v>
      </c>
      <c r="B36" s="6" t="s">
        <v>530</v>
      </c>
      <c r="C36" s="4" t="b">
        <v>1</v>
      </c>
      <c r="D36" s="4" t="b">
        <v>0</v>
      </c>
      <c r="E36" s="4" t="b">
        <v>1</v>
      </c>
      <c r="F36" s="4" t="s">
        <v>12</v>
      </c>
      <c r="G36" s="4" t="b">
        <v>1</v>
      </c>
      <c r="H36" s="4" t="s">
        <v>2896</v>
      </c>
      <c r="I36" s="4"/>
      <c r="J36" s="4" t="s">
        <v>94</v>
      </c>
      <c r="K36" s="1"/>
    </row>
    <row r="37" spans="1:11" ht="32" x14ac:dyDescent="0.2">
      <c r="A37" s="6" t="s">
        <v>535</v>
      </c>
      <c r="B37" s="6" t="s">
        <v>536</v>
      </c>
      <c r="C37" s="4" t="b">
        <v>1</v>
      </c>
      <c r="D37" s="4" t="b">
        <v>0</v>
      </c>
      <c r="E37" s="4" t="b">
        <v>1</v>
      </c>
      <c r="F37" s="4" t="s">
        <v>12</v>
      </c>
      <c r="G37" s="4" t="b">
        <v>1</v>
      </c>
      <c r="H37" s="4" t="s">
        <v>2899</v>
      </c>
      <c r="I37" s="4"/>
      <c r="J37" s="4" t="s">
        <v>94</v>
      </c>
      <c r="K37" s="1"/>
    </row>
    <row r="38" spans="1:11" ht="48" x14ac:dyDescent="0.2">
      <c r="A38" s="6" t="s">
        <v>541</v>
      </c>
      <c r="B38" s="6" t="s">
        <v>542</v>
      </c>
      <c r="C38" s="4" t="b">
        <v>1</v>
      </c>
      <c r="D38" s="4" t="b">
        <v>0</v>
      </c>
      <c r="E38" s="4" t="b">
        <v>1</v>
      </c>
      <c r="F38" s="4" t="s">
        <v>12</v>
      </c>
      <c r="G38" s="4" t="b">
        <v>1</v>
      </c>
      <c r="H38" s="4" t="s">
        <v>2900</v>
      </c>
      <c r="I38" s="4"/>
      <c r="J38" s="4" t="s">
        <v>94</v>
      </c>
      <c r="K38" s="1"/>
    </row>
    <row r="39" spans="1:11" ht="160" x14ac:dyDescent="0.2">
      <c r="A39" s="6" t="s">
        <v>543</v>
      </c>
      <c r="B39" s="6" t="s">
        <v>544</v>
      </c>
      <c r="C39" s="4" t="b">
        <v>1</v>
      </c>
      <c r="D39" s="4" t="b">
        <v>0</v>
      </c>
      <c r="E39" s="4" t="b">
        <v>1</v>
      </c>
      <c r="F39" s="4" t="s">
        <v>12</v>
      </c>
      <c r="G39" s="4" t="b">
        <v>1</v>
      </c>
      <c r="H39" s="4" t="s">
        <v>2901</v>
      </c>
      <c r="I39" s="4"/>
      <c r="J39" s="4" t="s">
        <v>94</v>
      </c>
      <c r="K39" s="1"/>
    </row>
    <row r="40" spans="1:11" ht="112" x14ac:dyDescent="0.2">
      <c r="A40" s="6" t="s">
        <v>545</v>
      </c>
      <c r="B40" s="6" t="s">
        <v>546</v>
      </c>
      <c r="C40" s="4" t="b">
        <v>1</v>
      </c>
      <c r="D40" s="4" t="b">
        <v>0</v>
      </c>
      <c r="E40" s="4" t="b">
        <v>1</v>
      </c>
      <c r="F40" s="4" t="s">
        <v>12</v>
      </c>
      <c r="G40" s="4" t="b">
        <v>1</v>
      </c>
      <c r="H40" s="4" t="s">
        <v>2902</v>
      </c>
      <c r="I40" s="4"/>
      <c r="J40" s="4" t="s">
        <v>94</v>
      </c>
      <c r="K40" s="1"/>
    </row>
    <row r="41" spans="1:11" ht="64" x14ac:dyDescent="0.2">
      <c r="A41" s="6" t="s">
        <v>551</v>
      </c>
      <c r="B41" s="6" t="s">
        <v>552</v>
      </c>
      <c r="C41" s="4" t="b">
        <v>1</v>
      </c>
      <c r="D41" s="4" t="b">
        <v>0</v>
      </c>
      <c r="E41" s="4" t="b">
        <v>1</v>
      </c>
      <c r="F41" s="4" t="s">
        <v>12</v>
      </c>
      <c r="G41" s="4" t="b">
        <v>1</v>
      </c>
      <c r="H41" s="4" t="s">
        <v>2905</v>
      </c>
      <c r="I41" s="4"/>
      <c r="J41" s="4" t="s">
        <v>20</v>
      </c>
      <c r="K41" s="1"/>
    </row>
    <row r="42" spans="1:11" ht="48" x14ac:dyDescent="0.2">
      <c r="A42" s="6" t="s">
        <v>553</v>
      </c>
      <c r="B42" s="6" t="s">
        <v>554</v>
      </c>
      <c r="C42" s="4" t="b">
        <v>1</v>
      </c>
      <c r="D42" s="4" t="b">
        <v>0</v>
      </c>
      <c r="E42" s="4" t="b">
        <v>1</v>
      </c>
      <c r="F42" s="4" t="s">
        <v>12</v>
      </c>
      <c r="G42" s="4" t="b">
        <v>1</v>
      </c>
      <c r="H42" s="4" t="s">
        <v>2906</v>
      </c>
      <c r="I42" s="4"/>
      <c r="J42" s="4" t="s">
        <v>20</v>
      </c>
      <c r="K42" s="1"/>
    </row>
    <row r="43" spans="1:11" ht="16" x14ac:dyDescent="0.2">
      <c r="A43" s="6" t="s">
        <v>559</v>
      </c>
      <c r="B43" s="6" t="s">
        <v>560</v>
      </c>
      <c r="C43" s="4" t="b">
        <v>1</v>
      </c>
      <c r="D43" s="4" t="b">
        <v>0</v>
      </c>
      <c r="E43" s="4" t="b">
        <v>1</v>
      </c>
      <c r="F43" s="4" t="s">
        <v>12</v>
      </c>
      <c r="G43" s="4" t="b">
        <v>1</v>
      </c>
      <c r="H43" s="4"/>
      <c r="I43" s="4"/>
      <c r="J43" s="4" t="s">
        <v>20</v>
      </c>
      <c r="K43" s="1"/>
    </row>
    <row r="44" spans="1:11" ht="16" x14ac:dyDescent="0.2">
      <c r="A44" s="6" t="s">
        <v>563</v>
      </c>
      <c r="B44" s="6" t="s">
        <v>564</v>
      </c>
      <c r="C44" s="4" t="b">
        <v>1</v>
      </c>
      <c r="D44" s="4" t="b">
        <v>0</v>
      </c>
      <c r="E44" s="4" t="b">
        <v>1</v>
      </c>
      <c r="F44" s="4" t="s">
        <v>12</v>
      </c>
      <c r="G44" s="4" t="b">
        <v>1</v>
      </c>
      <c r="H44" s="4"/>
      <c r="I44" s="4"/>
      <c r="J44" s="4" t="s">
        <v>20</v>
      </c>
      <c r="K44" s="1"/>
    </row>
    <row r="45" spans="1:11" ht="32" x14ac:dyDescent="0.2">
      <c r="A45" s="6" t="s">
        <v>565</v>
      </c>
      <c r="B45" s="6" t="s">
        <v>566</v>
      </c>
      <c r="C45" s="4" t="b">
        <v>1</v>
      </c>
      <c r="D45" s="4" t="b">
        <v>0</v>
      </c>
      <c r="E45" s="4" t="b">
        <v>1</v>
      </c>
      <c r="F45" s="4" t="s">
        <v>12</v>
      </c>
      <c r="G45" s="4" t="b">
        <v>1</v>
      </c>
      <c r="H45" s="4" t="s">
        <v>2937</v>
      </c>
      <c r="I45" s="4"/>
      <c r="J45" s="4" t="s">
        <v>20</v>
      </c>
      <c r="K45" s="1"/>
    </row>
    <row r="46" spans="1:11" ht="16" x14ac:dyDescent="0.2">
      <c r="A46" s="6" t="s">
        <v>571</v>
      </c>
      <c r="B46" s="6" t="s">
        <v>572</v>
      </c>
      <c r="C46" s="4" t="b">
        <v>1</v>
      </c>
      <c r="D46" s="4" t="b">
        <v>0</v>
      </c>
      <c r="E46" s="4" t="b">
        <v>1</v>
      </c>
      <c r="F46" s="4" t="s">
        <v>12</v>
      </c>
      <c r="G46" s="4" t="b">
        <v>1</v>
      </c>
      <c r="H46" s="4"/>
      <c r="I46" s="4"/>
      <c r="J46" s="4" t="s">
        <v>20</v>
      </c>
      <c r="K46" s="1"/>
    </row>
    <row r="47" spans="1:11" ht="16" x14ac:dyDescent="0.2">
      <c r="A47" s="6" t="s">
        <v>583</v>
      </c>
      <c r="B47" s="6" t="s">
        <v>584</v>
      </c>
      <c r="C47" s="4" t="b">
        <v>1</v>
      </c>
      <c r="D47" s="4" t="b">
        <v>0</v>
      </c>
      <c r="E47" s="4" t="b">
        <v>1</v>
      </c>
      <c r="F47" s="4" t="s">
        <v>12</v>
      </c>
      <c r="G47" s="4" t="b">
        <v>1</v>
      </c>
      <c r="H47" s="4"/>
      <c r="I47" s="4"/>
      <c r="J47" s="4" t="s">
        <v>20</v>
      </c>
      <c r="K47" s="1"/>
    </row>
    <row r="48" spans="1:11" ht="16" x14ac:dyDescent="0.2">
      <c r="A48" s="6" t="s">
        <v>585</v>
      </c>
      <c r="B48" s="6" t="s">
        <v>586</v>
      </c>
      <c r="C48" s="4" t="b">
        <v>1</v>
      </c>
      <c r="D48" s="4" t="b">
        <v>0</v>
      </c>
      <c r="E48" s="4" t="b">
        <v>1</v>
      </c>
      <c r="F48" s="4" t="s">
        <v>12</v>
      </c>
      <c r="G48" s="4" t="b">
        <v>1</v>
      </c>
      <c r="H48" s="4" t="s">
        <v>2938</v>
      </c>
      <c r="I48" s="4"/>
      <c r="J48" s="4" t="s">
        <v>20</v>
      </c>
      <c r="K48" s="1"/>
    </row>
    <row r="49" spans="1:11" ht="64" x14ac:dyDescent="0.2">
      <c r="A49" s="6" t="s">
        <v>601</v>
      </c>
      <c r="B49" s="6" t="s">
        <v>602</v>
      </c>
      <c r="C49" s="4" t="b">
        <v>1</v>
      </c>
      <c r="D49" s="4" t="b">
        <v>0</v>
      </c>
      <c r="E49" s="4" t="b">
        <v>1</v>
      </c>
      <c r="F49" s="4" t="s">
        <v>12</v>
      </c>
      <c r="G49" s="4" t="b">
        <v>1</v>
      </c>
      <c r="H49" s="4" t="s">
        <v>2939</v>
      </c>
      <c r="I49" s="4"/>
      <c r="J49" s="4" t="s">
        <v>20</v>
      </c>
      <c r="K49" s="1"/>
    </row>
    <row r="50" spans="1:11" ht="16" x14ac:dyDescent="0.2">
      <c r="A50" s="6" t="s">
        <v>607</v>
      </c>
      <c r="B50" s="6" t="s">
        <v>608</v>
      </c>
      <c r="C50" s="4" t="b">
        <v>1</v>
      </c>
      <c r="D50" s="4" t="b">
        <v>0</v>
      </c>
      <c r="E50" s="4" t="b">
        <v>1</v>
      </c>
      <c r="F50" s="4" t="s">
        <v>12</v>
      </c>
      <c r="G50" s="4" t="b">
        <v>1</v>
      </c>
      <c r="H50" s="4" t="s">
        <v>2940</v>
      </c>
      <c r="I50" s="4"/>
      <c r="J50" s="4" t="s">
        <v>20</v>
      </c>
      <c r="K50" s="1"/>
    </row>
    <row r="51" spans="1:11" ht="32" x14ac:dyDescent="0.2">
      <c r="A51" s="6" t="s">
        <v>615</v>
      </c>
      <c r="B51" s="6" t="s">
        <v>616</v>
      </c>
      <c r="C51" s="4" t="b">
        <v>1</v>
      </c>
      <c r="D51" s="4" t="b">
        <v>0</v>
      </c>
      <c r="E51" s="4" t="b">
        <v>1</v>
      </c>
      <c r="F51" s="4" t="s">
        <v>12</v>
      </c>
      <c r="G51" s="4" t="b">
        <v>1</v>
      </c>
      <c r="H51" s="4" t="s">
        <v>2944</v>
      </c>
      <c r="I51" s="4"/>
      <c r="J51" s="4" t="s">
        <v>20</v>
      </c>
      <c r="K51" s="1"/>
    </row>
    <row r="52" spans="1:11" ht="16" x14ac:dyDescent="0.2">
      <c r="A52" s="6" t="s">
        <v>634</v>
      </c>
      <c r="B52" s="6" t="s">
        <v>635</v>
      </c>
      <c r="C52" s="4" t="b">
        <v>1</v>
      </c>
      <c r="D52" s="4" t="b">
        <v>0</v>
      </c>
      <c r="E52" s="4" t="b">
        <v>1</v>
      </c>
      <c r="F52" s="4" t="s">
        <v>12</v>
      </c>
      <c r="G52" s="4" t="b">
        <v>1</v>
      </c>
      <c r="H52" s="4" t="s">
        <v>2946</v>
      </c>
      <c r="I52" s="4"/>
      <c r="J52" s="4" t="s">
        <v>621</v>
      </c>
      <c r="K52" s="1"/>
    </row>
    <row r="53" spans="1:11" ht="32" x14ac:dyDescent="0.2">
      <c r="A53" s="6" t="s">
        <v>642</v>
      </c>
      <c r="B53" s="6" t="s">
        <v>643</v>
      </c>
      <c r="C53" s="4" t="b">
        <v>1</v>
      </c>
      <c r="D53" s="4" t="b">
        <v>0</v>
      </c>
      <c r="E53" s="4" t="b">
        <v>1</v>
      </c>
      <c r="F53" s="4" t="s">
        <v>12</v>
      </c>
      <c r="G53" s="4" t="b">
        <v>1</v>
      </c>
      <c r="H53" s="4" t="s">
        <v>2948</v>
      </c>
      <c r="I53" s="4"/>
      <c r="J53" s="4" t="s">
        <v>621</v>
      </c>
      <c r="K53" s="1"/>
    </row>
    <row r="54" spans="1:11" ht="48" x14ac:dyDescent="0.2">
      <c r="A54" s="6" t="s">
        <v>656</v>
      </c>
      <c r="B54" s="6" t="s">
        <v>657</v>
      </c>
      <c r="C54" s="4" t="b">
        <v>1</v>
      </c>
      <c r="D54" s="4" t="b">
        <v>0</v>
      </c>
      <c r="E54" s="4" t="b">
        <v>1</v>
      </c>
      <c r="F54" s="4" t="s">
        <v>12</v>
      </c>
      <c r="G54" s="4" t="b">
        <v>1</v>
      </c>
      <c r="H54" s="4" t="s">
        <v>3144</v>
      </c>
      <c r="I54" s="4"/>
      <c r="J54" s="4" t="s">
        <v>621</v>
      </c>
      <c r="K54" s="1"/>
    </row>
    <row r="55" spans="1:11" ht="16" x14ac:dyDescent="0.2">
      <c r="A55" s="6" t="s">
        <v>658</v>
      </c>
      <c r="B55" s="6" t="s">
        <v>659</v>
      </c>
      <c r="C55" s="4" t="b">
        <v>1</v>
      </c>
      <c r="D55" s="4" t="b">
        <v>0</v>
      </c>
      <c r="E55" s="4" t="b">
        <v>1</v>
      </c>
      <c r="F55" s="4" t="s">
        <v>12</v>
      </c>
      <c r="G55" s="4" t="b">
        <v>1</v>
      </c>
      <c r="H55" s="4" t="s">
        <v>3143</v>
      </c>
      <c r="I55" s="4"/>
      <c r="J55" s="4" t="s">
        <v>621</v>
      </c>
      <c r="K55" s="1"/>
    </row>
    <row r="56" spans="1:11" ht="192" x14ac:dyDescent="0.2">
      <c r="A56" s="6" t="s">
        <v>672</v>
      </c>
      <c r="B56" s="6" t="s">
        <v>673</v>
      </c>
      <c r="C56" s="4" t="b">
        <v>1</v>
      </c>
      <c r="D56" s="4" t="b">
        <v>0</v>
      </c>
      <c r="E56" s="4" t="b">
        <v>1</v>
      </c>
      <c r="F56" s="4" t="s">
        <v>12</v>
      </c>
      <c r="G56" s="4" t="b">
        <v>1</v>
      </c>
      <c r="H56" s="4" t="s">
        <v>3142</v>
      </c>
      <c r="I56" s="4"/>
      <c r="J56" s="4" t="s">
        <v>621</v>
      </c>
      <c r="K56" s="1" t="s">
        <v>2998</v>
      </c>
    </row>
    <row r="57" spans="1:11" ht="48" x14ac:dyDescent="0.2">
      <c r="A57" s="6" t="s">
        <v>674</v>
      </c>
      <c r="B57" s="6" t="s">
        <v>675</v>
      </c>
      <c r="C57" s="4" t="b">
        <v>1</v>
      </c>
      <c r="D57" s="4" t="b">
        <v>0</v>
      </c>
      <c r="E57" s="4" t="b">
        <v>1</v>
      </c>
      <c r="F57" s="4" t="s">
        <v>12</v>
      </c>
      <c r="G57" s="4" t="b">
        <v>1</v>
      </c>
      <c r="H57" s="4" t="s">
        <v>3141</v>
      </c>
      <c r="I57" s="4"/>
      <c r="J57" s="4" t="s">
        <v>621</v>
      </c>
      <c r="K57" s="1"/>
    </row>
    <row r="58" spans="1:11" ht="96" x14ac:dyDescent="0.2">
      <c r="A58" s="6" t="s">
        <v>680</v>
      </c>
      <c r="B58" s="6" t="s">
        <v>681</v>
      </c>
      <c r="C58" s="4" t="b">
        <v>1</v>
      </c>
      <c r="D58" s="4" t="b">
        <v>0</v>
      </c>
      <c r="E58" s="4" t="b">
        <v>1</v>
      </c>
      <c r="F58" s="4" t="s">
        <v>12</v>
      </c>
      <c r="G58" s="4" t="b">
        <v>1</v>
      </c>
      <c r="H58" s="4" t="s">
        <v>3140</v>
      </c>
      <c r="I58" s="4"/>
      <c r="J58" s="4" t="s">
        <v>621</v>
      </c>
      <c r="K58" s="1"/>
    </row>
    <row r="59" spans="1:11" ht="64" x14ac:dyDescent="0.2">
      <c r="A59" s="6" t="s">
        <v>682</v>
      </c>
      <c r="B59" s="6" t="s">
        <v>683</v>
      </c>
      <c r="C59" s="4" t="b">
        <v>1</v>
      </c>
      <c r="D59" s="4" t="b">
        <v>0</v>
      </c>
      <c r="E59" s="4" t="b">
        <v>1</v>
      </c>
      <c r="F59" s="4" t="s">
        <v>12</v>
      </c>
      <c r="G59" s="4" t="b">
        <v>1</v>
      </c>
      <c r="H59" s="4" t="s">
        <v>3139</v>
      </c>
      <c r="I59" s="4"/>
      <c r="J59" s="4" t="s">
        <v>621</v>
      </c>
      <c r="K59" s="1"/>
    </row>
    <row r="60" spans="1:11" ht="80" x14ac:dyDescent="0.2">
      <c r="A60" s="6" t="s">
        <v>690</v>
      </c>
      <c r="B60" s="6" t="s">
        <v>691</v>
      </c>
      <c r="C60" s="4" t="b">
        <v>1</v>
      </c>
      <c r="D60" s="4" t="b">
        <v>0</v>
      </c>
      <c r="E60" s="4" t="b">
        <v>1</v>
      </c>
      <c r="F60" s="4" t="s">
        <v>12</v>
      </c>
      <c r="G60" s="4" t="b">
        <v>1</v>
      </c>
      <c r="H60" s="4" t="s">
        <v>3138</v>
      </c>
      <c r="I60" s="4"/>
      <c r="J60" s="4" t="s">
        <v>621</v>
      </c>
      <c r="K60" s="1"/>
    </row>
    <row r="61" spans="1:11" ht="16" x14ac:dyDescent="0.2">
      <c r="A61" s="6" t="s">
        <v>694</v>
      </c>
      <c r="B61" s="6" t="s">
        <v>695</v>
      </c>
      <c r="C61" s="4" t="b">
        <v>1</v>
      </c>
      <c r="D61" s="4" t="b">
        <v>0</v>
      </c>
      <c r="E61" s="4" t="b">
        <v>1</v>
      </c>
      <c r="F61" s="4" t="s">
        <v>12</v>
      </c>
      <c r="G61" s="4" t="b">
        <v>1</v>
      </c>
      <c r="H61" s="4" t="s">
        <v>3136</v>
      </c>
      <c r="I61" s="4"/>
      <c r="J61" s="4" t="s">
        <v>621</v>
      </c>
      <c r="K61" s="1"/>
    </row>
    <row r="62" spans="1:11" ht="32" x14ac:dyDescent="0.2">
      <c r="A62" s="6" t="s">
        <v>698</v>
      </c>
      <c r="B62" s="6" t="s">
        <v>699</v>
      </c>
      <c r="C62" s="4" t="b">
        <v>1</v>
      </c>
      <c r="D62" s="4" t="b">
        <v>0</v>
      </c>
      <c r="E62" s="4" t="b">
        <v>1</v>
      </c>
      <c r="F62" s="4" t="s">
        <v>12</v>
      </c>
      <c r="G62" s="4" t="b">
        <v>1</v>
      </c>
      <c r="H62" s="4" t="s">
        <v>3135</v>
      </c>
      <c r="I62" s="4"/>
      <c r="J62" s="4" t="s">
        <v>621</v>
      </c>
      <c r="K62" s="1"/>
    </row>
    <row r="63" spans="1:11" ht="32" x14ac:dyDescent="0.2">
      <c r="A63" s="6" t="s">
        <v>710</v>
      </c>
      <c r="B63" s="6" t="s">
        <v>711</v>
      </c>
      <c r="C63" s="4" t="b">
        <v>1</v>
      </c>
      <c r="D63" s="4" t="b">
        <v>0</v>
      </c>
      <c r="E63" s="4" t="b">
        <v>1</v>
      </c>
      <c r="F63" s="4" t="s">
        <v>12</v>
      </c>
      <c r="G63" s="4" t="b">
        <v>1</v>
      </c>
      <c r="H63" s="4" t="s">
        <v>3133</v>
      </c>
      <c r="I63" s="4"/>
      <c r="J63" s="4" t="s">
        <v>621</v>
      </c>
      <c r="K63" s="1"/>
    </row>
    <row r="64" spans="1:11" ht="80" x14ac:dyDescent="0.2">
      <c r="A64" s="6" t="s">
        <v>716</v>
      </c>
      <c r="B64" s="6" t="s">
        <v>717</v>
      </c>
      <c r="C64" s="4" t="b">
        <v>1</v>
      </c>
      <c r="D64" s="4" t="b">
        <v>0</v>
      </c>
      <c r="E64" s="4" t="b">
        <v>1</v>
      </c>
      <c r="F64" s="4" t="s">
        <v>12</v>
      </c>
      <c r="G64" s="4" t="b">
        <v>1</v>
      </c>
      <c r="H64" s="4" t="s">
        <v>3132</v>
      </c>
      <c r="I64" s="4"/>
      <c r="J64" s="4" t="s">
        <v>621</v>
      </c>
      <c r="K64" s="1"/>
    </row>
    <row r="65" spans="1:11" ht="16" x14ac:dyDescent="0.2">
      <c r="A65" s="6" t="s">
        <v>722</v>
      </c>
      <c r="B65" s="6" t="s">
        <v>723</v>
      </c>
      <c r="C65" s="4" t="b">
        <v>1</v>
      </c>
      <c r="D65" s="4" t="b">
        <v>0</v>
      </c>
      <c r="E65" s="4" t="b">
        <v>1</v>
      </c>
      <c r="F65" s="4" t="s">
        <v>12</v>
      </c>
      <c r="G65" s="4" t="b">
        <v>1</v>
      </c>
      <c r="H65" s="4" t="s">
        <v>3130</v>
      </c>
      <c r="I65" s="4"/>
      <c r="J65" s="4" t="s">
        <v>621</v>
      </c>
      <c r="K65" s="1"/>
    </row>
    <row r="66" spans="1:11" ht="16" x14ac:dyDescent="0.2">
      <c r="A66" s="6" t="s">
        <v>728</v>
      </c>
      <c r="B66" s="6" t="s">
        <v>729</v>
      </c>
      <c r="C66" s="4" t="b">
        <v>1</v>
      </c>
      <c r="D66" s="4" t="b">
        <v>0</v>
      </c>
      <c r="E66" s="4" t="b">
        <v>1</v>
      </c>
      <c r="F66" s="4" t="s">
        <v>12</v>
      </c>
      <c r="G66" s="4" t="b">
        <v>1</v>
      </c>
      <c r="H66" s="4" t="s">
        <v>3129</v>
      </c>
      <c r="I66" s="4"/>
      <c r="J66" s="4" t="s">
        <v>621</v>
      </c>
      <c r="K66" s="1"/>
    </row>
    <row r="67" spans="1:11" ht="32" x14ac:dyDescent="0.2">
      <c r="A67" s="6" t="s">
        <v>732</v>
      </c>
      <c r="B67" s="6" t="s">
        <v>733</v>
      </c>
      <c r="C67" s="4" t="b">
        <v>1</v>
      </c>
      <c r="D67" s="4" t="b">
        <v>0</v>
      </c>
      <c r="E67" s="4" t="b">
        <v>1</v>
      </c>
      <c r="F67" s="4" t="s">
        <v>12</v>
      </c>
      <c r="G67" s="4" t="b">
        <v>1</v>
      </c>
      <c r="H67" s="4" t="s">
        <v>3128</v>
      </c>
      <c r="I67" s="4"/>
      <c r="J67" s="4" t="s">
        <v>621</v>
      </c>
      <c r="K67" s="1"/>
    </row>
    <row r="68" spans="1:11" ht="144" x14ac:dyDescent="0.2">
      <c r="A68" s="6" t="s">
        <v>738</v>
      </c>
      <c r="B68" s="6" t="s">
        <v>739</v>
      </c>
      <c r="C68" s="4" t="b">
        <v>1</v>
      </c>
      <c r="D68" s="4" t="b">
        <v>0</v>
      </c>
      <c r="E68" s="4" t="b">
        <v>1</v>
      </c>
      <c r="F68" s="4" t="s">
        <v>12</v>
      </c>
      <c r="G68" s="4" t="b">
        <v>1</v>
      </c>
      <c r="H68" s="4" t="s">
        <v>3126</v>
      </c>
      <c r="I68" s="4"/>
      <c r="J68" s="4" t="s">
        <v>621</v>
      </c>
      <c r="K68" s="1"/>
    </row>
    <row r="69" spans="1:11" ht="32" x14ac:dyDescent="0.2">
      <c r="A69" s="6" t="s">
        <v>752</v>
      </c>
      <c r="B69" s="6" t="s">
        <v>753</v>
      </c>
      <c r="C69" s="4" t="b">
        <v>1</v>
      </c>
      <c r="D69" s="4" t="b">
        <v>0</v>
      </c>
      <c r="E69" s="4" t="b">
        <v>1</v>
      </c>
      <c r="F69" s="4" t="s">
        <v>12</v>
      </c>
      <c r="G69" s="4" t="b">
        <v>1</v>
      </c>
      <c r="H69" s="4" t="s">
        <v>3125</v>
      </c>
      <c r="I69" s="4"/>
      <c r="J69" s="4" t="s">
        <v>621</v>
      </c>
      <c r="K69" s="1"/>
    </row>
    <row r="70" spans="1:11" ht="32" x14ac:dyDescent="0.2">
      <c r="A70" s="6" t="s">
        <v>770</v>
      </c>
      <c r="B70" s="6" t="s">
        <v>771</v>
      </c>
      <c r="C70" s="4" t="b">
        <v>1</v>
      </c>
      <c r="D70" s="4" t="b">
        <v>0</v>
      </c>
      <c r="E70" s="4" t="b">
        <v>1</v>
      </c>
      <c r="F70" s="4" t="s">
        <v>12</v>
      </c>
      <c r="G70" s="4" t="b">
        <v>1</v>
      </c>
      <c r="H70" s="4" t="s">
        <v>772</v>
      </c>
      <c r="I70" s="4"/>
      <c r="J70" s="4" t="s">
        <v>14</v>
      </c>
      <c r="K70" s="1"/>
    </row>
    <row r="71" spans="1:11" ht="48" x14ac:dyDescent="0.2">
      <c r="A71" s="6" t="s">
        <v>773</v>
      </c>
      <c r="B71" s="6" t="s">
        <v>774</v>
      </c>
      <c r="C71" s="4" t="b">
        <v>1</v>
      </c>
      <c r="D71" s="4" t="b">
        <v>0</v>
      </c>
      <c r="E71" s="4" t="b">
        <v>1</v>
      </c>
      <c r="F71" s="4" t="s">
        <v>12</v>
      </c>
      <c r="G71" s="4" t="b">
        <v>1</v>
      </c>
      <c r="H71" s="4" t="s">
        <v>775</v>
      </c>
      <c r="I71" s="4"/>
      <c r="J71" s="4" t="s">
        <v>14</v>
      </c>
      <c r="K71" s="1"/>
    </row>
    <row r="72" spans="1:11" ht="32" x14ac:dyDescent="0.2">
      <c r="A72" s="6" t="s">
        <v>817</v>
      </c>
      <c r="B72" s="6" t="s">
        <v>818</v>
      </c>
      <c r="C72" s="4" t="b">
        <v>1</v>
      </c>
      <c r="D72" s="4" t="b">
        <v>0</v>
      </c>
      <c r="E72" s="4" t="b">
        <v>1</v>
      </c>
      <c r="F72" s="4" t="s">
        <v>12</v>
      </c>
      <c r="G72" s="4" t="b">
        <v>1</v>
      </c>
      <c r="H72" s="4" t="s">
        <v>3176</v>
      </c>
      <c r="I72" s="4"/>
      <c r="J72" s="4" t="s">
        <v>26</v>
      </c>
      <c r="K72" s="1" t="s">
        <v>2998</v>
      </c>
    </row>
    <row r="73" spans="1:11" ht="144" x14ac:dyDescent="0.2">
      <c r="A73" s="6" t="s">
        <v>819</v>
      </c>
      <c r="B73" s="6" t="s">
        <v>820</v>
      </c>
      <c r="C73" s="4" t="b">
        <v>1</v>
      </c>
      <c r="D73" s="4" t="b">
        <v>0</v>
      </c>
      <c r="E73" s="4" t="b">
        <v>1</v>
      </c>
      <c r="F73" s="4" t="s">
        <v>12</v>
      </c>
      <c r="G73" s="4" t="b">
        <v>1</v>
      </c>
      <c r="H73" s="4" t="s">
        <v>3175</v>
      </c>
      <c r="I73" s="4"/>
      <c r="J73" s="4" t="s">
        <v>26</v>
      </c>
      <c r="K73" s="1" t="s">
        <v>2998</v>
      </c>
    </row>
    <row r="74" spans="1:11" ht="16" x14ac:dyDescent="0.2">
      <c r="A74" s="6" t="s">
        <v>835</v>
      </c>
      <c r="B74" s="6" t="s">
        <v>836</v>
      </c>
      <c r="C74" s="4" t="b">
        <v>1</v>
      </c>
      <c r="D74" s="4" t="b">
        <v>0</v>
      </c>
      <c r="E74" s="4" t="b">
        <v>1</v>
      </c>
      <c r="F74" s="4" t="s">
        <v>12</v>
      </c>
      <c r="G74" s="4" t="b">
        <v>1</v>
      </c>
      <c r="H74" s="4"/>
      <c r="I74" s="4"/>
      <c r="J74" s="4" t="s">
        <v>20</v>
      </c>
      <c r="K74" s="1"/>
    </row>
    <row r="75" spans="1:11" ht="16" x14ac:dyDescent="0.2">
      <c r="A75" s="6" t="s">
        <v>853</v>
      </c>
      <c r="B75" s="6" t="s">
        <v>854</v>
      </c>
      <c r="C75" s="4" t="b">
        <v>1</v>
      </c>
      <c r="D75" s="4" t="b">
        <v>0</v>
      </c>
      <c r="E75" s="4" t="b">
        <v>1</v>
      </c>
      <c r="F75" s="4" t="s">
        <v>12</v>
      </c>
      <c r="G75" s="4" t="b">
        <v>1</v>
      </c>
      <c r="H75" s="4" t="s">
        <v>3172</v>
      </c>
      <c r="I75" s="4"/>
      <c r="J75" s="4" t="s">
        <v>20</v>
      </c>
      <c r="K75" s="1"/>
    </row>
    <row r="76" spans="1:11" ht="128" x14ac:dyDescent="0.2">
      <c r="A76" s="6" t="s">
        <v>861</v>
      </c>
      <c r="B76" s="6" t="s">
        <v>862</v>
      </c>
      <c r="C76" s="4" t="b">
        <v>1</v>
      </c>
      <c r="D76" s="4" t="b">
        <v>0</v>
      </c>
      <c r="E76" s="4" t="b">
        <v>1</v>
      </c>
      <c r="F76" s="4" t="s">
        <v>12</v>
      </c>
      <c r="G76" s="4" t="b">
        <v>1</v>
      </c>
      <c r="H76" s="4" t="s">
        <v>3169</v>
      </c>
      <c r="I76" s="4"/>
      <c r="J76" s="4" t="s">
        <v>20</v>
      </c>
      <c r="K76" s="1"/>
    </row>
    <row r="77" spans="1:11" ht="96" x14ac:dyDescent="0.2">
      <c r="A77" s="6" t="s">
        <v>867</v>
      </c>
      <c r="B77" s="6" t="s">
        <v>868</v>
      </c>
      <c r="C77" s="4" t="b">
        <v>1</v>
      </c>
      <c r="D77" s="4" t="b">
        <v>0</v>
      </c>
      <c r="E77" s="4" t="b">
        <v>1</v>
      </c>
      <c r="F77" s="4" t="s">
        <v>12</v>
      </c>
      <c r="G77" s="4" t="b">
        <v>1</v>
      </c>
      <c r="H77" s="4" t="s">
        <v>3168</v>
      </c>
      <c r="I77" s="4"/>
      <c r="J77" s="4" t="s">
        <v>20</v>
      </c>
      <c r="K77" s="1"/>
    </row>
    <row r="78" spans="1:11" ht="32" x14ac:dyDescent="0.2">
      <c r="A78" s="6" t="s">
        <v>885</v>
      </c>
      <c r="B78" s="6" t="s">
        <v>886</v>
      </c>
      <c r="C78" s="4" t="b">
        <v>1</v>
      </c>
      <c r="D78" s="4" t="b">
        <v>0</v>
      </c>
      <c r="E78" s="4" t="b">
        <v>1</v>
      </c>
      <c r="F78" s="4" t="s">
        <v>12</v>
      </c>
      <c r="G78" s="4" t="b">
        <v>1</v>
      </c>
      <c r="H78" s="4" t="s">
        <v>3166</v>
      </c>
      <c r="I78" s="4"/>
      <c r="J78" s="4" t="s">
        <v>20</v>
      </c>
      <c r="K78" s="1"/>
    </row>
    <row r="79" spans="1:11" ht="80" x14ac:dyDescent="0.2">
      <c r="A79" s="6" t="s">
        <v>889</v>
      </c>
      <c r="B79" s="6" t="s">
        <v>890</v>
      </c>
      <c r="C79" s="4" t="b">
        <v>1</v>
      </c>
      <c r="D79" s="4" t="b">
        <v>0</v>
      </c>
      <c r="E79" s="4" t="b">
        <v>1</v>
      </c>
      <c r="F79" s="4" t="s">
        <v>12</v>
      </c>
      <c r="G79" s="4" t="b">
        <v>1</v>
      </c>
      <c r="H79" s="4" t="s">
        <v>3165</v>
      </c>
      <c r="I79" s="4"/>
      <c r="J79" s="4" t="s">
        <v>20</v>
      </c>
      <c r="K79" s="1"/>
    </row>
    <row r="80" spans="1:11" ht="160" x14ac:dyDescent="0.2">
      <c r="A80" s="6" t="s">
        <v>921</v>
      </c>
      <c r="B80" s="6" t="s">
        <v>922</v>
      </c>
      <c r="C80" s="4" t="b">
        <v>1</v>
      </c>
      <c r="D80" s="4" t="b">
        <v>0</v>
      </c>
      <c r="E80" s="4" t="b">
        <v>1</v>
      </c>
      <c r="F80" s="4" t="s">
        <v>12</v>
      </c>
      <c r="G80" s="4" t="b">
        <v>1</v>
      </c>
      <c r="H80" s="4" t="s">
        <v>3164</v>
      </c>
      <c r="I80" s="4"/>
      <c r="J80" s="4" t="s">
        <v>20</v>
      </c>
      <c r="K80" s="1"/>
    </row>
    <row r="81" spans="1:11" ht="64" x14ac:dyDescent="0.2">
      <c r="A81" s="6" t="s">
        <v>927</v>
      </c>
      <c r="B81" s="6" t="s">
        <v>928</v>
      </c>
      <c r="C81" s="4" t="b">
        <v>1</v>
      </c>
      <c r="D81" s="4" t="b">
        <v>0</v>
      </c>
      <c r="E81" s="4" t="b">
        <v>1</v>
      </c>
      <c r="F81" s="4" t="s">
        <v>12</v>
      </c>
      <c r="G81" s="4" t="b">
        <v>1</v>
      </c>
      <c r="H81" s="4" t="s">
        <v>3162</v>
      </c>
      <c r="I81" s="4"/>
      <c r="J81" s="4" t="s">
        <v>20</v>
      </c>
      <c r="K81" s="1"/>
    </row>
    <row r="82" spans="1:11" ht="48" x14ac:dyDescent="0.2">
      <c r="A82" s="6" t="s">
        <v>1185</v>
      </c>
      <c r="B82" s="6" t="s">
        <v>1186</v>
      </c>
      <c r="C82" s="4" t="b">
        <v>1</v>
      </c>
      <c r="D82" s="4" t="b">
        <v>0</v>
      </c>
      <c r="E82" s="4" t="b">
        <v>1</v>
      </c>
      <c r="F82" s="4" t="s">
        <v>12</v>
      </c>
      <c r="G82" s="4" t="b">
        <v>1</v>
      </c>
      <c r="H82" s="4" t="s">
        <v>3163</v>
      </c>
      <c r="I82" s="4"/>
      <c r="J82" s="4" t="s">
        <v>94</v>
      </c>
      <c r="K82" s="1"/>
    </row>
    <row r="83" spans="1:11" ht="64" x14ac:dyDescent="0.2">
      <c r="A83" s="6" t="s">
        <v>1193</v>
      </c>
      <c r="B83" s="6" t="s">
        <v>1194</v>
      </c>
      <c r="C83" s="4" t="b">
        <v>1</v>
      </c>
      <c r="D83" s="4" t="b">
        <v>0</v>
      </c>
      <c r="E83" s="4" t="b">
        <v>1</v>
      </c>
      <c r="F83" s="4" t="s">
        <v>12</v>
      </c>
      <c r="G83" s="4" t="b">
        <v>1</v>
      </c>
      <c r="H83" s="4" t="s">
        <v>3159</v>
      </c>
      <c r="I83" s="4"/>
      <c r="J83" s="4" t="s">
        <v>94</v>
      </c>
      <c r="K83" s="1"/>
    </row>
    <row r="84" spans="1:11" ht="16" x14ac:dyDescent="0.2">
      <c r="A84" s="6" t="s">
        <v>1197</v>
      </c>
      <c r="B84" s="6" t="s">
        <v>1198</v>
      </c>
      <c r="C84" s="4" t="b">
        <v>1</v>
      </c>
      <c r="D84" s="4" t="b">
        <v>0</v>
      </c>
      <c r="E84" s="4" t="b">
        <v>1</v>
      </c>
      <c r="F84" s="4" t="s">
        <v>12</v>
      </c>
      <c r="G84" s="4" t="b">
        <v>1</v>
      </c>
      <c r="H84" s="4"/>
      <c r="I84" s="4"/>
      <c r="J84" s="4" t="s">
        <v>94</v>
      </c>
      <c r="K84" s="1"/>
    </row>
    <row r="85" spans="1:11" ht="16" x14ac:dyDescent="0.2">
      <c r="A85" s="6" t="s">
        <v>1207</v>
      </c>
      <c r="B85" s="6" t="s">
        <v>1208</v>
      </c>
      <c r="C85" s="4" t="b">
        <v>1</v>
      </c>
      <c r="D85" s="4" t="b">
        <v>0</v>
      </c>
      <c r="E85" s="4" t="b">
        <v>1</v>
      </c>
      <c r="F85" s="4" t="s">
        <v>12</v>
      </c>
      <c r="G85" s="4" t="b">
        <v>1</v>
      </c>
      <c r="H85" s="4"/>
      <c r="I85" s="4"/>
      <c r="J85" s="4" t="s">
        <v>94</v>
      </c>
      <c r="K85" s="1"/>
    </row>
    <row r="86" spans="1:11" ht="64" x14ac:dyDescent="0.2">
      <c r="A86" s="6" t="s">
        <v>1209</v>
      </c>
      <c r="B86" s="6" t="s">
        <v>1210</v>
      </c>
      <c r="C86" s="4" t="b">
        <v>1</v>
      </c>
      <c r="D86" s="4" t="b">
        <v>0</v>
      </c>
      <c r="E86" s="4" t="b">
        <v>1</v>
      </c>
      <c r="F86" s="4" t="s">
        <v>12</v>
      </c>
      <c r="G86" s="4" t="b">
        <v>1</v>
      </c>
      <c r="H86" s="4" t="s">
        <v>3157</v>
      </c>
      <c r="I86" s="4"/>
      <c r="J86" s="4" t="s">
        <v>94</v>
      </c>
      <c r="K86" s="1"/>
    </row>
    <row r="87" spans="1:11" ht="32" x14ac:dyDescent="0.2">
      <c r="A87" s="6" t="s">
        <v>1211</v>
      </c>
      <c r="B87" s="6" t="s">
        <v>1212</v>
      </c>
      <c r="C87" s="4" t="b">
        <v>1</v>
      </c>
      <c r="D87" s="4" t="b">
        <v>0</v>
      </c>
      <c r="E87" s="4" t="b">
        <v>1</v>
      </c>
      <c r="F87" s="4" t="s">
        <v>12</v>
      </c>
      <c r="G87" s="4" t="b">
        <v>1</v>
      </c>
      <c r="H87" s="4" t="s">
        <v>3150</v>
      </c>
      <c r="I87" s="4"/>
      <c r="J87" s="4" t="s">
        <v>94</v>
      </c>
      <c r="K87" s="1" t="s">
        <v>2998</v>
      </c>
    </row>
    <row r="88" spans="1:11" ht="96" x14ac:dyDescent="0.2">
      <c r="A88" s="6" t="s">
        <v>1217</v>
      </c>
      <c r="B88" s="6" t="s">
        <v>1218</v>
      </c>
      <c r="C88" s="4" t="b">
        <v>1</v>
      </c>
      <c r="D88" s="4" t="b">
        <v>0</v>
      </c>
      <c r="E88" s="4" t="b">
        <v>1</v>
      </c>
      <c r="F88" s="4" t="s">
        <v>12</v>
      </c>
      <c r="G88" s="4" t="b">
        <v>1</v>
      </c>
      <c r="H88" s="4" t="s">
        <v>3156</v>
      </c>
      <c r="I88" s="4"/>
      <c r="J88" s="4" t="s">
        <v>94</v>
      </c>
      <c r="K88" s="1"/>
    </row>
    <row r="89" spans="1:11" ht="48" x14ac:dyDescent="0.2">
      <c r="A89" s="6" t="s">
        <v>1219</v>
      </c>
      <c r="B89" s="6" t="s">
        <v>1220</v>
      </c>
      <c r="C89" s="4" t="b">
        <v>1</v>
      </c>
      <c r="D89" s="4" t="b">
        <v>0</v>
      </c>
      <c r="E89" s="4" t="b">
        <v>1</v>
      </c>
      <c r="F89" s="4" t="s">
        <v>12</v>
      </c>
      <c r="G89" s="4" t="b">
        <v>1</v>
      </c>
      <c r="H89" s="4" t="s">
        <v>3155</v>
      </c>
      <c r="I89" s="4"/>
      <c r="J89" s="4" t="s">
        <v>94</v>
      </c>
      <c r="K89" s="1"/>
    </row>
    <row r="90" spans="1:11" ht="16" x14ac:dyDescent="0.2">
      <c r="A90" s="6" t="s">
        <v>1221</v>
      </c>
      <c r="B90" s="6" t="s">
        <v>1222</v>
      </c>
      <c r="C90" s="4" t="b">
        <v>1</v>
      </c>
      <c r="D90" s="4" t="b">
        <v>0</v>
      </c>
      <c r="E90" s="4" t="b">
        <v>1</v>
      </c>
      <c r="F90" s="4" t="s">
        <v>12</v>
      </c>
      <c r="G90" s="4" t="b">
        <v>1</v>
      </c>
      <c r="H90" s="4"/>
      <c r="I90" s="4"/>
      <c r="J90" s="4" t="s">
        <v>94</v>
      </c>
      <c r="K90" s="1"/>
    </row>
    <row r="91" spans="1:11" ht="32" x14ac:dyDescent="0.2">
      <c r="A91" s="6" t="s">
        <v>1233</v>
      </c>
      <c r="B91" s="6" t="s">
        <v>1234</v>
      </c>
      <c r="C91" s="4" t="b">
        <v>1</v>
      </c>
      <c r="D91" s="4" t="b">
        <v>0</v>
      </c>
      <c r="E91" s="4" t="b">
        <v>1</v>
      </c>
      <c r="F91" s="4" t="s">
        <v>12</v>
      </c>
      <c r="G91" s="4" t="b">
        <v>1</v>
      </c>
      <c r="H91" s="4" t="s">
        <v>3152</v>
      </c>
      <c r="I91" s="4"/>
      <c r="J91" s="4" t="s">
        <v>94</v>
      </c>
      <c r="K91" s="1" t="s">
        <v>2998</v>
      </c>
    </row>
    <row r="92" spans="1:11" ht="32" x14ac:dyDescent="0.2">
      <c r="A92" s="6" t="s">
        <v>1237</v>
      </c>
      <c r="B92" s="6" t="s">
        <v>1238</v>
      </c>
      <c r="C92" s="4" t="b">
        <v>1</v>
      </c>
      <c r="D92" s="4" t="b">
        <v>0</v>
      </c>
      <c r="E92" s="4" t="b">
        <v>1</v>
      </c>
      <c r="F92" s="4" t="s">
        <v>12</v>
      </c>
      <c r="G92" s="4" t="b">
        <v>1</v>
      </c>
      <c r="H92" s="4" t="s">
        <v>3151</v>
      </c>
      <c r="I92" s="4"/>
      <c r="J92" s="4" t="s">
        <v>94</v>
      </c>
      <c r="K92" s="1"/>
    </row>
    <row r="93" spans="1:11" ht="16" x14ac:dyDescent="0.2">
      <c r="A93" s="6" t="s">
        <v>1245</v>
      </c>
      <c r="B93" s="6" t="s">
        <v>1246</v>
      </c>
      <c r="C93" s="4" t="b">
        <v>1</v>
      </c>
      <c r="D93" s="4" t="b">
        <v>0</v>
      </c>
      <c r="E93" s="4" t="b">
        <v>1</v>
      </c>
      <c r="F93" s="4" t="s">
        <v>12</v>
      </c>
      <c r="G93" s="4" t="b">
        <v>1</v>
      </c>
      <c r="H93" s="4"/>
      <c r="I93" s="4"/>
      <c r="J93" s="4" t="s">
        <v>94</v>
      </c>
      <c r="K93" s="1"/>
    </row>
    <row r="94" spans="1:11" ht="16" x14ac:dyDescent="0.2">
      <c r="A94" s="6" t="s">
        <v>1249</v>
      </c>
      <c r="B94" s="6" t="s">
        <v>1250</v>
      </c>
      <c r="C94" s="4" t="b">
        <v>1</v>
      </c>
      <c r="D94" s="4" t="b">
        <v>0</v>
      </c>
      <c r="E94" s="4" t="b">
        <v>1</v>
      </c>
      <c r="F94" s="4" t="s">
        <v>12</v>
      </c>
      <c r="G94" s="4" t="b">
        <v>1</v>
      </c>
      <c r="H94" s="4" t="s">
        <v>3150</v>
      </c>
      <c r="I94" s="4"/>
      <c r="J94" s="4" t="s">
        <v>94</v>
      </c>
      <c r="K94" s="1"/>
    </row>
    <row r="95" spans="1:11" ht="48" x14ac:dyDescent="0.2">
      <c r="A95" s="6" t="s">
        <v>1267</v>
      </c>
      <c r="B95" s="6" t="s">
        <v>1268</v>
      </c>
      <c r="C95" s="4" t="b">
        <v>1</v>
      </c>
      <c r="D95" s="4" t="b">
        <v>0</v>
      </c>
      <c r="E95" s="4" t="b">
        <v>1</v>
      </c>
      <c r="F95" s="4" t="s">
        <v>12</v>
      </c>
      <c r="G95" s="4" t="b">
        <v>1</v>
      </c>
      <c r="H95" s="4" t="s">
        <v>3149</v>
      </c>
      <c r="I95" s="4"/>
      <c r="J95" s="4" t="s">
        <v>94</v>
      </c>
      <c r="K95" s="1"/>
    </row>
    <row r="96" spans="1:11" ht="48" x14ac:dyDescent="0.2">
      <c r="A96" s="6" t="s">
        <v>1277</v>
      </c>
      <c r="B96" s="6" t="s">
        <v>1278</v>
      </c>
      <c r="C96" s="4" t="b">
        <v>1</v>
      </c>
      <c r="D96" s="4" t="b">
        <v>0</v>
      </c>
      <c r="E96" s="4" t="b">
        <v>1</v>
      </c>
      <c r="F96" s="4" t="s">
        <v>12</v>
      </c>
      <c r="G96" s="4" t="b">
        <v>1</v>
      </c>
      <c r="H96" s="4" t="s">
        <v>3148</v>
      </c>
      <c r="I96" s="4"/>
      <c r="J96" s="4" t="s">
        <v>94</v>
      </c>
      <c r="K96" s="1"/>
    </row>
    <row r="97" spans="1:11" ht="64" x14ac:dyDescent="0.2">
      <c r="A97" s="6" t="s">
        <v>1291</v>
      </c>
      <c r="B97" s="6" t="s">
        <v>1292</v>
      </c>
      <c r="C97" s="4" t="b">
        <v>1</v>
      </c>
      <c r="D97" s="4" t="b">
        <v>0</v>
      </c>
      <c r="E97" s="4" t="b">
        <v>1</v>
      </c>
      <c r="F97" s="4" t="s">
        <v>12</v>
      </c>
      <c r="G97" s="4" t="b">
        <v>1</v>
      </c>
      <c r="H97" s="4" t="s">
        <v>3146</v>
      </c>
      <c r="I97" s="4"/>
      <c r="J97" s="4" t="s">
        <v>94</v>
      </c>
      <c r="K97" s="1"/>
    </row>
    <row r="98" spans="1:11" ht="32" x14ac:dyDescent="0.2">
      <c r="A98" s="6" t="s">
        <v>1316</v>
      </c>
      <c r="B98" s="6" t="s">
        <v>1317</v>
      </c>
      <c r="C98" s="4" t="b">
        <v>1</v>
      </c>
      <c r="D98" s="4" t="b">
        <v>0</v>
      </c>
      <c r="E98" s="4" t="b">
        <v>1</v>
      </c>
      <c r="F98" s="4" t="s">
        <v>12</v>
      </c>
      <c r="G98" s="4" t="b">
        <v>1</v>
      </c>
      <c r="H98" s="4" t="s">
        <v>3095</v>
      </c>
      <c r="I98" s="4"/>
      <c r="J98" s="4" t="s">
        <v>1309</v>
      </c>
      <c r="K98" s="1"/>
    </row>
    <row r="99" spans="1:11" ht="176" x14ac:dyDescent="0.2">
      <c r="A99" s="6" t="s">
        <v>1320</v>
      </c>
      <c r="B99" s="6" t="s">
        <v>1321</v>
      </c>
      <c r="C99" s="4" t="b">
        <v>1</v>
      </c>
      <c r="D99" s="4" t="b">
        <v>0</v>
      </c>
      <c r="E99" s="4" t="b">
        <v>1</v>
      </c>
      <c r="F99" s="4" t="s">
        <v>12</v>
      </c>
      <c r="G99" s="4" t="b">
        <v>1</v>
      </c>
      <c r="H99" s="4" t="s">
        <v>3093</v>
      </c>
      <c r="I99" s="4"/>
      <c r="J99" s="4" t="s">
        <v>1309</v>
      </c>
      <c r="K99" s="1"/>
    </row>
    <row r="100" spans="1:11" ht="64" x14ac:dyDescent="0.2">
      <c r="A100" s="6" t="s">
        <v>1339</v>
      </c>
      <c r="B100" s="6" t="s">
        <v>1340</v>
      </c>
      <c r="C100" s="4" t="b">
        <v>1</v>
      </c>
      <c r="D100" s="4" t="b">
        <v>0</v>
      </c>
      <c r="E100" s="4" t="b">
        <v>1</v>
      </c>
      <c r="F100" s="4" t="s">
        <v>12</v>
      </c>
      <c r="G100" s="4" t="b">
        <v>1</v>
      </c>
      <c r="H100" s="4" t="s">
        <v>3091</v>
      </c>
      <c r="I100" s="4"/>
      <c r="J100" s="4" t="s">
        <v>1336</v>
      </c>
      <c r="K100" s="1"/>
    </row>
    <row r="101" spans="1:11" ht="128" x14ac:dyDescent="0.2">
      <c r="A101" s="6" t="s">
        <v>1343</v>
      </c>
      <c r="B101" s="6" t="s">
        <v>1344</v>
      </c>
      <c r="C101" s="4" t="b">
        <v>1</v>
      </c>
      <c r="D101" s="4" t="b">
        <v>0</v>
      </c>
      <c r="E101" s="4" t="b">
        <v>1</v>
      </c>
      <c r="F101" s="4" t="s">
        <v>12</v>
      </c>
      <c r="G101" s="4" t="b">
        <v>1</v>
      </c>
      <c r="H101" s="4" t="s">
        <v>3090</v>
      </c>
      <c r="I101" s="4"/>
      <c r="J101" s="4" t="s">
        <v>621</v>
      </c>
      <c r="K101" s="1"/>
    </row>
    <row r="102" spans="1:11" ht="112" x14ac:dyDescent="0.2">
      <c r="A102" s="6" t="s">
        <v>1353</v>
      </c>
      <c r="B102" s="6" t="s">
        <v>1354</v>
      </c>
      <c r="C102" s="4" t="b">
        <v>1</v>
      </c>
      <c r="D102" s="4" t="b">
        <v>0</v>
      </c>
      <c r="E102" s="4" t="b">
        <v>1</v>
      </c>
      <c r="F102" s="4" t="s">
        <v>12</v>
      </c>
      <c r="G102" s="4" t="b">
        <v>1</v>
      </c>
      <c r="H102" s="4" t="s">
        <v>3088</v>
      </c>
      <c r="I102" s="4"/>
      <c r="J102" s="4" t="s">
        <v>621</v>
      </c>
      <c r="K102" s="1"/>
    </row>
    <row r="103" spans="1:11" ht="64" x14ac:dyDescent="0.2">
      <c r="A103" s="6" t="s">
        <v>1365</v>
      </c>
      <c r="B103" s="6" t="s">
        <v>1366</v>
      </c>
      <c r="C103" s="4" t="b">
        <v>1</v>
      </c>
      <c r="D103" s="4" t="b">
        <v>0</v>
      </c>
      <c r="E103" s="4" t="b">
        <v>1</v>
      </c>
      <c r="F103" s="4" t="s">
        <v>12</v>
      </c>
      <c r="G103" s="4" t="b">
        <v>1</v>
      </c>
      <c r="H103" s="4" t="s">
        <v>3145</v>
      </c>
      <c r="I103" s="4"/>
      <c r="J103" s="4" t="s">
        <v>621</v>
      </c>
      <c r="K103" s="1"/>
    </row>
    <row r="104" spans="1:11" ht="48" x14ac:dyDescent="0.2">
      <c r="A104" s="6" t="s">
        <v>1369</v>
      </c>
      <c r="B104" s="6" t="s">
        <v>1370</v>
      </c>
      <c r="C104" s="4" t="b">
        <v>1</v>
      </c>
      <c r="D104" s="4" t="b">
        <v>0</v>
      </c>
      <c r="E104" s="4" t="b">
        <v>1</v>
      </c>
      <c r="F104" s="4" t="s">
        <v>12</v>
      </c>
      <c r="G104" s="4" t="b">
        <v>1</v>
      </c>
      <c r="H104" s="4" t="s">
        <v>3084</v>
      </c>
      <c r="I104" s="4"/>
      <c r="J104" s="4" t="s">
        <v>621</v>
      </c>
      <c r="K104" s="1"/>
    </row>
    <row r="105" spans="1:11" ht="16" x14ac:dyDescent="0.2">
      <c r="A105" s="6" t="s">
        <v>1377</v>
      </c>
      <c r="B105" s="6" t="s">
        <v>1378</v>
      </c>
      <c r="C105" s="4" t="b">
        <v>1</v>
      </c>
      <c r="D105" s="4" t="b">
        <v>0</v>
      </c>
      <c r="E105" s="4" t="b">
        <v>1</v>
      </c>
      <c r="F105" s="4" t="s">
        <v>12</v>
      </c>
      <c r="G105" s="4" t="b">
        <v>1</v>
      </c>
      <c r="H105" s="4"/>
      <c r="I105" s="4"/>
      <c r="J105" s="4" t="s">
        <v>621</v>
      </c>
      <c r="K105" s="1"/>
    </row>
    <row r="106" spans="1:11" ht="48" x14ac:dyDescent="0.2">
      <c r="A106" s="6" t="s">
        <v>1379</v>
      </c>
      <c r="B106" s="6" t="s">
        <v>1380</v>
      </c>
      <c r="C106" s="4" t="b">
        <v>1</v>
      </c>
      <c r="D106" s="4" t="b">
        <v>0</v>
      </c>
      <c r="E106" s="4" t="b">
        <v>1</v>
      </c>
      <c r="F106" s="4" t="s">
        <v>12</v>
      </c>
      <c r="G106" s="4" t="b">
        <v>1</v>
      </c>
      <c r="H106" s="4" t="s">
        <v>3083</v>
      </c>
      <c r="I106" s="4"/>
      <c r="J106" s="4" t="s">
        <v>621</v>
      </c>
      <c r="K106" s="1"/>
    </row>
    <row r="107" spans="1:11" ht="32" x14ac:dyDescent="0.2">
      <c r="A107" s="6" t="s">
        <v>1381</v>
      </c>
      <c r="B107" s="6" t="s">
        <v>1382</v>
      </c>
      <c r="C107" s="4" t="b">
        <v>1</v>
      </c>
      <c r="D107" s="4" t="b">
        <v>0</v>
      </c>
      <c r="E107" s="4" t="b">
        <v>1</v>
      </c>
      <c r="F107" s="4" t="s">
        <v>12</v>
      </c>
      <c r="G107" s="4" t="b">
        <v>1</v>
      </c>
      <c r="H107" s="4" t="s">
        <v>3082</v>
      </c>
      <c r="I107" s="4"/>
      <c r="J107" s="4" t="s">
        <v>621</v>
      </c>
      <c r="K107" s="1"/>
    </row>
    <row r="108" spans="1:11" ht="16" x14ac:dyDescent="0.2">
      <c r="A108" s="6" t="s">
        <v>1389</v>
      </c>
      <c r="B108" s="6" t="s">
        <v>1390</v>
      </c>
      <c r="C108" s="4" t="b">
        <v>1</v>
      </c>
      <c r="D108" s="4" t="b">
        <v>0</v>
      </c>
      <c r="E108" s="4" t="b">
        <v>1</v>
      </c>
      <c r="F108" s="4" t="s">
        <v>12</v>
      </c>
      <c r="G108" s="4" t="b">
        <v>1</v>
      </c>
      <c r="H108" s="1"/>
      <c r="I108" s="4"/>
      <c r="J108" s="4" t="s">
        <v>621</v>
      </c>
      <c r="K108" s="1"/>
    </row>
    <row r="109" spans="1:11" ht="48" x14ac:dyDescent="0.2">
      <c r="A109" s="6" t="s">
        <v>1395</v>
      </c>
      <c r="B109" s="6" t="s">
        <v>1396</v>
      </c>
      <c r="C109" s="4" t="b">
        <v>1</v>
      </c>
      <c r="D109" s="4" t="b">
        <v>0</v>
      </c>
      <c r="E109" s="4" t="b">
        <v>1</v>
      </c>
      <c r="F109" s="4" t="s">
        <v>12</v>
      </c>
      <c r="G109" s="4" t="b">
        <v>1</v>
      </c>
      <c r="H109" s="4" t="s">
        <v>3081</v>
      </c>
      <c r="I109" s="4"/>
      <c r="J109" s="4" t="s">
        <v>621</v>
      </c>
      <c r="K109" s="1"/>
    </row>
    <row r="110" spans="1:11" ht="16" x14ac:dyDescent="0.2">
      <c r="A110" s="6" t="s">
        <v>1401</v>
      </c>
      <c r="B110" s="6" t="s">
        <v>1402</v>
      </c>
      <c r="C110" s="4" t="b">
        <v>1</v>
      </c>
      <c r="D110" s="4" t="b">
        <v>0</v>
      </c>
      <c r="E110" s="4" t="b">
        <v>1</v>
      </c>
      <c r="F110" s="4" t="s">
        <v>12</v>
      </c>
      <c r="G110" s="4" t="b">
        <v>1</v>
      </c>
      <c r="H110" s="4" t="s">
        <v>3080</v>
      </c>
      <c r="I110" s="4"/>
      <c r="J110" s="4" t="s">
        <v>621</v>
      </c>
      <c r="K110" s="1"/>
    </row>
    <row r="111" spans="1:11" ht="128" x14ac:dyDescent="0.2">
      <c r="A111" s="6" t="s">
        <v>1421</v>
      </c>
      <c r="B111" s="6" t="s">
        <v>1422</v>
      </c>
      <c r="C111" s="4" t="b">
        <v>1</v>
      </c>
      <c r="D111" s="4" t="b">
        <v>0</v>
      </c>
      <c r="E111" s="4" t="b">
        <v>1</v>
      </c>
      <c r="F111" s="4" t="s">
        <v>12</v>
      </c>
      <c r="G111" s="4" t="b">
        <v>1</v>
      </c>
      <c r="H111" s="4" t="s">
        <v>3077</v>
      </c>
      <c r="I111" s="4"/>
      <c r="J111" s="4" t="s">
        <v>621</v>
      </c>
      <c r="K111" s="1"/>
    </row>
    <row r="112" spans="1:11" ht="48" x14ac:dyDescent="0.2">
      <c r="A112" s="6" t="s">
        <v>1429</v>
      </c>
      <c r="B112" s="6" t="s">
        <v>1430</v>
      </c>
      <c r="C112" s="4" t="b">
        <v>1</v>
      </c>
      <c r="D112" s="4" t="b">
        <v>0</v>
      </c>
      <c r="E112" s="4" t="b">
        <v>1</v>
      </c>
      <c r="F112" s="4" t="s">
        <v>12</v>
      </c>
      <c r="G112" s="4" t="b">
        <v>1</v>
      </c>
      <c r="H112" s="4" t="s">
        <v>3076</v>
      </c>
      <c r="I112" s="4"/>
      <c r="J112" s="4" t="s">
        <v>621</v>
      </c>
      <c r="K112" s="1"/>
    </row>
    <row r="113" spans="1:11" ht="64" x14ac:dyDescent="0.2">
      <c r="A113" s="6" t="s">
        <v>1431</v>
      </c>
      <c r="B113" s="6" t="s">
        <v>1432</v>
      </c>
      <c r="C113" s="4" t="b">
        <v>1</v>
      </c>
      <c r="D113" s="4" t="b">
        <v>0</v>
      </c>
      <c r="E113" s="4" t="b">
        <v>1</v>
      </c>
      <c r="F113" s="4" t="s">
        <v>12</v>
      </c>
      <c r="G113" s="4" t="b">
        <v>1</v>
      </c>
      <c r="H113" s="4" t="s">
        <v>3075</v>
      </c>
      <c r="I113" s="4"/>
      <c r="J113" s="4" t="s">
        <v>621</v>
      </c>
      <c r="K113" s="1"/>
    </row>
    <row r="114" spans="1:11" ht="16" x14ac:dyDescent="0.2">
      <c r="A114" s="6" t="s">
        <v>1433</v>
      </c>
      <c r="B114" s="6" t="s">
        <v>1434</v>
      </c>
      <c r="C114" s="4" t="b">
        <v>1</v>
      </c>
      <c r="D114" s="4" t="b">
        <v>0</v>
      </c>
      <c r="E114" s="4" t="b">
        <v>1</v>
      </c>
      <c r="F114" s="4" t="s">
        <v>12</v>
      </c>
      <c r="G114" s="4" t="b">
        <v>1</v>
      </c>
      <c r="H114" s="4"/>
      <c r="I114" s="4"/>
      <c r="J114" s="4" t="s">
        <v>621</v>
      </c>
      <c r="K114" s="1"/>
    </row>
    <row r="115" spans="1:11" ht="32" x14ac:dyDescent="0.2">
      <c r="A115" s="6" t="s">
        <v>1437</v>
      </c>
      <c r="B115" s="6" t="s">
        <v>1438</v>
      </c>
      <c r="C115" s="4" t="b">
        <v>1</v>
      </c>
      <c r="D115" s="4" t="b">
        <v>0</v>
      </c>
      <c r="E115" s="4" t="b">
        <v>1</v>
      </c>
      <c r="F115" s="4" t="s">
        <v>12</v>
      </c>
      <c r="G115" s="4" t="b">
        <v>1</v>
      </c>
      <c r="H115" s="4" t="s">
        <v>3074</v>
      </c>
      <c r="I115" s="4"/>
      <c r="J115" s="4" t="s">
        <v>621</v>
      </c>
      <c r="K115" s="1"/>
    </row>
    <row r="116" spans="1:11" ht="16" x14ac:dyDescent="0.2">
      <c r="A116" s="6" t="s">
        <v>1651</v>
      </c>
      <c r="B116" s="6" t="s">
        <v>1652</v>
      </c>
      <c r="C116" s="4" t="b">
        <v>1</v>
      </c>
      <c r="D116" s="4" t="b">
        <v>0</v>
      </c>
      <c r="E116" s="4" t="b">
        <v>1</v>
      </c>
      <c r="F116" s="4" t="s">
        <v>12</v>
      </c>
      <c r="G116" s="4" t="b">
        <v>1</v>
      </c>
      <c r="H116" s="4" t="s">
        <v>3123</v>
      </c>
      <c r="I116" s="4"/>
      <c r="J116" s="4" t="s">
        <v>94</v>
      </c>
      <c r="K116" s="1"/>
    </row>
    <row r="117" spans="1:11" ht="51" x14ac:dyDescent="0.25">
      <c r="A117" s="6" t="s">
        <v>1653</v>
      </c>
      <c r="B117" s="6" t="s">
        <v>1654</v>
      </c>
      <c r="C117" s="4" t="b">
        <v>1</v>
      </c>
      <c r="D117" s="4" t="b">
        <v>0</v>
      </c>
      <c r="E117" s="4" t="b">
        <v>1</v>
      </c>
      <c r="F117" s="4" t="s">
        <v>12</v>
      </c>
      <c r="G117" s="4" t="b">
        <v>1</v>
      </c>
      <c r="H117" s="16" t="s">
        <v>3122</v>
      </c>
      <c r="I117" s="4"/>
      <c r="J117" s="4" t="s">
        <v>94</v>
      </c>
      <c r="K117" s="1"/>
    </row>
    <row r="118" spans="1:11" ht="48" x14ac:dyDescent="0.2">
      <c r="A118" s="6" t="s">
        <v>1655</v>
      </c>
      <c r="B118" s="6" t="s">
        <v>1656</v>
      </c>
      <c r="C118" s="4" t="b">
        <v>1</v>
      </c>
      <c r="D118" s="4" t="b">
        <v>0</v>
      </c>
      <c r="E118" s="4" t="b">
        <v>1</v>
      </c>
      <c r="F118" s="4" t="s">
        <v>12</v>
      </c>
      <c r="G118" s="4" t="b">
        <v>1</v>
      </c>
      <c r="H118" s="4" t="s">
        <v>3121</v>
      </c>
      <c r="I118" s="4"/>
      <c r="J118" s="4" t="s">
        <v>94</v>
      </c>
      <c r="K118" s="1"/>
    </row>
    <row r="119" spans="1:11" ht="48" x14ac:dyDescent="0.2">
      <c r="A119" s="6" t="s">
        <v>1665</v>
      </c>
      <c r="B119" s="6" t="s">
        <v>1666</v>
      </c>
      <c r="C119" s="4" t="b">
        <v>1</v>
      </c>
      <c r="D119" s="4" t="b">
        <v>0</v>
      </c>
      <c r="E119" s="4" t="b">
        <v>1</v>
      </c>
      <c r="F119" s="4" t="s">
        <v>12</v>
      </c>
      <c r="G119" s="4" t="b">
        <v>1</v>
      </c>
      <c r="H119" s="4" t="s">
        <v>3120</v>
      </c>
      <c r="I119" s="4"/>
      <c r="J119" s="4" t="s">
        <v>94</v>
      </c>
      <c r="K119" s="1"/>
    </row>
    <row r="120" spans="1:11" ht="16" x14ac:dyDescent="0.2">
      <c r="A120" s="6" t="s">
        <v>1673</v>
      </c>
      <c r="B120" s="6" t="s">
        <v>1674</v>
      </c>
      <c r="C120" s="4" t="b">
        <v>1</v>
      </c>
      <c r="D120" s="4" t="b">
        <v>0</v>
      </c>
      <c r="E120" s="4" t="b">
        <v>1</v>
      </c>
      <c r="F120" s="4" t="s">
        <v>12</v>
      </c>
      <c r="G120" s="4" t="b">
        <v>1</v>
      </c>
      <c r="H120" s="4"/>
      <c r="I120" s="4"/>
      <c r="J120" s="4" t="s">
        <v>94</v>
      </c>
      <c r="K120" s="1"/>
    </row>
    <row r="121" spans="1:11" ht="80" x14ac:dyDescent="0.2">
      <c r="A121" s="6" t="s">
        <v>1689</v>
      </c>
      <c r="B121" s="6" t="s">
        <v>1690</v>
      </c>
      <c r="C121" s="4" t="b">
        <v>1</v>
      </c>
      <c r="D121" s="4" t="b">
        <v>0</v>
      </c>
      <c r="E121" s="4" t="b">
        <v>1</v>
      </c>
      <c r="F121" s="4" t="s">
        <v>12</v>
      </c>
      <c r="G121" s="4" t="b">
        <v>1</v>
      </c>
      <c r="H121" s="4" t="s">
        <v>3115</v>
      </c>
      <c r="I121" s="4"/>
      <c r="J121" s="4" t="s">
        <v>94</v>
      </c>
      <c r="K121" s="1"/>
    </row>
    <row r="122" spans="1:11" ht="96" x14ac:dyDescent="0.2">
      <c r="A122" s="6" t="s">
        <v>1699</v>
      </c>
      <c r="B122" s="6" t="s">
        <v>1700</v>
      </c>
      <c r="C122" s="4" t="b">
        <v>1</v>
      </c>
      <c r="D122" s="4" t="b">
        <v>0</v>
      </c>
      <c r="E122" s="4" t="b">
        <v>1</v>
      </c>
      <c r="F122" s="4" t="s">
        <v>12</v>
      </c>
      <c r="G122" s="4" t="b">
        <v>1</v>
      </c>
      <c r="H122" s="1" t="s">
        <v>3114</v>
      </c>
      <c r="I122" s="4"/>
      <c r="J122" s="4" t="s">
        <v>94</v>
      </c>
      <c r="K122" s="1" t="s">
        <v>2998</v>
      </c>
    </row>
    <row r="123" spans="1:11" ht="32" x14ac:dyDescent="0.2">
      <c r="A123" s="6" t="s">
        <v>1701</v>
      </c>
      <c r="B123" s="6" t="s">
        <v>1702</v>
      </c>
      <c r="C123" s="4" t="b">
        <v>1</v>
      </c>
      <c r="D123" s="4" t="b">
        <v>0</v>
      </c>
      <c r="E123" s="4" t="b">
        <v>1</v>
      </c>
      <c r="F123" s="4" t="s">
        <v>12</v>
      </c>
      <c r="G123" s="4" t="b">
        <v>1</v>
      </c>
      <c r="H123" s="4" t="s">
        <v>3113</v>
      </c>
      <c r="I123" s="4"/>
      <c r="J123" s="4" t="s">
        <v>94</v>
      </c>
      <c r="K123" s="1"/>
    </row>
    <row r="124" spans="1:11" ht="32" x14ac:dyDescent="0.2">
      <c r="A124" s="6" t="s">
        <v>1705</v>
      </c>
      <c r="B124" s="6" t="s">
        <v>1706</v>
      </c>
      <c r="C124" s="4" t="b">
        <v>1</v>
      </c>
      <c r="D124" s="4" t="b">
        <v>0</v>
      </c>
      <c r="E124" s="4" t="b">
        <v>1</v>
      </c>
      <c r="F124" s="4" t="s">
        <v>12</v>
      </c>
      <c r="G124" s="4" t="b">
        <v>1</v>
      </c>
      <c r="H124" s="4" t="s">
        <v>3112</v>
      </c>
      <c r="I124" s="4"/>
      <c r="J124" s="4" t="s">
        <v>94</v>
      </c>
      <c r="K124" s="1" t="s">
        <v>2998</v>
      </c>
    </row>
    <row r="125" spans="1:11" ht="32" x14ac:dyDescent="0.2">
      <c r="A125" s="6" t="s">
        <v>1707</v>
      </c>
      <c r="B125" s="6" t="s">
        <v>1708</v>
      </c>
      <c r="C125" s="4" t="b">
        <v>1</v>
      </c>
      <c r="D125" s="4" t="b">
        <v>0</v>
      </c>
      <c r="E125" s="4" t="b">
        <v>1</v>
      </c>
      <c r="F125" s="4" t="s">
        <v>12</v>
      </c>
      <c r="G125" s="4" t="b">
        <v>1</v>
      </c>
      <c r="H125" s="4" t="s">
        <v>3111</v>
      </c>
      <c r="I125" s="4"/>
      <c r="J125" s="4" t="s">
        <v>94</v>
      </c>
      <c r="K125" s="1"/>
    </row>
    <row r="126" spans="1:11" ht="64" x14ac:dyDescent="0.2">
      <c r="A126" s="6" t="s">
        <v>1721</v>
      </c>
      <c r="B126" s="6" t="s">
        <v>1722</v>
      </c>
      <c r="C126" s="4" t="b">
        <v>1</v>
      </c>
      <c r="D126" s="4" t="b">
        <v>0</v>
      </c>
      <c r="E126" s="4" t="b">
        <v>1</v>
      </c>
      <c r="F126" s="4" t="s">
        <v>12</v>
      </c>
      <c r="G126" s="4" t="b">
        <v>1</v>
      </c>
      <c r="H126" s="4" t="s">
        <v>3110</v>
      </c>
      <c r="I126" s="4"/>
      <c r="J126" s="4" t="s">
        <v>94</v>
      </c>
      <c r="K126" s="1"/>
    </row>
    <row r="127" spans="1:11" ht="112" x14ac:dyDescent="0.2">
      <c r="A127" s="6" t="s">
        <v>1723</v>
      </c>
      <c r="B127" s="6" t="s">
        <v>1724</v>
      </c>
      <c r="C127" s="4" t="b">
        <v>1</v>
      </c>
      <c r="D127" s="4" t="b">
        <v>0</v>
      </c>
      <c r="E127" s="4" t="b">
        <v>1</v>
      </c>
      <c r="F127" s="4" t="s">
        <v>12</v>
      </c>
      <c r="G127" s="4" t="b">
        <v>1</v>
      </c>
      <c r="H127" s="4" t="s">
        <v>3109</v>
      </c>
      <c r="I127" s="4"/>
      <c r="J127" s="4" t="s">
        <v>94</v>
      </c>
      <c r="K127" s="1"/>
    </row>
    <row r="128" spans="1:11" ht="32" x14ac:dyDescent="0.2">
      <c r="A128" s="6" t="s">
        <v>1735</v>
      </c>
      <c r="B128" s="6" t="s">
        <v>1736</v>
      </c>
      <c r="C128" s="4" t="b">
        <v>1</v>
      </c>
      <c r="D128" s="4" t="b">
        <v>0</v>
      </c>
      <c r="E128" s="4" t="b">
        <v>1</v>
      </c>
      <c r="F128" s="4" t="s">
        <v>12</v>
      </c>
      <c r="G128" s="4" t="b">
        <v>1</v>
      </c>
      <c r="H128" s="4" t="s">
        <v>3106</v>
      </c>
      <c r="I128" s="4"/>
      <c r="J128" s="4" t="s">
        <v>94</v>
      </c>
      <c r="K128" s="1" t="s">
        <v>2998</v>
      </c>
    </row>
    <row r="129" spans="1:11" ht="80" x14ac:dyDescent="0.2">
      <c r="A129" s="6" t="s">
        <v>1737</v>
      </c>
      <c r="B129" s="6" t="s">
        <v>1738</v>
      </c>
      <c r="C129" s="4" t="b">
        <v>1</v>
      </c>
      <c r="D129" s="4" t="b">
        <v>0</v>
      </c>
      <c r="E129" s="4" t="b">
        <v>1</v>
      </c>
      <c r="F129" s="4" t="s">
        <v>12</v>
      </c>
      <c r="G129" s="4" t="b">
        <v>1</v>
      </c>
      <c r="H129" s="4" t="s">
        <v>3101</v>
      </c>
      <c r="I129" s="4"/>
      <c r="J129" s="4" t="s">
        <v>94</v>
      </c>
      <c r="K129" s="1"/>
    </row>
    <row r="130" spans="1:11" ht="128" x14ac:dyDescent="0.2">
      <c r="A130" s="6" t="s">
        <v>1741</v>
      </c>
      <c r="B130" s="6" t="s">
        <v>1742</v>
      </c>
      <c r="C130" s="4" t="b">
        <v>1</v>
      </c>
      <c r="D130" s="4" t="b">
        <v>0</v>
      </c>
      <c r="E130" s="4" t="b">
        <v>1</v>
      </c>
      <c r="F130" s="4" t="s">
        <v>12</v>
      </c>
      <c r="G130" s="4" t="b">
        <v>1</v>
      </c>
      <c r="H130" s="4" t="s">
        <v>3099</v>
      </c>
      <c r="I130" s="4"/>
      <c r="J130" s="4" t="s">
        <v>94</v>
      </c>
      <c r="K130" s="1" t="s">
        <v>2998</v>
      </c>
    </row>
    <row r="131" spans="1:11" ht="16" x14ac:dyDescent="0.2">
      <c r="A131" s="6" t="s">
        <v>1751</v>
      </c>
      <c r="B131" s="6" t="s">
        <v>1752</v>
      </c>
      <c r="C131" s="4" t="b">
        <v>1</v>
      </c>
      <c r="D131" s="4" t="b">
        <v>0</v>
      </c>
      <c r="E131" s="4" t="b">
        <v>1</v>
      </c>
      <c r="F131" s="4" t="s">
        <v>12</v>
      </c>
      <c r="G131" s="4" t="b">
        <v>1</v>
      </c>
      <c r="H131" s="4" t="s">
        <v>3098</v>
      </c>
      <c r="I131" s="4"/>
      <c r="J131" s="4" t="s">
        <v>94</v>
      </c>
      <c r="K131" s="1"/>
    </row>
    <row r="132" spans="1:11" ht="16" x14ac:dyDescent="0.2">
      <c r="A132" s="6" t="s">
        <v>1753</v>
      </c>
      <c r="B132" s="6" t="s">
        <v>1754</v>
      </c>
      <c r="C132" s="4" t="b">
        <v>1</v>
      </c>
      <c r="D132" s="4" t="b">
        <v>0</v>
      </c>
      <c r="E132" s="4" t="b">
        <v>1</v>
      </c>
      <c r="F132" s="4" t="s">
        <v>12</v>
      </c>
      <c r="G132" s="4" t="b">
        <v>1</v>
      </c>
      <c r="H132" s="4"/>
      <c r="I132" s="4"/>
      <c r="J132" s="4" t="s">
        <v>94</v>
      </c>
      <c r="K132" s="1"/>
    </row>
    <row r="133" spans="1:11" ht="64" x14ac:dyDescent="0.2">
      <c r="A133" s="6" t="s">
        <v>1757</v>
      </c>
      <c r="B133" s="6" t="s">
        <v>1758</v>
      </c>
      <c r="C133" s="4" t="b">
        <v>1</v>
      </c>
      <c r="D133" s="4" t="b">
        <v>0</v>
      </c>
      <c r="E133" s="4" t="b">
        <v>1</v>
      </c>
      <c r="F133" s="4" t="s">
        <v>12</v>
      </c>
      <c r="G133" s="4" t="b">
        <v>1</v>
      </c>
      <c r="H133" s="4" t="s">
        <v>3097</v>
      </c>
      <c r="I133" s="4"/>
      <c r="J133" s="4" t="s">
        <v>94</v>
      </c>
      <c r="K133" s="1"/>
    </row>
    <row r="134" spans="1:11" ht="32" x14ac:dyDescent="0.2">
      <c r="A134" s="6" t="s">
        <v>1771</v>
      </c>
      <c r="B134" s="6" t="s">
        <v>1772</v>
      </c>
      <c r="C134" s="4" t="b">
        <v>1</v>
      </c>
      <c r="D134" s="4" t="b">
        <v>0</v>
      </c>
      <c r="E134" s="4" t="b">
        <v>1</v>
      </c>
      <c r="F134" s="4" t="s">
        <v>12</v>
      </c>
      <c r="G134" s="4" t="b">
        <v>1</v>
      </c>
      <c r="H134" s="4" t="s">
        <v>3071</v>
      </c>
      <c r="I134" s="4"/>
      <c r="J134" s="4" t="s">
        <v>94</v>
      </c>
      <c r="K134" s="1"/>
    </row>
    <row r="135" spans="1:11" ht="16" x14ac:dyDescent="0.2">
      <c r="A135" s="6" t="s">
        <v>1773</v>
      </c>
      <c r="B135" s="6" t="s">
        <v>1774</v>
      </c>
      <c r="C135" s="4" t="b">
        <v>1</v>
      </c>
      <c r="D135" s="4" t="b">
        <v>0</v>
      </c>
      <c r="E135" s="4" t="b">
        <v>1</v>
      </c>
      <c r="F135" s="4" t="s">
        <v>12</v>
      </c>
      <c r="G135" s="4" t="b">
        <v>1</v>
      </c>
      <c r="H135" s="4"/>
      <c r="I135" s="4"/>
      <c r="J135" s="4" t="s">
        <v>94</v>
      </c>
      <c r="K135" s="1"/>
    </row>
    <row r="136" spans="1:11" ht="48" x14ac:dyDescent="0.2">
      <c r="A136" s="6" t="s">
        <v>1775</v>
      </c>
      <c r="B136" s="6" t="s">
        <v>1776</v>
      </c>
      <c r="C136" s="4" t="b">
        <v>1</v>
      </c>
      <c r="D136" s="4" t="b">
        <v>0</v>
      </c>
      <c r="E136" s="4" t="b">
        <v>1</v>
      </c>
      <c r="F136" s="4" t="s">
        <v>12</v>
      </c>
      <c r="G136" s="4" t="b">
        <v>1</v>
      </c>
      <c r="H136" s="4" t="s">
        <v>3070</v>
      </c>
      <c r="I136" s="4"/>
      <c r="J136" s="4" t="s">
        <v>94</v>
      </c>
      <c r="K136" s="1"/>
    </row>
    <row r="137" spans="1:11" ht="16" x14ac:dyDescent="0.2">
      <c r="A137" s="6" t="s">
        <v>1785</v>
      </c>
      <c r="B137" s="6" t="s">
        <v>1786</v>
      </c>
      <c r="C137" s="4" t="b">
        <v>1</v>
      </c>
      <c r="D137" s="4" t="b">
        <v>0</v>
      </c>
      <c r="E137" s="4" t="b">
        <v>1</v>
      </c>
      <c r="F137" s="4" t="s">
        <v>12</v>
      </c>
      <c r="G137" s="4" t="b">
        <v>1</v>
      </c>
      <c r="H137" s="4"/>
      <c r="I137" s="4"/>
      <c r="J137" s="4" t="s">
        <v>1309</v>
      </c>
      <c r="K137" s="1"/>
    </row>
    <row r="138" spans="1:11" ht="144" x14ac:dyDescent="0.2">
      <c r="A138" s="6" t="s">
        <v>1801</v>
      </c>
      <c r="B138" s="6" t="s">
        <v>1802</v>
      </c>
      <c r="C138" s="4" t="b">
        <v>1</v>
      </c>
      <c r="D138" s="4" t="b">
        <v>0</v>
      </c>
      <c r="E138" s="4" t="b">
        <v>1</v>
      </c>
      <c r="F138" s="4" t="s">
        <v>12</v>
      </c>
      <c r="G138" s="4" t="b">
        <v>1</v>
      </c>
      <c r="H138" s="4" t="s">
        <v>3068</v>
      </c>
      <c r="I138" s="4"/>
      <c r="J138" s="4" t="s">
        <v>1309</v>
      </c>
      <c r="K138" s="1"/>
    </row>
    <row r="139" spans="1:11" ht="112" x14ac:dyDescent="0.2">
      <c r="A139" s="6" t="s">
        <v>1803</v>
      </c>
      <c r="B139" s="6" t="s">
        <v>1804</v>
      </c>
      <c r="C139" s="4" t="b">
        <v>1</v>
      </c>
      <c r="D139" s="4" t="b">
        <v>0</v>
      </c>
      <c r="E139" s="4" t="b">
        <v>1</v>
      </c>
      <c r="F139" s="4" t="s">
        <v>12</v>
      </c>
      <c r="G139" s="4" t="b">
        <v>1</v>
      </c>
      <c r="H139" s="4" t="s">
        <v>3067</v>
      </c>
      <c r="I139" s="4"/>
      <c r="J139" s="4" t="s">
        <v>1309</v>
      </c>
      <c r="K139" s="1"/>
    </row>
    <row r="140" spans="1:11" ht="192" x14ac:dyDescent="0.2">
      <c r="A140" s="6" t="s">
        <v>1817</v>
      </c>
      <c r="B140" s="6" t="s">
        <v>1818</v>
      </c>
      <c r="C140" s="4" t="b">
        <v>1</v>
      </c>
      <c r="D140" s="4" t="b">
        <v>0</v>
      </c>
      <c r="E140" s="4" t="b">
        <v>1</v>
      </c>
      <c r="F140" s="4" t="s">
        <v>12</v>
      </c>
      <c r="G140" s="4" t="b">
        <v>1</v>
      </c>
      <c r="H140" s="4" t="s">
        <v>3065</v>
      </c>
      <c r="I140" s="4"/>
      <c r="J140" s="4" t="s">
        <v>621</v>
      </c>
      <c r="K140" s="1"/>
    </row>
    <row r="141" spans="1:11" ht="32" x14ac:dyDescent="0.2">
      <c r="A141" s="6" t="s">
        <v>1837</v>
      </c>
      <c r="B141" s="6" t="s">
        <v>1838</v>
      </c>
      <c r="C141" s="4" t="b">
        <v>1</v>
      </c>
      <c r="D141" s="4" t="b">
        <v>0</v>
      </c>
      <c r="E141" s="4" t="b">
        <v>1</v>
      </c>
      <c r="F141" s="4" t="s">
        <v>12</v>
      </c>
      <c r="G141" s="4" t="b">
        <v>1</v>
      </c>
      <c r="H141" s="4" t="s">
        <v>3063</v>
      </c>
      <c r="I141" s="4"/>
      <c r="J141" s="4" t="s">
        <v>621</v>
      </c>
      <c r="K141" s="1"/>
    </row>
    <row r="142" spans="1:11" ht="16" x14ac:dyDescent="0.2">
      <c r="A142" s="6" t="s">
        <v>1839</v>
      </c>
      <c r="B142" s="6" t="s">
        <v>1840</v>
      </c>
      <c r="C142" s="4" t="b">
        <v>1</v>
      </c>
      <c r="D142" s="4" t="b">
        <v>0</v>
      </c>
      <c r="E142" s="4" t="b">
        <v>1</v>
      </c>
      <c r="F142" s="4" t="s">
        <v>12</v>
      </c>
      <c r="G142" s="4" t="b">
        <v>1</v>
      </c>
      <c r="H142" s="4" t="s">
        <v>3061</v>
      </c>
      <c r="I142" s="4"/>
      <c r="J142" s="4" t="s">
        <v>621</v>
      </c>
      <c r="K142" s="1"/>
    </row>
    <row r="143" spans="1:11" ht="16" x14ac:dyDescent="0.2">
      <c r="A143" s="6" t="s">
        <v>1851</v>
      </c>
      <c r="B143" s="6" t="s">
        <v>1852</v>
      </c>
      <c r="C143" s="4" t="b">
        <v>1</v>
      </c>
      <c r="D143" s="4" t="b">
        <v>0</v>
      </c>
      <c r="E143" s="4" t="b">
        <v>1</v>
      </c>
      <c r="F143" s="4" t="s">
        <v>12</v>
      </c>
      <c r="G143" s="4" t="b">
        <v>1</v>
      </c>
      <c r="H143" s="4" t="s">
        <v>3062</v>
      </c>
      <c r="I143" s="4"/>
      <c r="J143" s="4" t="s">
        <v>621</v>
      </c>
      <c r="K143" s="1"/>
    </row>
    <row r="144" spans="1:11" ht="80" x14ac:dyDescent="0.2">
      <c r="A144" s="6" t="s">
        <v>1855</v>
      </c>
      <c r="B144" s="6" t="s">
        <v>1856</v>
      </c>
      <c r="C144" s="4" t="b">
        <v>1</v>
      </c>
      <c r="D144" s="4" t="b">
        <v>0</v>
      </c>
      <c r="E144" s="4" t="b">
        <v>1</v>
      </c>
      <c r="F144" s="4" t="s">
        <v>12</v>
      </c>
      <c r="G144" s="4" t="b">
        <v>1</v>
      </c>
      <c r="H144" s="4" t="s">
        <v>3060</v>
      </c>
      <c r="I144" s="4"/>
      <c r="J144" s="4" t="s">
        <v>621</v>
      </c>
      <c r="K144" s="1"/>
    </row>
    <row r="145" spans="1:11" ht="16" x14ac:dyDescent="0.2">
      <c r="A145" s="6" t="s">
        <v>1857</v>
      </c>
      <c r="B145" s="6" t="s">
        <v>1858</v>
      </c>
      <c r="C145" s="4" t="b">
        <v>1</v>
      </c>
      <c r="D145" s="4" t="b">
        <v>0</v>
      </c>
      <c r="E145" s="4" t="b">
        <v>1</v>
      </c>
      <c r="F145" s="4" t="s">
        <v>12</v>
      </c>
      <c r="G145" s="4" t="b">
        <v>1</v>
      </c>
      <c r="H145" s="4"/>
      <c r="I145" s="4"/>
      <c r="J145" s="4" t="s">
        <v>621</v>
      </c>
      <c r="K145" s="1"/>
    </row>
    <row r="146" spans="1:11" ht="32" x14ac:dyDescent="0.2">
      <c r="A146" s="6" t="s">
        <v>1867</v>
      </c>
      <c r="B146" s="6" t="s">
        <v>1868</v>
      </c>
      <c r="C146" s="4" t="b">
        <v>1</v>
      </c>
      <c r="D146" s="4" t="b">
        <v>0</v>
      </c>
      <c r="E146" s="4" t="b">
        <v>1</v>
      </c>
      <c r="F146" s="4" t="s">
        <v>12</v>
      </c>
      <c r="G146" s="4" t="b">
        <v>1</v>
      </c>
      <c r="H146" s="4" t="s">
        <v>3059</v>
      </c>
      <c r="I146" s="4"/>
      <c r="J146" s="4" t="s">
        <v>621</v>
      </c>
      <c r="K146" s="1"/>
    </row>
    <row r="147" spans="1:11" ht="80" x14ac:dyDescent="0.2">
      <c r="A147" s="6" t="s">
        <v>1875</v>
      </c>
      <c r="B147" s="6" t="s">
        <v>1876</v>
      </c>
      <c r="C147" s="4" t="b">
        <v>1</v>
      </c>
      <c r="D147" s="4" t="b">
        <v>0</v>
      </c>
      <c r="E147" s="4" t="b">
        <v>1</v>
      </c>
      <c r="F147" s="4" t="s">
        <v>12</v>
      </c>
      <c r="G147" s="4" t="b">
        <v>1</v>
      </c>
      <c r="H147" s="4" t="s">
        <v>3058</v>
      </c>
      <c r="I147" s="4"/>
      <c r="J147" s="4" t="s">
        <v>621</v>
      </c>
      <c r="K147" s="1"/>
    </row>
    <row r="148" spans="1:11" ht="16" x14ac:dyDescent="0.2">
      <c r="A148" s="6" t="s">
        <v>1877</v>
      </c>
      <c r="B148" s="6" t="s">
        <v>1878</v>
      </c>
      <c r="C148" s="4" t="b">
        <v>1</v>
      </c>
      <c r="D148" s="4" t="b">
        <v>0</v>
      </c>
      <c r="E148" s="4" t="b">
        <v>1</v>
      </c>
      <c r="F148" s="4" t="s">
        <v>12</v>
      </c>
      <c r="G148" s="4" t="b">
        <v>1</v>
      </c>
      <c r="H148" s="4"/>
      <c r="I148" s="4"/>
      <c r="J148" s="4" t="s">
        <v>621</v>
      </c>
      <c r="K148" s="1"/>
    </row>
    <row r="149" spans="1:11" ht="64" x14ac:dyDescent="0.2">
      <c r="A149" s="6" t="s">
        <v>1887</v>
      </c>
      <c r="B149" s="6" t="s">
        <v>1888</v>
      </c>
      <c r="C149" s="4" t="b">
        <v>1</v>
      </c>
      <c r="D149" s="4" t="b">
        <v>0</v>
      </c>
      <c r="E149" s="4" t="b">
        <v>1</v>
      </c>
      <c r="F149" s="4" t="s">
        <v>12</v>
      </c>
      <c r="G149" s="4" t="b">
        <v>1</v>
      </c>
      <c r="H149" s="4" t="s">
        <v>3055</v>
      </c>
      <c r="I149" s="4"/>
      <c r="J149" s="4" t="s">
        <v>621</v>
      </c>
      <c r="K149" s="1"/>
    </row>
    <row r="150" spans="1:11" ht="16" x14ac:dyDescent="0.2">
      <c r="A150" s="6" t="s">
        <v>1889</v>
      </c>
      <c r="B150" s="6" t="s">
        <v>1890</v>
      </c>
      <c r="C150" s="4" t="b">
        <v>1</v>
      </c>
      <c r="D150" s="4" t="b">
        <v>0</v>
      </c>
      <c r="E150" s="4" t="b">
        <v>1</v>
      </c>
      <c r="F150" s="4" t="s">
        <v>12</v>
      </c>
      <c r="G150" s="4" t="b">
        <v>1</v>
      </c>
      <c r="H150" s="4" t="s">
        <v>3054</v>
      </c>
      <c r="I150" s="4"/>
      <c r="J150" s="4" t="s">
        <v>621</v>
      </c>
      <c r="K150" s="1"/>
    </row>
    <row r="151" spans="1:11" ht="48" x14ac:dyDescent="0.2">
      <c r="A151" s="6" t="s">
        <v>1899</v>
      </c>
      <c r="B151" s="6" t="s">
        <v>1900</v>
      </c>
      <c r="C151" s="4" t="b">
        <v>1</v>
      </c>
      <c r="D151" s="4" t="b">
        <v>0</v>
      </c>
      <c r="E151" s="4" t="b">
        <v>1</v>
      </c>
      <c r="F151" s="4" t="s">
        <v>12</v>
      </c>
      <c r="G151" s="4" t="b">
        <v>1</v>
      </c>
      <c r="H151" s="4" t="s">
        <v>3052</v>
      </c>
      <c r="I151" s="4"/>
      <c r="J151" s="4" t="s">
        <v>621</v>
      </c>
      <c r="K151" s="1"/>
    </row>
    <row r="152" spans="1:11" ht="16" x14ac:dyDescent="0.2">
      <c r="A152" s="6" t="s">
        <v>1913</v>
      </c>
      <c r="B152" s="6" t="s">
        <v>1914</v>
      </c>
      <c r="C152" s="4" t="b">
        <v>1</v>
      </c>
      <c r="D152" s="4" t="b">
        <v>0</v>
      </c>
      <c r="E152" s="4" t="b">
        <v>1</v>
      </c>
      <c r="F152" s="4" t="s">
        <v>12</v>
      </c>
      <c r="G152" s="4" t="b">
        <v>1</v>
      </c>
      <c r="H152" s="4"/>
      <c r="I152" s="4"/>
      <c r="J152" s="4" t="s">
        <v>621</v>
      </c>
      <c r="K152" s="1"/>
    </row>
    <row r="153" spans="1:11" ht="16" x14ac:dyDescent="0.2">
      <c r="A153" s="6" t="s">
        <v>1919</v>
      </c>
      <c r="B153" s="6" t="s">
        <v>1920</v>
      </c>
      <c r="C153" s="4" t="b">
        <v>1</v>
      </c>
      <c r="D153" s="4" t="b">
        <v>0</v>
      </c>
      <c r="E153" s="4" t="b">
        <v>1</v>
      </c>
      <c r="F153" s="4" t="s">
        <v>12</v>
      </c>
      <c r="G153" s="4" t="b">
        <v>1</v>
      </c>
      <c r="H153" s="4" t="s">
        <v>2992</v>
      </c>
      <c r="I153" s="4"/>
      <c r="J153" s="4" t="s">
        <v>621</v>
      </c>
      <c r="K153" s="1"/>
    </row>
    <row r="154" spans="1:11" ht="16" x14ac:dyDescent="0.2">
      <c r="A154" s="6" t="s">
        <v>1933</v>
      </c>
      <c r="B154" s="6" t="s">
        <v>1934</v>
      </c>
      <c r="C154" s="4" t="b">
        <v>1</v>
      </c>
      <c r="D154" s="4" t="b">
        <v>0</v>
      </c>
      <c r="E154" s="4" t="b">
        <v>1</v>
      </c>
      <c r="F154" s="4" t="s">
        <v>12</v>
      </c>
      <c r="G154" s="4" t="b">
        <v>1</v>
      </c>
      <c r="H154" s="4" t="s">
        <v>3047</v>
      </c>
      <c r="I154" s="4"/>
      <c r="J154" s="4" t="s">
        <v>621</v>
      </c>
      <c r="K154" s="1"/>
    </row>
    <row r="155" spans="1:11" ht="16" x14ac:dyDescent="0.2">
      <c r="A155" s="6" t="s">
        <v>1945</v>
      </c>
      <c r="B155" s="6" t="s">
        <v>1946</v>
      </c>
      <c r="C155" s="4" t="b">
        <v>1</v>
      </c>
      <c r="D155" s="4" t="b">
        <v>0</v>
      </c>
      <c r="E155" s="4" t="b">
        <v>1</v>
      </c>
      <c r="F155" s="4" t="s">
        <v>12</v>
      </c>
      <c r="G155" s="4" t="b">
        <v>1</v>
      </c>
      <c r="H155" s="4" t="s">
        <v>3046</v>
      </c>
      <c r="I155" s="4"/>
      <c r="J155" s="4" t="s">
        <v>621</v>
      </c>
      <c r="K155" s="1"/>
    </row>
    <row r="156" spans="1:11" ht="64" x14ac:dyDescent="0.2">
      <c r="A156" s="6" t="s">
        <v>1955</v>
      </c>
      <c r="B156" s="6" t="s">
        <v>1956</v>
      </c>
      <c r="C156" s="4" t="b">
        <v>1</v>
      </c>
      <c r="D156" s="4" t="b">
        <v>0</v>
      </c>
      <c r="E156" s="4" t="b">
        <v>1</v>
      </c>
      <c r="F156" s="4" t="s">
        <v>12</v>
      </c>
      <c r="G156" s="4" t="b">
        <v>1</v>
      </c>
      <c r="H156" s="4" t="s">
        <v>3045</v>
      </c>
      <c r="I156" s="4"/>
      <c r="J156" s="4" t="s">
        <v>14</v>
      </c>
      <c r="K156" s="1"/>
    </row>
    <row r="157" spans="1:11" ht="48" x14ac:dyDescent="0.2">
      <c r="A157" s="6" t="s">
        <v>1957</v>
      </c>
      <c r="B157" s="6" t="s">
        <v>1958</v>
      </c>
      <c r="C157" s="4" t="b">
        <v>1</v>
      </c>
      <c r="D157" s="4" t="b">
        <v>0</v>
      </c>
      <c r="E157" s="4" t="b">
        <v>1</v>
      </c>
      <c r="F157" s="4" t="s">
        <v>12</v>
      </c>
      <c r="G157" s="4" t="b">
        <v>1</v>
      </c>
      <c r="H157" s="4" t="s">
        <v>3044</v>
      </c>
      <c r="I157" s="4"/>
      <c r="J157" s="4" t="s">
        <v>14</v>
      </c>
      <c r="K157" s="1"/>
    </row>
    <row r="158" spans="1:11" ht="96" x14ac:dyDescent="0.2">
      <c r="A158" s="6" t="s">
        <v>1977</v>
      </c>
      <c r="B158" s="6" t="s">
        <v>1978</v>
      </c>
      <c r="C158" s="4" t="b">
        <v>1</v>
      </c>
      <c r="D158" s="4" t="b">
        <v>0</v>
      </c>
      <c r="E158" s="4" t="b">
        <v>1</v>
      </c>
      <c r="F158" s="4" t="s">
        <v>12</v>
      </c>
      <c r="G158" s="4" t="b">
        <v>1</v>
      </c>
      <c r="H158" s="4" t="s">
        <v>3041</v>
      </c>
      <c r="I158" s="4"/>
      <c r="J158" s="4" t="s">
        <v>26</v>
      </c>
      <c r="K158" s="1" t="s">
        <v>2998</v>
      </c>
    </row>
    <row r="159" spans="1:11" ht="48" x14ac:dyDescent="0.2">
      <c r="A159" s="6" t="s">
        <v>1979</v>
      </c>
      <c r="B159" s="6" t="s">
        <v>1980</v>
      </c>
      <c r="C159" s="4" t="b">
        <v>1</v>
      </c>
      <c r="D159" s="4" t="b">
        <v>0</v>
      </c>
      <c r="E159" s="4" t="b">
        <v>1</v>
      </c>
      <c r="F159" s="4" t="s">
        <v>12</v>
      </c>
      <c r="G159" s="4" t="b">
        <v>1</v>
      </c>
      <c r="H159" s="4" t="s">
        <v>3038</v>
      </c>
      <c r="I159" s="4"/>
      <c r="J159" s="4" t="s">
        <v>26</v>
      </c>
      <c r="K159" s="1"/>
    </row>
    <row r="160" spans="1:11" ht="64" x14ac:dyDescent="0.2">
      <c r="A160" s="6" t="s">
        <v>1983</v>
      </c>
      <c r="B160" s="6" t="s">
        <v>1984</v>
      </c>
      <c r="C160" s="4" t="b">
        <v>1</v>
      </c>
      <c r="D160" s="4" t="b">
        <v>0</v>
      </c>
      <c r="E160" s="4" t="b">
        <v>1</v>
      </c>
      <c r="F160" s="4" t="s">
        <v>12</v>
      </c>
      <c r="G160" s="4" t="b">
        <v>1</v>
      </c>
      <c r="H160" s="4" t="s">
        <v>3037</v>
      </c>
      <c r="I160" s="4"/>
      <c r="J160" s="4" t="s">
        <v>26</v>
      </c>
      <c r="K160" s="1"/>
    </row>
    <row r="161" spans="1:11" ht="16" x14ac:dyDescent="0.2">
      <c r="A161" s="6" t="s">
        <v>1991</v>
      </c>
      <c r="B161" s="6" t="s">
        <v>1992</v>
      </c>
      <c r="C161" s="4" t="b">
        <v>1</v>
      </c>
      <c r="D161" s="4" t="b">
        <v>0</v>
      </c>
      <c r="E161" s="4" t="b">
        <v>1</v>
      </c>
      <c r="F161" s="4" t="s">
        <v>12</v>
      </c>
      <c r="G161" s="4" t="b">
        <v>1</v>
      </c>
      <c r="H161" s="4" t="s">
        <v>3036</v>
      </c>
      <c r="I161" s="4"/>
      <c r="J161" s="4" t="s">
        <v>26</v>
      </c>
      <c r="K161" s="1"/>
    </row>
    <row r="162" spans="1:11" ht="80" x14ac:dyDescent="0.2">
      <c r="A162" s="6" t="s">
        <v>2022</v>
      </c>
      <c r="B162" s="6" t="s">
        <v>2023</v>
      </c>
      <c r="C162" s="4" t="b">
        <v>1</v>
      </c>
      <c r="D162" s="4" t="b">
        <v>0</v>
      </c>
      <c r="E162" s="4" t="b">
        <v>1</v>
      </c>
      <c r="F162" s="4" t="s">
        <v>12</v>
      </c>
      <c r="G162" s="4" t="b">
        <v>1</v>
      </c>
      <c r="H162" s="4" t="s">
        <v>3035</v>
      </c>
      <c r="I162" s="4"/>
      <c r="J162" s="4" t="s">
        <v>2005</v>
      </c>
      <c r="K162" s="1"/>
    </row>
    <row r="163" spans="1:11" ht="144" x14ac:dyDescent="0.2">
      <c r="A163" s="6" t="s">
        <v>2024</v>
      </c>
      <c r="B163" s="6" t="s">
        <v>2025</v>
      </c>
      <c r="C163" s="4" t="b">
        <v>1</v>
      </c>
      <c r="D163" s="4" t="b">
        <v>0</v>
      </c>
      <c r="E163" s="4" t="b">
        <v>1</v>
      </c>
      <c r="F163" s="4" t="s">
        <v>12</v>
      </c>
      <c r="G163" s="4" t="b">
        <v>1</v>
      </c>
      <c r="H163" s="4" t="s">
        <v>3034</v>
      </c>
      <c r="I163" s="4"/>
      <c r="J163" s="4" t="s">
        <v>2005</v>
      </c>
      <c r="K163" s="1"/>
    </row>
    <row r="164" spans="1:11" ht="16" x14ac:dyDescent="0.2">
      <c r="A164" s="6" t="s">
        <v>2146</v>
      </c>
      <c r="B164" s="6" t="s">
        <v>2147</v>
      </c>
      <c r="C164" s="4" t="b">
        <v>1</v>
      </c>
      <c r="D164" s="4" t="b">
        <v>0</v>
      </c>
      <c r="E164" s="4" t="b">
        <v>1</v>
      </c>
      <c r="F164" s="4" t="s">
        <v>12</v>
      </c>
      <c r="G164" s="4" t="b">
        <v>1</v>
      </c>
      <c r="H164" s="4"/>
      <c r="I164" s="4"/>
      <c r="J164" s="4" t="s">
        <v>94</v>
      </c>
      <c r="K164" s="1"/>
    </row>
    <row r="165" spans="1:11" ht="80" x14ac:dyDescent="0.2">
      <c r="A165" s="6" t="s">
        <v>2152</v>
      </c>
      <c r="B165" s="6" t="s">
        <v>2153</v>
      </c>
      <c r="C165" s="4" t="b">
        <v>1</v>
      </c>
      <c r="D165" s="4" t="b">
        <v>0</v>
      </c>
      <c r="E165" s="4" t="b">
        <v>1</v>
      </c>
      <c r="F165" s="4" t="s">
        <v>12</v>
      </c>
      <c r="G165" s="4" t="b">
        <v>1</v>
      </c>
      <c r="H165" s="4" t="s">
        <v>3030</v>
      </c>
      <c r="I165" s="4"/>
      <c r="J165" s="4" t="s">
        <v>94</v>
      </c>
      <c r="K165" s="1"/>
    </row>
    <row r="166" spans="1:11" ht="80" x14ac:dyDescent="0.2">
      <c r="A166" s="6" t="s">
        <v>2158</v>
      </c>
      <c r="B166" s="6" t="s">
        <v>2159</v>
      </c>
      <c r="C166" s="4" t="b">
        <v>1</v>
      </c>
      <c r="D166" s="4" t="b">
        <v>0</v>
      </c>
      <c r="E166" s="4" t="b">
        <v>1</v>
      </c>
      <c r="F166" s="4" t="s">
        <v>12</v>
      </c>
      <c r="G166" s="4" t="b">
        <v>1</v>
      </c>
      <c r="H166" s="4" t="s">
        <v>3029</v>
      </c>
      <c r="I166" s="4"/>
      <c r="J166" s="4" t="s">
        <v>94</v>
      </c>
      <c r="K166" s="1" t="s">
        <v>2998</v>
      </c>
    </row>
    <row r="167" spans="1:11" ht="48" x14ac:dyDescent="0.2">
      <c r="A167" s="6" t="s">
        <v>2160</v>
      </c>
      <c r="B167" s="6" t="s">
        <v>2161</v>
      </c>
      <c r="C167" s="4" t="b">
        <v>1</v>
      </c>
      <c r="D167" s="4" t="b">
        <v>0</v>
      </c>
      <c r="E167" s="4" t="b">
        <v>1</v>
      </c>
      <c r="F167" s="4" t="s">
        <v>12</v>
      </c>
      <c r="G167" s="4" t="b">
        <v>1</v>
      </c>
      <c r="H167" s="4" t="s">
        <v>3028</v>
      </c>
      <c r="I167" s="4"/>
      <c r="J167" s="4" t="s">
        <v>94</v>
      </c>
      <c r="K167" s="1"/>
    </row>
    <row r="168" spans="1:11" ht="96" x14ac:dyDescent="0.2">
      <c r="A168" s="6" t="s">
        <v>2182</v>
      </c>
      <c r="B168" s="6" t="s">
        <v>2183</v>
      </c>
      <c r="C168" s="4" t="b">
        <v>1</v>
      </c>
      <c r="D168" s="4" t="b">
        <v>0</v>
      </c>
      <c r="E168" s="4" t="b">
        <v>1</v>
      </c>
      <c r="F168" s="4" t="s">
        <v>12</v>
      </c>
      <c r="G168" s="4" t="b">
        <v>1</v>
      </c>
      <c r="H168" s="4" t="s">
        <v>3027</v>
      </c>
      <c r="I168" s="4"/>
      <c r="J168" s="4" t="s">
        <v>94</v>
      </c>
      <c r="K168" s="1"/>
    </row>
    <row r="169" spans="1:11" ht="64" x14ac:dyDescent="0.2">
      <c r="A169" s="6" t="s">
        <v>2184</v>
      </c>
      <c r="B169" s="6" t="s">
        <v>2185</v>
      </c>
      <c r="C169" s="4" t="b">
        <v>1</v>
      </c>
      <c r="D169" s="4" t="b">
        <v>0</v>
      </c>
      <c r="E169" s="4" t="b">
        <v>1</v>
      </c>
      <c r="F169" s="4" t="s">
        <v>12</v>
      </c>
      <c r="G169" s="4" t="b">
        <v>1</v>
      </c>
      <c r="H169" s="4" t="s">
        <v>3026</v>
      </c>
      <c r="I169" s="4"/>
      <c r="J169" s="4" t="s">
        <v>94</v>
      </c>
      <c r="K169" s="1"/>
    </row>
    <row r="170" spans="1:11" ht="32" x14ac:dyDescent="0.2">
      <c r="A170" s="6" t="s">
        <v>2212</v>
      </c>
      <c r="B170" s="6" t="s">
        <v>2213</v>
      </c>
      <c r="C170" s="4" t="b">
        <v>1</v>
      </c>
      <c r="D170" s="4" t="b">
        <v>0</v>
      </c>
      <c r="E170" s="4" t="b">
        <v>1</v>
      </c>
      <c r="F170" s="4" t="s">
        <v>12</v>
      </c>
      <c r="G170" s="4" t="b">
        <v>1</v>
      </c>
      <c r="H170" s="4" t="s">
        <v>3017</v>
      </c>
      <c r="I170" s="4"/>
      <c r="J170" s="4" t="s">
        <v>94</v>
      </c>
      <c r="K170" s="1"/>
    </row>
    <row r="171" spans="1:11" ht="16" x14ac:dyDescent="0.2">
      <c r="A171" s="6" t="s">
        <v>2222</v>
      </c>
      <c r="B171" s="6" t="s">
        <v>2223</v>
      </c>
      <c r="C171" s="4" t="b">
        <v>1</v>
      </c>
      <c r="D171" s="4" t="b">
        <v>0</v>
      </c>
      <c r="E171" s="4" t="b">
        <v>1</v>
      </c>
      <c r="F171" s="4" t="s">
        <v>12</v>
      </c>
      <c r="G171" s="4" t="b">
        <v>1</v>
      </c>
      <c r="H171" s="4" t="s">
        <v>3016</v>
      </c>
      <c r="I171" s="4"/>
      <c r="J171" s="4" t="s">
        <v>20</v>
      </c>
      <c r="K171" s="1"/>
    </row>
    <row r="172" spans="1:11" ht="32" x14ac:dyDescent="0.2">
      <c r="A172" s="6" t="s">
        <v>2224</v>
      </c>
      <c r="B172" s="6" t="s">
        <v>2225</v>
      </c>
      <c r="C172" s="4" t="b">
        <v>1</v>
      </c>
      <c r="D172" s="4" t="b">
        <v>0</v>
      </c>
      <c r="E172" s="4" t="b">
        <v>1</v>
      </c>
      <c r="F172" s="4" t="s">
        <v>12</v>
      </c>
      <c r="G172" s="4" t="b">
        <v>1</v>
      </c>
      <c r="H172" s="4" t="s">
        <v>3015</v>
      </c>
      <c r="I172" s="4"/>
      <c r="J172" s="4" t="s">
        <v>20</v>
      </c>
      <c r="K172" s="1"/>
    </row>
    <row r="173" spans="1:11" ht="32" x14ac:dyDescent="0.2">
      <c r="A173" s="6" t="s">
        <v>2238</v>
      </c>
      <c r="B173" s="6" t="s">
        <v>2239</v>
      </c>
      <c r="C173" s="4" t="b">
        <v>1</v>
      </c>
      <c r="D173" s="4" t="b">
        <v>0</v>
      </c>
      <c r="E173" s="4" t="b">
        <v>1</v>
      </c>
      <c r="F173" s="4" t="s">
        <v>12</v>
      </c>
      <c r="G173" s="4" t="b">
        <v>1</v>
      </c>
      <c r="H173" s="4" t="s">
        <v>3014</v>
      </c>
      <c r="I173" s="4"/>
      <c r="J173" s="4" t="s">
        <v>20</v>
      </c>
      <c r="K173" s="1"/>
    </row>
    <row r="174" spans="1:11" ht="64" x14ac:dyDescent="0.2">
      <c r="A174" s="6" t="s">
        <v>2242</v>
      </c>
      <c r="B174" s="6" t="s">
        <v>2243</v>
      </c>
      <c r="C174" s="4" t="b">
        <v>1</v>
      </c>
      <c r="D174" s="4" t="b">
        <v>0</v>
      </c>
      <c r="E174" s="4" t="b">
        <v>1</v>
      </c>
      <c r="F174" s="4" t="s">
        <v>12</v>
      </c>
      <c r="G174" s="4" t="b">
        <v>1</v>
      </c>
      <c r="H174" s="4" t="s">
        <v>3013</v>
      </c>
      <c r="I174" s="4"/>
      <c r="J174" s="4" t="s">
        <v>20</v>
      </c>
      <c r="K174" s="1"/>
    </row>
    <row r="175" spans="1:11" ht="48" x14ac:dyDescent="0.2">
      <c r="A175" s="6" t="s">
        <v>2256</v>
      </c>
      <c r="B175" s="6" t="s">
        <v>2257</v>
      </c>
      <c r="C175" s="4" t="b">
        <v>1</v>
      </c>
      <c r="D175" s="4" t="b">
        <v>0</v>
      </c>
      <c r="E175" s="4" t="b">
        <v>1</v>
      </c>
      <c r="F175" s="4" t="s">
        <v>12</v>
      </c>
      <c r="G175" s="4" t="b">
        <v>1</v>
      </c>
      <c r="H175" s="4" t="s">
        <v>3012</v>
      </c>
      <c r="I175" s="4"/>
      <c r="J175" s="4" t="s">
        <v>20</v>
      </c>
      <c r="K175" s="1"/>
    </row>
    <row r="176" spans="1:11" ht="64" x14ac:dyDescent="0.2">
      <c r="A176" s="6" t="s">
        <v>2260</v>
      </c>
      <c r="B176" s="6" t="s">
        <v>2261</v>
      </c>
      <c r="C176" s="4" t="b">
        <v>1</v>
      </c>
      <c r="D176" s="4" t="b">
        <v>0</v>
      </c>
      <c r="E176" s="4" t="b">
        <v>1</v>
      </c>
      <c r="F176" s="4" t="s">
        <v>12</v>
      </c>
      <c r="G176" s="4" t="b">
        <v>1</v>
      </c>
      <c r="H176" s="4" t="s">
        <v>3011</v>
      </c>
      <c r="I176" s="4"/>
      <c r="J176" s="4" t="s">
        <v>1336</v>
      </c>
      <c r="K176" s="1"/>
    </row>
    <row r="177" spans="1:11" ht="32" x14ac:dyDescent="0.2">
      <c r="A177" s="6" t="s">
        <v>2276</v>
      </c>
      <c r="B177" s="6" t="s">
        <v>2277</v>
      </c>
      <c r="C177" s="4" t="b">
        <v>1</v>
      </c>
      <c r="D177" s="4" t="b">
        <v>0</v>
      </c>
      <c r="E177" s="4" t="b">
        <v>1</v>
      </c>
      <c r="F177" s="4" t="s">
        <v>12</v>
      </c>
      <c r="G177" s="4" t="b">
        <v>1</v>
      </c>
      <c r="H177" s="4" t="s">
        <v>3008</v>
      </c>
      <c r="I177" s="4"/>
      <c r="J177" s="4" t="s">
        <v>621</v>
      </c>
      <c r="K177" s="1"/>
    </row>
    <row r="178" spans="1:11" ht="16" x14ac:dyDescent="0.2">
      <c r="A178" s="6" t="s">
        <v>2280</v>
      </c>
      <c r="B178" s="6" t="s">
        <v>2281</v>
      </c>
      <c r="C178" s="4" t="b">
        <v>1</v>
      </c>
      <c r="D178" s="4" t="b">
        <v>0</v>
      </c>
      <c r="E178" s="4" t="b">
        <v>1</v>
      </c>
      <c r="F178" s="4" t="s">
        <v>12</v>
      </c>
      <c r="G178" s="4" t="b">
        <v>1</v>
      </c>
      <c r="H178" s="4"/>
      <c r="I178" s="4"/>
      <c r="J178" s="4" t="s">
        <v>621</v>
      </c>
      <c r="K178" s="1"/>
    </row>
    <row r="179" spans="1:11" ht="112" x14ac:dyDescent="0.2">
      <c r="A179" s="6" t="s">
        <v>2288</v>
      </c>
      <c r="B179" s="6" t="s">
        <v>2289</v>
      </c>
      <c r="C179" s="4" t="b">
        <v>1</v>
      </c>
      <c r="D179" s="4" t="b">
        <v>0</v>
      </c>
      <c r="E179" s="4" t="b">
        <v>1</v>
      </c>
      <c r="F179" s="4" t="s">
        <v>12</v>
      </c>
      <c r="G179" s="4" t="b">
        <v>1</v>
      </c>
      <c r="H179" s="4" t="s">
        <v>3005</v>
      </c>
      <c r="I179" s="4"/>
      <c r="J179" s="4" t="s">
        <v>621</v>
      </c>
      <c r="K179" s="1"/>
    </row>
    <row r="180" spans="1:11" ht="16" x14ac:dyDescent="0.2">
      <c r="A180" s="6" t="s">
        <v>2292</v>
      </c>
      <c r="B180" s="6" t="s">
        <v>2293</v>
      </c>
      <c r="C180" s="4" t="b">
        <v>1</v>
      </c>
      <c r="D180" s="4" t="b">
        <v>0</v>
      </c>
      <c r="E180" s="4" t="b">
        <v>1</v>
      </c>
      <c r="F180" s="4" t="s">
        <v>12</v>
      </c>
      <c r="G180" s="4" t="b">
        <v>1</v>
      </c>
      <c r="H180" s="4"/>
      <c r="I180" s="4"/>
      <c r="J180" s="4" t="s">
        <v>621</v>
      </c>
      <c r="K180" s="1"/>
    </row>
    <row r="181" spans="1:11" ht="16" x14ac:dyDescent="0.2">
      <c r="A181" s="6" t="s">
        <v>2300</v>
      </c>
      <c r="B181" s="6" t="s">
        <v>2301</v>
      </c>
      <c r="C181" s="4" t="b">
        <v>1</v>
      </c>
      <c r="D181" s="4" t="b">
        <v>0</v>
      </c>
      <c r="E181" s="4" t="b">
        <v>1</v>
      </c>
      <c r="F181" s="4" t="s">
        <v>12</v>
      </c>
      <c r="G181" s="4" t="b">
        <v>1</v>
      </c>
      <c r="H181" s="4"/>
      <c r="I181" s="4"/>
      <c r="J181" s="4" t="s">
        <v>621</v>
      </c>
      <c r="K181" s="1"/>
    </row>
    <row r="182" spans="1:11" ht="16" x14ac:dyDescent="0.2">
      <c r="A182" s="6" t="s">
        <v>2306</v>
      </c>
      <c r="B182" s="6" t="s">
        <v>2307</v>
      </c>
      <c r="C182" s="4" t="b">
        <v>1</v>
      </c>
      <c r="D182" s="4" t="b">
        <v>0</v>
      </c>
      <c r="E182" s="4" t="b">
        <v>1</v>
      </c>
      <c r="F182" s="4" t="s">
        <v>12</v>
      </c>
      <c r="G182" s="4" t="b">
        <v>1</v>
      </c>
      <c r="H182" s="4"/>
      <c r="I182" s="4"/>
      <c r="J182" s="4" t="s">
        <v>621</v>
      </c>
      <c r="K182" s="1"/>
    </row>
    <row r="183" spans="1:11" ht="16" x14ac:dyDescent="0.2">
      <c r="A183" s="6" t="s">
        <v>2308</v>
      </c>
      <c r="B183" s="6" t="s">
        <v>2309</v>
      </c>
      <c r="C183" s="4" t="b">
        <v>1</v>
      </c>
      <c r="D183" s="4" t="b">
        <v>0</v>
      </c>
      <c r="E183" s="4" t="b">
        <v>1</v>
      </c>
      <c r="F183" s="4" t="s">
        <v>12</v>
      </c>
      <c r="G183" s="4" t="b">
        <v>1</v>
      </c>
      <c r="H183" s="4" t="s">
        <v>3004</v>
      </c>
      <c r="I183" s="4"/>
      <c r="J183" s="4" t="s">
        <v>621</v>
      </c>
      <c r="K183" s="1"/>
    </row>
    <row r="184" spans="1:11" ht="64" x14ac:dyDescent="0.2">
      <c r="A184" s="6" t="s">
        <v>2314</v>
      </c>
      <c r="B184" s="6" t="s">
        <v>2315</v>
      </c>
      <c r="C184" s="4" t="b">
        <v>1</v>
      </c>
      <c r="D184" s="4" t="b">
        <v>0</v>
      </c>
      <c r="E184" s="4" t="b">
        <v>1</v>
      </c>
      <c r="F184" s="4" t="s">
        <v>12</v>
      </c>
      <c r="G184" s="4" t="b">
        <v>1</v>
      </c>
      <c r="H184" s="4" t="s">
        <v>3002</v>
      </c>
      <c r="I184" s="4"/>
      <c r="J184" s="4" t="s">
        <v>621</v>
      </c>
      <c r="K184" s="1"/>
    </row>
    <row r="185" spans="1:11" ht="32" x14ac:dyDescent="0.2">
      <c r="A185" s="6" t="s">
        <v>2326</v>
      </c>
      <c r="B185" s="6" t="s">
        <v>2327</v>
      </c>
      <c r="C185" s="4" t="b">
        <v>1</v>
      </c>
      <c r="D185" s="4" t="b">
        <v>0</v>
      </c>
      <c r="E185" s="4" t="b">
        <v>1</v>
      </c>
      <c r="F185" s="4" t="s">
        <v>12</v>
      </c>
      <c r="G185" s="4" t="b">
        <v>1</v>
      </c>
      <c r="H185" s="4" t="s">
        <v>2999</v>
      </c>
      <c r="I185" s="4"/>
      <c r="J185" s="4" t="s">
        <v>1451</v>
      </c>
      <c r="K185" s="1" t="s">
        <v>2998</v>
      </c>
    </row>
    <row r="186" spans="1:11" ht="16" x14ac:dyDescent="0.2">
      <c r="A186" s="6" t="s">
        <v>2336</v>
      </c>
      <c r="B186" s="6" t="s">
        <v>2337</v>
      </c>
      <c r="C186" s="4" t="b">
        <v>1</v>
      </c>
      <c r="D186" s="4" t="b">
        <v>0</v>
      </c>
      <c r="E186" s="4" t="b">
        <v>1</v>
      </c>
      <c r="F186" s="4" t="s">
        <v>12</v>
      </c>
      <c r="G186" s="4" t="b">
        <v>1</v>
      </c>
      <c r="H186" s="4" t="s">
        <v>2996</v>
      </c>
      <c r="I186" s="4"/>
      <c r="J186" s="4" t="s">
        <v>14</v>
      </c>
      <c r="K186" s="1"/>
    </row>
    <row r="187" spans="1:11" ht="16" x14ac:dyDescent="0.2">
      <c r="A187" s="6" t="s">
        <v>2344</v>
      </c>
      <c r="B187" s="6" t="s">
        <v>2345</v>
      </c>
      <c r="C187" s="4" t="b">
        <v>1</v>
      </c>
      <c r="D187" s="4" t="b">
        <v>0</v>
      </c>
      <c r="E187" s="4" t="b">
        <v>1</v>
      </c>
      <c r="F187" s="4" t="s">
        <v>12</v>
      </c>
      <c r="G187" s="4" t="b">
        <v>1</v>
      </c>
      <c r="H187" s="4" t="s">
        <v>2994</v>
      </c>
      <c r="I187" s="4"/>
      <c r="J187" s="4" t="s">
        <v>26</v>
      </c>
      <c r="K187" s="1"/>
    </row>
    <row r="188" spans="1:11" ht="16" x14ac:dyDescent="0.2">
      <c r="A188" s="6" t="s">
        <v>2346</v>
      </c>
      <c r="B188" s="6" t="s">
        <v>2347</v>
      </c>
      <c r="C188" s="4" t="b">
        <v>1</v>
      </c>
      <c r="D188" s="4" t="b">
        <v>0</v>
      </c>
      <c r="E188" s="4" t="b">
        <v>1</v>
      </c>
      <c r="F188" s="4" t="s">
        <v>12</v>
      </c>
      <c r="G188" s="4" t="b">
        <v>1</v>
      </c>
      <c r="H188" s="4"/>
      <c r="I188" s="4"/>
      <c r="J188" s="4" t="s">
        <v>26</v>
      </c>
      <c r="K188" s="1"/>
    </row>
    <row r="189" spans="1:11" ht="48" x14ac:dyDescent="0.2">
      <c r="A189" s="6" t="s">
        <v>2348</v>
      </c>
      <c r="B189" s="6" t="s">
        <v>2349</v>
      </c>
      <c r="C189" s="4" t="b">
        <v>1</v>
      </c>
      <c r="D189" s="4" t="b">
        <v>0</v>
      </c>
      <c r="E189" s="4" t="b">
        <v>1</v>
      </c>
      <c r="F189" s="4" t="s">
        <v>12</v>
      </c>
      <c r="G189" s="4" t="b">
        <v>1</v>
      </c>
      <c r="H189" s="4" t="s">
        <v>2993</v>
      </c>
      <c r="I189" s="4"/>
      <c r="J189" s="4" t="s">
        <v>26</v>
      </c>
      <c r="K189" s="1"/>
    </row>
    <row r="190" spans="1:11" ht="160" x14ac:dyDescent="0.2">
      <c r="A190" s="6" t="s">
        <v>2354</v>
      </c>
      <c r="B190" s="6" t="s">
        <v>2355</v>
      </c>
      <c r="C190" s="4" t="b">
        <v>1</v>
      </c>
      <c r="D190" s="4" t="b">
        <v>0</v>
      </c>
      <c r="E190" s="4" t="b">
        <v>1</v>
      </c>
      <c r="F190" s="4" t="s">
        <v>12</v>
      </c>
      <c r="G190" s="4" t="b">
        <v>1</v>
      </c>
      <c r="H190" s="4" t="s">
        <v>2990</v>
      </c>
      <c r="I190" s="4"/>
      <c r="J190" s="4" t="s">
        <v>26</v>
      </c>
      <c r="K190" s="4" t="s">
        <v>2998</v>
      </c>
    </row>
    <row r="191" spans="1:11" ht="64" x14ac:dyDescent="0.2">
      <c r="A191" s="6" t="s">
        <v>2362</v>
      </c>
      <c r="B191" s="6" t="s">
        <v>2363</v>
      </c>
      <c r="C191" s="4" t="b">
        <v>1</v>
      </c>
      <c r="D191" s="4" t="b">
        <v>0</v>
      </c>
      <c r="E191" s="4" t="b">
        <v>1</v>
      </c>
      <c r="F191" s="4" t="s">
        <v>12</v>
      </c>
      <c r="G191" s="4" t="b">
        <v>1</v>
      </c>
      <c r="H191" s="4" t="s">
        <v>2989</v>
      </c>
      <c r="I191" s="4"/>
      <c r="J191" s="4" t="s">
        <v>26</v>
      </c>
      <c r="K191" s="1"/>
    </row>
    <row r="192" spans="1:11" ht="16" x14ac:dyDescent="0.2">
      <c r="A192" s="6" t="s">
        <v>2374</v>
      </c>
      <c r="B192" s="6" t="s">
        <v>2375</v>
      </c>
      <c r="C192" s="4" t="b">
        <v>1</v>
      </c>
      <c r="D192" s="4" t="b">
        <v>0</v>
      </c>
      <c r="E192" s="4" t="b">
        <v>1</v>
      </c>
      <c r="F192" s="4" t="s">
        <v>12</v>
      </c>
      <c r="G192" s="4" t="b">
        <v>1</v>
      </c>
      <c r="H192" s="4" t="s">
        <v>2985</v>
      </c>
      <c r="I192" s="4"/>
      <c r="J192" s="4" t="s">
        <v>26</v>
      </c>
      <c r="K192" s="1"/>
    </row>
    <row r="193" spans="1:11" ht="48" x14ac:dyDescent="0.2">
      <c r="A193" s="6" t="s">
        <v>2378</v>
      </c>
      <c r="B193" s="6" t="s">
        <v>2379</v>
      </c>
      <c r="C193" s="4" t="b">
        <v>1</v>
      </c>
      <c r="D193" s="4" t="b">
        <v>0</v>
      </c>
      <c r="E193" s="4" t="b">
        <v>1</v>
      </c>
      <c r="F193" s="4" t="s">
        <v>12</v>
      </c>
      <c r="G193" s="4" t="b">
        <v>1</v>
      </c>
      <c r="H193" s="4" t="s">
        <v>2984</v>
      </c>
      <c r="I193" s="4"/>
      <c r="J193" s="4" t="s">
        <v>26</v>
      </c>
      <c r="K193" s="1"/>
    </row>
    <row r="194" spans="1:11" ht="96" x14ac:dyDescent="0.2">
      <c r="A194" s="6" t="s">
        <v>2468</v>
      </c>
      <c r="B194" s="6" t="s">
        <v>2469</v>
      </c>
      <c r="C194" s="4" t="b">
        <v>1</v>
      </c>
      <c r="D194" s="4" t="b">
        <v>0</v>
      </c>
      <c r="E194" s="4" t="b">
        <v>1</v>
      </c>
      <c r="F194" s="4" t="s">
        <v>12</v>
      </c>
      <c r="G194" s="4" t="b">
        <v>1</v>
      </c>
      <c r="H194" s="4" t="s">
        <v>2982</v>
      </c>
      <c r="I194" s="4"/>
      <c r="J194" s="4" t="s">
        <v>94</v>
      </c>
      <c r="K194" s="1"/>
    </row>
    <row r="195" spans="1:11" ht="16" x14ac:dyDescent="0.2">
      <c r="A195" s="6" t="s">
        <v>2474</v>
      </c>
      <c r="B195" s="6" t="s">
        <v>2475</v>
      </c>
      <c r="C195" s="4" t="b">
        <v>1</v>
      </c>
      <c r="D195" s="4" t="b">
        <v>0</v>
      </c>
      <c r="E195" s="4" t="b">
        <v>1</v>
      </c>
      <c r="F195" s="4" t="s">
        <v>12</v>
      </c>
      <c r="G195" s="4" t="b">
        <v>1</v>
      </c>
      <c r="H195" s="4"/>
      <c r="I195" s="4"/>
      <c r="J195" s="4" t="s">
        <v>94</v>
      </c>
      <c r="K195" s="1"/>
    </row>
    <row r="196" spans="1:11" ht="112" x14ac:dyDescent="0.2">
      <c r="A196" s="6" t="s">
        <v>2484</v>
      </c>
      <c r="B196" s="6" t="s">
        <v>2485</v>
      </c>
      <c r="C196" s="4" t="b">
        <v>1</v>
      </c>
      <c r="D196" s="4" t="b">
        <v>0</v>
      </c>
      <c r="E196" s="4" t="b">
        <v>1</v>
      </c>
      <c r="F196" s="4" t="s">
        <v>12</v>
      </c>
      <c r="G196" s="4" t="b">
        <v>1</v>
      </c>
      <c r="H196" s="4" t="s">
        <v>2976</v>
      </c>
      <c r="I196" s="4"/>
      <c r="J196" s="4" t="s">
        <v>94</v>
      </c>
      <c r="K196" s="1"/>
    </row>
    <row r="197" spans="1:11" ht="32" x14ac:dyDescent="0.2">
      <c r="A197" s="6" t="s">
        <v>2488</v>
      </c>
      <c r="B197" s="6" t="s">
        <v>2489</v>
      </c>
      <c r="C197" s="4" t="b">
        <v>1</v>
      </c>
      <c r="D197" s="4" t="b">
        <v>0</v>
      </c>
      <c r="E197" s="4" t="b">
        <v>1</v>
      </c>
      <c r="F197" s="4" t="s">
        <v>12</v>
      </c>
      <c r="G197" s="4" t="b">
        <v>1</v>
      </c>
      <c r="H197" s="4" t="s">
        <v>2975</v>
      </c>
      <c r="I197" s="4"/>
      <c r="J197" s="4" t="s">
        <v>94</v>
      </c>
      <c r="K197" s="1"/>
    </row>
    <row r="198" spans="1:11" ht="16" x14ac:dyDescent="0.2">
      <c r="A198" s="6" t="s">
        <v>2502</v>
      </c>
      <c r="B198" s="6" t="s">
        <v>2503</v>
      </c>
      <c r="C198" s="4" t="b">
        <v>1</v>
      </c>
      <c r="D198" s="4" t="b">
        <v>0</v>
      </c>
      <c r="E198" s="4" t="b">
        <v>1</v>
      </c>
      <c r="F198" s="4" t="s">
        <v>12</v>
      </c>
      <c r="G198" s="4" t="b">
        <v>1</v>
      </c>
      <c r="H198" s="4" t="s">
        <v>2971</v>
      </c>
      <c r="I198" s="4"/>
      <c r="J198" s="4" t="s">
        <v>94</v>
      </c>
      <c r="K198" s="1"/>
    </row>
    <row r="199" spans="1:11" ht="16" x14ac:dyDescent="0.2">
      <c r="A199" s="6" t="s">
        <v>2512</v>
      </c>
      <c r="B199" s="6" t="s">
        <v>2513</v>
      </c>
      <c r="C199" s="4" t="b">
        <v>1</v>
      </c>
      <c r="D199" s="4" t="b">
        <v>0</v>
      </c>
      <c r="E199" s="4" t="b">
        <v>1</v>
      </c>
      <c r="F199" s="4" t="s">
        <v>12</v>
      </c>
      <c r="G199" s="4" t="b">
        <v>1</v>
      </c>
      <c r="H199" s="4"/>
      <c r="I199" s="4"/>
      <c r="J199" s="4" t="s">
        <v>94</v>
      </c>
      <c r="K199" s="1"/>
    </row>
    <row r="200" spans="1:11" ht="16" x14ac:dyDescent="0.2">
      <c r="A200" s="6" t="s">
        <v>2518</v>
      </c>
      <c r="B200" s="6" t="s">
        <v>2519</v>
      </c>
      <c r="C200" s="4" t="b">
        <v>1</v>
      </c>
      <c r="D200" s="4" t="b">
        <v>0</v>
      </c>
      <c r="E200" s="4" t="b">
        <v>1</v>
      </c>
      <c r="F200" s="4" t="s">
        <v>12</v>
      </c>
      <c r="G200" s="4" t="b">
        <v>1</v>
      </c>
      <c r="H200" s="4"/>
      <c r="I200" s="4"/>
      <c r="J200" s="4" t="s">
        <v>94</v>
      </c>
      <c r="K200" s="1"/>
    </row>
    <row r="201" spans="1:11" ht="16" x14ac:dyDescent="0.2">
      <c r="A201" s="6" t="s">
        <v>2522</v>
      </c>
      <c r="B201" s="6" t="s">
        <v>2523</v>
      </c>
      <c r="C201" s="4" t="b">
        <v>1</v>
      </c>
      <c r="D201" s="4" t="b">
        <v>0</v>
      </c>
      <c r="E201" s="4" t="b">
        <v>1</v>
      </c>
      <c r="F201" s="4" t="s">
        <v>12</v>
      </c>
      <c r="G201" s="4" t="b">
        <v>1</v>
      </c>
      <c r="H201" s="1"/>
      <c r="I201" s="4"/>
      <c r="J201" s="4" t="s">
        <v>94</v>
      </c>
      <c r="K201" s="1"/>
    </row>
    <row r="202" spans="1:11" ht="96" x14ac:dyDescent="0.2">
      <c r="A202" s="6" t="s">
        <v>2526</v>
      </c>
      <c r="B202" s="6" t="s">
        <v>2527</v>
      </c>
      <c r="C202" s="4" t="b">
        <v>1</v>
      </c>
      <c r="D202" s="4" t="b">
        <v>0</v>
      </c>
      <c r="E202" s="4" t="b">
        <v>1</v>
      </c>
      <c r="F202" s="4" t="s">
        <v>12</v>
      </c>
      <c r="G202" s="4" t="b">
        <v>1</v>
      </c>
      <c r="H202" s="4" t="s">
        <v>2967</v>
      </c>
      <c r="I202" s="4"/>
      <c r="J202" s="4" t="s">
        <v>94</v>
      </c>
      <c r="K202" s="1"/>
    </row>
    <row r="203" spans="1:11" ht="192" x14ac:dyDescent="0.2">
      <c r="A203" s="6" t="s">
        <v>2528</v>
      </c>
      <c r="B203" s="6" t="s">
        <v>2529</v>
      </c>
      <c r="C203" s="4" t="b">
        <v>1</v>
      </c>
      <c r="D203" s="4" t="b">
        <v>0</v>
      </c>
      <c r="E203" s="4" t="b">
        <v>1</v>
      </c>
      <c r="F203" s="4" t="s">
        <v>12</v>
      </c>
      <c r="G203" s="4" t="b">
        <v>1</v>
      </c>
      <c r="H203" s="4" t="s">
        <v>2966</v>
      </c>
      <c r="I203" s="4"/>
      <c r="J203" s="4" t="s">
        <v>94</v>
      </c>
      <c r="K203" s="1"/>
    </row>
    <row r="204" spans="1:11" ht="16" x14ac:dyDescent="0.2">
      <c r="A204" s="6" t="s">
        <v>2530</v>
      </c>
      <c r="B204" s="6" t="s">
        <v>2531</v>
      </c>
      <c r="C204" s="4" t="b">
        <v>1</v>
      </c>
      <c r="D204" s="4" t="b">
        <v>0</v>
      </c>
      <c r="E204" s="4" t="b">
        <v>1</v>
      </c>
      <c r="F204" s="4" t="s">
        <v>12</v>
      </c>
      <c r="G204" s="4" t="b">
        <v>1</v>
      </c>
      <c r="H204" s="4" t="s">
        <v>2965</v>
      </c>
      <c r="I204" s="4"/>
      <c r="J204" s="4" t="s">
        <v>94</v>
      </c>
      <c r="K204" s="1"/>
    </row>
    <row r="205" spans="1:11" ht="64" x14ac:dyDescent="0.2">
      <c r="A205" s="6" t="s">
        <v>2550</v>
      </c>
      <c r="B205" s="6" t="s">
        <v>2551</v>
      </c>
      <c r="C205" s="4" t="b">
        <v>1</v>
      </c>
      <c r="D205" s="4" t="b">
        <v>0</v>
      </c>
      <c r="E205" s="4" t="b">
        <v>1</v>
      </c>
      <c r="F205" s="4" t="s">
        <v>12</v>
      </c>
      <c r="G205" s="4" t="b">
        <v>1</v>
      </c>
      <c r="H205" s="4" t="s">
        <v>2961</v>
      </c>
      <c r="I205" s="4"/>
      <c r="J205" s="4" t="s">
        <v>1336</v>
      </c>
      <c r="K205" s="1"/>
    </row>
    <row r="206" spans="1:11" ht="80" x14ac:dyDescent="0.2">
      <c r="A206" s="6" t="s">
        <v>2556</v>
      </c>
      <c r="B206" s="6" t="s">
        <v>2557</v>
      </c>
      <c r="C206" s="4" t="b">
        <v>1</v>
      </c>
      <c r="D206" s="4" t="b">
        <v>0</v>
      </c>
      <c r="E206" s="4" t="b">
        <v>1</v>
      </c>
      <c r="F206" s="4" t="s">
        <v>12</v>
      </c>
      <c r="G206" s="4" t="b">
        <v>1</v>
      </c>
      <c r="H206" s="4" t="s">
        <v>2960</v>
      </c>
      <c r="I206" s="4"/>
      <c r="J206" s="4" t="s">
        <v>621</v>
      </c>
      <c r="K206" s="1"/>
    </row>
    <row r="207" spans="1:11" ht="48" x14ac:dyDescent="0.2">
      <c r="A207" s="6" t="s">
        <v>2564</v>
      </c>
      <c r="B207" s="6" t="s">
        <v>2565</v>
      </c>
      <c r="C207" s="4" t="b">
        <v>1</v>
      </c>
      <c r="D207" s="4" t="b">
        <v>0</v>
      </c>
      <c r="E207" s="4" t="b">
        <v>1</v>
      </c>
      <c r="F207" s="4" t="s">
        <v>12</v>
      </c>
      <c r="G207" s="4" t="b">
        <v>1</v>
      </c>
      <c r="H207" s="4" t="s">
        <v>2959</v>
      </c>
      <c r="I207" s="4"/>
      <c r="J207" s="4" t="s">
        <v>621</v>
      </c>
      <c r="K207" s="1"/>
    </row>
    <row r="208" spans="1:11" ht="16" x14ac:dyDescent="0.2">
      <c r="A208" s="6" t="s">
        <v>2568</v>
      </c>
      <c r="B208" s="6" t="s">
        <v>2569</v>
      </c>
      <c r="C208" s="4" t="b">
        <v>1</v>
      </c>
      <c r="D208" s="4" t="b">
        <v>0</v>
      </c>
      <c r="E208" s="4" t="b">
        <v>1</v>
      </c>
      <c r="F208" s="4" t="s">
        <v>12</v>
      </c>
      <c r="G208" s="4" t="b">
        <v>1</v>
      </c>
      <c r="H208" s="4" t="s">
        <v>2958</v>
      </c>
      <c r="I208" s="4"/>
      <c r="J208" s="4" t="s">
        <v>621</v>
      </c>
      <c r="K208" s="1"/>
    </row>
    <row r="209" spans="1:11" ht="48" x14ac:dyDescent="0.2">
      <c r="A209" s="6" t="s">
        <v>2586</v>
      </c>
      <c r="B209" s="6" t="s">
        <v>2587</v>
      </c>
      <c r="C209" s="4" t="b">
        <v>1</v>
      </c>
      <c r="D209" s="4" t="b">
        <v>0</v>
      </c>
      <c r="E209" s="4" t="b">
        <v>1</v>
      </c>
      <c r="F209" s="4" t="s">
        <v>12</v>
      </c>
      <c r="G209" s="4" t="b">
        <v>1</v>
      </c>
      <c r="H209" s="4" t="s">
        <v>2955</v>
      </c>
      <c r="I209" s="4"/>
      <c r="J209" s="4" t="s">
        <v>621</v>
      </c>
      <c r="K209" s="1"/>
    </row>
    <row r="210" spans="1:11" ht="48" x14ac:dyDescent="0.2">
      <c r="A210" s="6" t="s">
        <v>2590</v>
      </c>
      <c r="B210" s="6" t="s">
        <v>2591</v>
      </c>
      <c r="C210" s="4" t="b">
        <v>1</v>
      </c>
      <c r="D210" s="4" t="b">
        <v>0</v>
      </c>
      <c r="E210" s="4" t="b">
        <v>1</v>
      </c>
      <c r="F210" s="4" t="s">
        <v>12</v>
      </c>
      <c r="G210" s="4" t="b">
        <v>1</v>
      </c>
      <c r="H210" s="4" t="s">
        <v>2954</v>
      </c>
      <c r="I210" s="4"/>
      <c r="J210" s="4" t="s">
        <v>621</v>
      </c>
      <c r="K210" s="1"/>
    </row>
    <row r="211" spans="1:11" ht="16" x14ac:dyDescent="0.2">
      <c r="A211" s="6" t="s">
        <v>2596</v>
      </c>
      <c r="B211" s="6" t="s">
        <v>2597</v>
      </c>
      <c r="C211" s="4" t="b">
        <v>1</v>
      </c>
      <c r="D211" s="4" t="b">
        <v>0</v>
      </c>
      <c r="E211" s="4" t="b">
        <v>1</v>
      </c>
      <c r="F211" s="4" t="s">
        <v>12</v>
      </c>
      <c r="G211" s="4" t="b">
        <v>1</v>
      </c>
      <c r="H211" s="4" t="s">
        <v>2953</v>
      </c>
      <c r="I211" s="4"/>
      <c r="J211" s="4" t="s">
        <v>621</v>
      </c>
      <c r="K211" s="1"/>
    </row>
    <row r="212" spans="1:11" ht="16" x14ac:dyDescent="0.2">
      <c r="A212" s="6" t="s">
        <v>2610</v>
      </c>
      <c r="B212" s="6" t="s">
        <v>2611</v>
      </c>
      <c r="C212" s="4" t="b">
        <v>1</v>
      </c>
      <c r="D212" s="4" t="b">
        <v>0</v>
      </c>
      <c r="E212" s="4" t="b">
        <v>1</v>
      </c>
      <c r="F212" s="4" t="s">
        <v>12</v>
      </c>
      <c r="G212" s="4" t="b">
        <v>1</v>
      </c>
      <c r="H212" s="4" t="s">
        <v>2952</v>
      </c>
      <c r="I212" s="4"/>
      <c r="J212" s="4" t="s">
        <v>621</v>
      </c>
      <c r="K212" s="1"/>
    </row>
    <row r="213" spans="1:11" ht="16" x14ac:dyDescent="0.2">
      <c r="A213" s="6" t="s">
        <v>2612</v>
      </c>
      <c r="B213" s="6" t="s">
        <v>2613</v>
      </c>
      <c r="C213" s="4" t="b">
        <v>1</v>
      </c>
      <c r="D213" s="4" t="b">
        <v>0</v>
      </c>
      <c r="E213" s="4" t="b">
        <v>1</v>
      </c>
      <c r="F213" s="4" t="s">
        <v>12</v>
      </c>
      <c r="G213" s="4" t="b">
        <v>1</v>
      </c>
      <c r="H213" s="4" t="s">
        <v>2951</v>
      </c>
      <c r="I213" s="4"/>
      <c r="J213" s="4" t="s">
        <v>621</v>
      </c>
      <c r="K213" s="1"/>
    </row>
    <row r="214" spans="1:11" ht="16" x14ac:dyDescent="0.2">
      <c r="A214" s="6" t="s">
        <v>2618</v>
      </c>
      <c r="B214" s="6" t="s">
        <v>2619</v>
      </c>
      <c r="C214" s="4" t="b">
        <v>1</v>
      </c>
      <c r="D214" s="4" t="b">
        <v>0</v>
      </c>
      <c r="E214" s="4" t="b">
        <v>1</v>
      </c>
      <c r="F214" s="4" t="s">
        <v>12</v>
      </c>
      <c r="G214" s="4" t="b">
        <v>1</v>
      </c>
      <c r="H214" s="4" t="s">
        <v>2950</v>
      </c>
      <c r="I214" s="4"/>
      <c r="J214" s="4" t="s">
        <v>621</v>
      </c>
      <c r="K214" s="1"/>
    </row>
    <row r="215" spans="1:11" ht="16" x14ac:dyDescent="0.2">
      <c r="A215" s="6" t="s">
        <v>2620</v>
      </c>
      <c r="B215" s="6" t="s">
        <v>2621</v>
      </c>
      <c r="C215" s="4" t="b">
        <v>1</v>
      </c>
      <c r="D215" s="4" t="b">
        <v>0</v>
      </c>
      <c r="E215" s="4" t="b">
        <v>1</v>
      </c>
      <c r="F215" s="4" t="s">
        <v>12</v>
      </c>
      <c r="G215" s="4" t="b">
        <v>1</v>
      </c>
      <c r="H215" s="4"/>
      <c r="I215" s="4"/>
      <c r="J215" s="4" t="s">
        <v>621</v>
      </c>
      <c r="K215" s="1"/>
    </row>
    <row r="216" spans="1:11" ht="32" x14ac:dyDescent="0.2">
      <c r="A216" s="6" t="s">
        <v>2622</v>
      </c>
      <c r="B216" s="6" t="s">
        <v>2623</v>
      </c>
      <c r="C216" s="4" t="b">
        <v>1</v>
      </c>
      <c r="D216" s="4" t="b">
        <v>0</v>
      </c>
      <c r="E216" s="4" t="b">
        <v>1</v>
      </c>
      <c r="F216" s="4" t="s">
        <v>12</v>
      </c>
      <c r="G216" s="4" t="b">
        <v>1</v>
      </c>
      <c r="H216" s="4" t="s">
        <v>2945</v>
      </c>
      <c r="I216" s="4"/>
      <c r="J216" s="4" t="s">
        <v>621</v>
      </c>
      <c r="K216" s="1"/>
    </row>
    <row r="217" spans="1:11" ht="16" x14ac:dyDescent="0.2">
      <c r="A217" s="6" t="s">
        <v>2626</v>
      </c>
      <c r="B217" s="6" t="s">
        <v>2627</v>
      </c>
      <c r="C217" s="4" t="b">
        <v>1</v>
      </c>
      <c r="D217" s="4" t="b">
        <v>0</v>
      </c>
      <c r="E217" s="4" t="b">
        <v>1</v>
      </c>
      <c r="F217" s="4" t="s">
        <v>12</v>
      </c>
      <c r="G217" s="4" t="b">
        <v>1</v>
      </c>
      <c r="H217" s="4" t="s">
        <v>2936</v>
      </c>
      <c r="I217" s="4"/>
      <c r="J217" s="4" t="s">
        <v>621</v>
      </c>
      <c r="K217" s="1"/>
    </row>
    <row r="218" spans="1:11" ht="128" x14ac:dyDescent="0.2">
      <c r="A218" s="6" t="s">
        <v>2682</v>
      </c>
      <c r="B218" s="6" t="s">
        <v>2683</v>
      </c>
      <c r="C218" s="4" t="b">
        <v>1</v>
      </c>
      <c r="D218" s="4" t="b">
        <v>0</v>
      </c>
      <c r="E218" s="4" t="b">
        <v>1</v>
      </c>
      <c r="F218" s="4" t="s">
        <v>12</v>
      </c>
      <c r="G218" s="4" t="b">
        <v>1</v>
      </c>
      <c r="H218" s="4" t="s">
        <v>2935</v>
      </c>
      <c r="I218" s="4"/>
      <c r="J218" s="4" t="s">
        <v>94</v>
      </c>
      <c r="K218" s="1"/>
    </row>
    <row r="219" spans="1:11" ht="48" x14ac:dyDescent="0.2">
      <c r="A219" s="6" t="s">
        <v>2690</v>
      </c>
      <c r="B219" s="6" t="s">
        <v>2691</v>
      </c>
      <c r="C219" s="4" t="b">
        <v>1</v>
      </c>
      <c r="D219" s="4" t="b">
        <v>0</v>
      </c>
      <c r="E219" s="4" t="b">
        <v>1</v>
      </c>
      <c r="F219" s="4" t="s">
        <v>12</v>
      </c>
      <c r="G219" s="4" t="b">
        <v>1</v>
      </c>
      <c r="H219" s="4" t="s">
        <v>2934</v>
      </c>
      <c r="I219" s="4"/>
      <c r="J219" s="4" t="s">
        <v>94</v>
      </c>
      <c r="K219" s="1"/>
    </row>
    <row r="220" spans="1:11" ht="16" x14ac:dyDescent="0.2">
      <c r="A220" s="6" t="s">
        <v>2694</v>
      </c>
      <c r="B220" s="6" t="s">
        <v>2695</v>
      </c>
      <c r="C220" s="4" t="b">
        <v>1</v>
      </c>
      <c r="D220" s="4" t="b">
        <v>0</v>
      </c>
      <c r="E220" s="4" t="b">
        <v>1</v>
      </c>
      <c r="F220" s="4" t="s">
        <v>12</v>
      </c>
      <c r="G220" s="4" t="b">
        <v>1</v>
      </c>
      <c r="H220" s="4" t="s">
        <v>2933</v>
      </c>
      <c r="I220" s="4"/>
      <c r="J220" s="4" t="s">
        <v>94</v>
      </c>
      <c r="K220" s="1"/>
    </row>
    <row r="221" spans="1:11" ht="32" x14ac:dyDescent="0.2">
      <c r="A221" s="6" t="s">
        <v>2702</v>
      </c>
      <c r="B221" s="6" t="s">
        <v>2703</v>
      </c>
      <c r="C221" s="4" t="b">
        <v>1</v>
      </c>
      <c r="D221" s="4" t="b">
        <v>0</v>
      </c>
      <c r="E221" s="4" t="b">
        <v>1</v>
      </c>
      <c r="F221" s="4" t="s">
        <v>12</v>
      </c>
      <c r="G221" s="4" t="b">
        <v>1</v>
      </c>
      <c r="H221" s="4" t="s">
        <v>2932</v>
      </c>
      <c r="I221" s="4"/>
      <c r="J221" s="4" t="s">
        <v>94</v>
      </c>
      <c r="K221" s="1"/>
    </row>
    <row r="222" spans="1:11" ht="16" x14ac:dyDescent="0.2">
      <c r="A222" s="6" t="s">
        <v>2704</v>
      </c>
      <c r="B222" s="6" t="s">
        <v>2705</v>
      </c>
      <c r="C222" s="4" t="b">
        <v>1</v>
      </c>
      <c r="D222" s="4" t="b">
        <v>0</v>
      </c>
      <c r="E222" s="4" t="b">
        <v>1</v>
      </c>
      <c r="F222" s="4" t="s">
        <v>12</v>
      </c>
      <c r="G222" s="4" t="b">
        <v>1</v>
      </c>
      <c r="H222" s="4" t="s">
        <v>2931</v>
      </c>
      <c r="I222" s="4"/>
      <c r="J222" s="4" t="s">
        <v>94</v>
      </c>
      <c r="K222" s="1"/>
    </row>
    <row r="223" spans="1:11" ht="48" x14ac:dyDescent="0.2">
      <c r="A223" s="6" t="s">
        <v>2708</v>
      </c>
      <c r="B223" s="6" t="s">
        <v>2709</v>
      </c>
      <c r="C223" s="4" t="b">
        <v>1</v>
      </c>
      <c r="D223" s="4" t="b">
        <v>0</v>
      </c>
      <c r="E223" s="4" t="b">
        <v>1</v>
      </c>
      <c r="F223" s="4" t="s">
        <v>12</v>
      </c>
      <c r="G223" s="4" t="b">
        <v>1</v>
      </c>
      <c r="H223" s="4" t="s">
        <v>2930</v>
      </c>
      <c r="I223" s="4"/>
      <c r="J223" s="4" t="s">
        <v>94</v>
      </c>
      <c r="K223" s="1"/>
    </row>
    <row r="224" spans="1:11" ht="16" x14ac:dyDescent="0.2">
      <c r="A224" s="6" t="s">
        <v>2710</v>
      </c>
      <c r="B224" s="6" t="s">
        <v>2711</v>
      </c>
      <c r="C224" s="4" t="b">
        <v>1</v>
      </c>
      <c r="D224" s="4" t="b">
        <v>0</v>
      </c>
      <c r="E224" s="4" t="b">
        <v>1</v>
      </c>
      <c r="F224" s="4" t="s">
        <v>12</v>
      </c>
      <c r="G224" s="4" t="b">
        <v>1</v>
      </c>
      <c r="H224" s="4" t="s">
        <v>2929</v>
      </c>
      <c r="I224" s="4"/>
      <c r="J224" s="4" t="s">
        <v>94</v>
      </c>
      <c r="K224" s="1"/>
    </row>
    <row r="225" spans="1:11" ht="16" x14ac:dyDescent="0.2">
      <c r="A225" s="6" t="s">
        <v>2718</v>
      </c>
      <c r="B225" s="6" t="s">
        <v>2719</v>
      </c>
      <c r="C225" s="4" t="b">
        <v>1</v>
      </c>
      <c r="D225" s="4" t="b">
        <v>0</v>
      </c>
      <c r="E225" s="4" t="b">
        <v>1</v>
      </c>
      <c r="F225" s="4" t="s">
        <v>12</v>
      </c>
      <c r="G225" s="4" t="b">
        <v>1</v>
      </c>
      <c r="H225" s="4"/>
      <c r="I225" s="4"/>
      <c r="J225" s="4" t="s">
        <v>94</v>
      </c>
      <c r="K225" s="1"/>
    </row>
    <row r="226" spans="1:11" ht="32" x14ac:dyDescent="0.2">
      <c r="A226" s="6" t="s">
        <v>2742</v>
      </c>
      <c r="B226" s="6" t="s">
        <v>2743</v>
      </c>
      <c r="C226" s="4" t="b">
        <v>1</v>
      </c>
      <c r="D226" s="4" t="b">
        <v>0</v>
      </c>
      <c r="E226" s="4" t="b">
        <v>1</v>
      </c>
      <c r="F226" s="4" t="s">
        <v>12</v>
      </c>
      <c r="G226" s="4" t="b">
        <v>1</v>
      </c>
      <c r="H226" s="4" t="s">
        <v>2926</v>
      </c>
      <c r="I226" s="4"/>
      <c r="J226" s="4" t="s">
        <v>94</v>
      </c>
      <c r="K226" s="1"/>
    </row>
    <row r="227" spans="1:11" ht="64" x14ac:dyDescent="0.2">
      <c r="A227" s="6" t="s">
        <v>2744</v>
      </c>
      <c r="B227" s="6" t="s">
        <v>2745</v>
      </c>
      <c r="C227" s="4" t="b">
        <v>1</v>
      </c>
      <c r="D227" s="4" t="b">
        <v>0</v>
      </c>
      <c r="E227" s="4" t="b">
        <v>1</v>
      </c>
      <c r="F227" s="4" t="s">
        <v>12</v>
      </c>
      <c r="G227" s="4" t="b">
        <v>1</v>
      </c>
      <c r="H227" s="4" t="s">
        <v>2925</v>
      </c>
      <c r="I227" s="4"/>
      <c r="J227" s="4" t="s">
        <v>94</v>
      </c>
      <c r="K227" s="1"/>
    </row>
    <row r="228" spans="1:11" ht="16" x14ac:dyDescent="0.2">
      <c r="A228" s="6" t="s">
        <v>2754</v>
      </c>
      <c r="B228" s="6" t="s">
        <v>2755</v>
      </c>
      <c r="C228" s="4" t="b">
        <v>1</v>
      </c>
      <c r="D228" s="4" t="b">
        <v>0</v>
      </c>
      <c r="E228" s="4" t="b">
        <v>1</v>
      </c>
      <c r="F228" s="4" t="s">
        <v>12</v>
      </c>
      <c r="G228" s="4" t="b">
        <v>1</v>
      </c>
      <c r="H228" s="4" t="s">
        <v>2924</v>
      </c>
      <c r="I228" s="4"/>
      <c r="J228" s="4" t="s">
        <v>94</v>
      </c>
      <c r="K228" s="1"/>
    </row>
    <row r="229" spans="1:11" ht="32" x14ac:dyDescent="0.2">
      <c r="A229" s="6" t="s">
        <v>2802</v>
      </c>
      <c r="B229" s="6" t="s">
        <v>2803</v>
      </c>
      <c r="C229" s="4" t="b">
        <v>1</v>
      </c>
      <c r="D229" s="4" t="b">
        <v>0</v>
      </c>
      <c r="E229" s="4" t="b">
        <v>1</v>
      </c>
      <c r="F229" s="4" t="s">
        <v>12</v>
      </c>
      <c r="G229" s="4" t="b">
        <v>1</v>
      </c>
      <c r="H229" s="4" t="s">
        <v>2921</v>
      </c>
      <c r="I229" s="4"/>
      <c r="J229" s="4" t="s">
        <v>621</v>
      </c>
      <c r="K229" s="1"/>
    </row>
    <row r="230" spans="1:11" ht="16" x14ac:dyDescent="0.2">
      <c r="A230" s="6" t="s">
        <v>2810</v>
      </c>
      <c r="B230" s="6" t="s">
        <v>2811</v>
      </c>
      <c r="C230" s="4" t="b">
        <v>1</v>
      </c>
      <c r="D230" s="4" t="b">
        <v>0</v>
      </c>
      <c r="E230" s="4" t="b">
        <v>1</v>
      </c>
      <c r="F230" s="4" t="s">
        <v>12</v>
      </c>
      <c r="G230" s="4" t="b">
        <v>1</v>
      </c>
      <c r="H230" s="4" t="s">
        <v>2920</v>
      </c>
      <c r="I230" s="4"/>
      <c r="J230" s="4" t="s">
        <v>621</v>
      </c>
      <c r="K230" s="1"/>
    </row>
    <row r="231" spans="1:11" ht="48" x14ac:dyDescent="0.2">
      <c r="A231" s="6" t="s">
        <v>2814</v>
      </c>
      <c r="B231" s="6" t="s">
        <v>2815</v>
      </c>
      <c r="C231" s="4" t="b">
        <v>1</v>
      </c>
      <c r="D231" s="4" t="b">
        <v>0</v>
      </c>
      <c r="E231" s="4" t="b">
        <v>1</v>
      </c>
      <c r="F231" s="4" t="s">
        <v>12</v>
      </c>
      <c r="G231" s="4" t="b">
        <v>1</v>
      </c>
      <c r="H231" s="4" t="s">
        <v>2917</v>
      </c>
      <c r="I231" s="4"/>
      <c r="J231" s="4" t="s">
        <v>621</v>
      </c>
      <c r="K231" s="1"/>
    </row>
    <row r="232" spans="1:11" ht="32" x14ac:dyDescent="0.2">
      <c r="A232" s="6" t="s">
        <v>2816</v>
      </c>
      <c r="B232" s="6" t="s">
        <v>2817</v>
      </c>
      <c r="C232" s="4" t="b">
        <v>1</v>
      </c>
      <c r="D232" s="4" t="b">
        <v>0</v>
      </c>
      <c r="E232" s="4" t="b">
        <v>1</v>
      </c>
      <c r="F232" s="4" t="s">
        <v>12</v>
      </c>
      <c r="G232" s="4" t="b">
        <v>1</v>
      </c>
      <c r="H232" s="4" t="s">
        <v>2916</v>
      </c>
      <c r="I232" s="4"/>
      <c r="J232" s="4" t="s">
        <v>621</v>
      </c>
      <c r="K232" s="1"/>
    </row>
    <row r="233" spans="1:11" ht="16" x14ac:dyDescent="0.2">
      <c r="A233" s="6" t="s">
        <v>2826</v>
      </c>
      <c r="B233" s="6" t="s">
        <v>2827</v>
      </c>
      <c r="C233" s="4" t="b">
        <v>1</v>
      </c>
      <c r="D233" s="4" t="b">
        <v>0</v>
      </c>
      <c r="E233" s="4" t="b">
        <v>1</v>
      </c>
      <c r="F233" s="4" t="s">
        <v>12</v>
      </c>
      <c r="G233" s="4" t="b">
        <v>1</v>
      </c>
      <c r="H233" s="4" t="s">
        <v>2912</v>
      </c>
      <c r="I233" s="4"/>
      <c r="J233" s="4" t="s">
        <v>621</v>
      </c>
      <c r="K233" s="1"/>
    </row>
    <row r="234" spans="1:11" ht="16" x14ac:dyDescent="0.2">
      <c r="A234" s="6" t="s">
        <v>2830</v>
      </c>
      <c r="B234" s="6" t="s">
        <v>2831</v>
      </c>
      <c r="C234" s="4" t="b">
        <v>1</v>
      </c>
      <c r="D234" s="4" t="b">
        <v>0</v>
      </c>
      <c r="E234" s="4" t="b">
        <v>1</v>
      </c>
      <c r="F234" s="4" t="s">
        <v>12</v>
      </c>
      <c r="G234" s="4" t="b">
        <v>1</v>
      </c>
      <c r="H234" s="4" t="s">
        <v>2910</v>
      </c>
      <c r="I234" s="4"/>
      <c r="J234" s="4" t="s">
        <v>621</v>
      </c>
      <c r="K234" s="1"/>
    </row>
    <row r="235" spans="1:11" ht="16" x14ac:dyDescent="0.2">
      <c r="A235" s="6" t="s">
        <v>2834</v>
      </c>
      <c r="B235" s="6" t="s">
        <v>2835</v>
      </c>
      <c r="C235" s="4" t="b">
        <v>1</v>
      </c>
      <c r="D235" s="4" t="b">
        <v>0</v>
      </c>
      <c r="E235" s="4" t="b">
        <v>1</v>
      </c>
      <c r="F235" s="4" t="s">
        <v>12</v>
      </c>
      <c r="G235" s="4" t="b">
        <v>1</v>
      </c>
      <c r="H235" s="4" t="s">
        <v>2909</v>
      </c>
      <c r="I235" s="4"/>
      <c r="J235" s="4" t="s">
        <v>621</v>
      </c>
      <c r="K235" s="1"/>
    </row>
    <row r="236" spans="1:11" ht="16" x14ac:dyDescent="0.2">
      <c r="A236" s="6" t="s">
        <v>2838</v>
      </c>
      <c r="B236" s="6" t="s">
        <v>2839</v>
      </c>
      <c r="C236" s="4" t="b">
        <v>1</v>
      </c>
      <c r="D236" s="4" t="b">
        <v>0</v>
      </c>
      <c r="E236" s="4" t="b">
        <v>1</v>
      </c>
      <c r="F236" s="4" t="s">
        <v>12</v>
      </c>
      <c r="G236" s="4" t="b">
        <v>1</v>
      </c>
      <c r="H236" s="4" t="s">
        <v>2907</v>
      </c>
      <c r="I236" s="4"/>
      <c r="J236" s="4" t="s">
        <v>621</v>
      </c>
      <c r="K236" s="1"/>
    </row>
    <row r="237" spans="1:11" ht="32" x14ac:dyDescent="0.2">
      <c r="A237" s="6" t="s">
        <v>2840</v>
      </c>
      <c r="B237" s="6" t="s">
        <v>2841</v>
      </c>
      <c r="C237" s="4" t="b">
        <v>1</v>
      </c>
      <c r="D237" s="4" t="b">
        <v>0</v>
      </c>
      <c r="E237" s="4" t="b">
        <v>1</v>
      </c>
      <c r="F237" s="4" t="s">
        <v>12</v>
      </c>
      <c r="G237" s="4" t="b">
        <v>1</v>
      </c>
      <c r="H237" s="4" t="s">
        <v>2908</v>
      </c>
      <c r="I237" s="4"/>
      <c r="J237" s="4" t="s">
        <v>621</v>
      </c>
      <c r="K237"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filtered</vt:lpstr>
      <vt:lpstr>positive</vt:lpstr>
      <vt:lpstr>positive_(prev_ver)</vt:lpstr>
      <vt:lpstr>negative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Fariz Ikhwantri</cp:lastModifiedBy>
  <dcterms:created xsi:type="dcterms:W3CDTF">2025-12-20T20:43:44Z</dcterms:created>
  <dcterms:modified xsi:type="dcterms:W3CDTF">2026-05-24T17:53:58Z</dcterms:modified>
</cp:coreProperties>
</file>