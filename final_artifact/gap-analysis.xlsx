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riz/repositories/significancetestXNLP/final_artifact/"/>
    </mc:Choice>
  </mc:AlternateContent>
  <xr:revisionPtr revIDLastSave="0" documentId="13_ncr:1_{706BADD7-0EFA-4347-93EA-E0E2EC12F064}" xr6:coauthVersionLast="47" xr6:coauthVersionMax="47" xr10:uidLastSave="{00000000-0000-0000-0000-000000000000}"/>
  <bookViews>
    <workbookView xWindow="0" yWindow="660" windowWidth="30240" windowHeight="17140" xr2:uid="{A1799BBB-4479-DC43-BE44-E88E968B24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7" i="1" l="1"/>
  <c r="B85" i="1"/>
  <c r="B84" i="1"/>
  <c r="B86" i="1"/>
  <c r="B90" i="1" l="1"/>
  <c r="C84" i="1" s="1"/>
  <c r="C87" i="1" l="1"/>
  <c r="C86" i="1"/>
  <c r="C85" i="1"/>
</calcChain>
</file>

<file path=xl/sharedStrings.xml><?xml version="1.0" encoding="utf-8"?>
<sst xmlns="http://schemas.openxmlformats.org/spreadsheetml/2006/main" count="334" uniqueCount="158">
  <si>
    <t>id</t>
  </si>
  <si>
    <t>gap_category</t>
  </si>
  <si>
    <t>specific_gap_detail</t>
  </si>
  <si>
    <t>liu-etal-2025-exploring</t>
  </si>
  <si>
    <t>Claims "significant improvement (up to 6.6%)" using point estimates without testing.</t>
  </si>
  <si>
    <t>lepori-etal-2025-racing</t>
  </si>
  <si>
    <t>Proposes causal interventions (Race Condition) but relies on illustrative evidence.</t>
  </si>
  <si>
    <t>chen-etal-2025-benchmarking</t>
  </si>
  <si>
    <t>Reports Pearson correlation metrics for medical QA alignment but omits p-values.</t>
  </si>
  <si>
    <t>xing-etal-2025-evaluating</t>
  </si>
  <si>
    <t>Introduces citation masking (perturbation) but makes superiority claims without testing.</t>
  </si>
  <si>
    <t>yao-etal-2025-mcqg</t>
  </si>
  <si>
    <t>Utilizes Cohen's Kappa for LLM-as-Judge agreement without significance reporting.</t>
  </si>
  <si>
    <t>yu-etal-2025-self</t>
  </si>
  <si>
    <t>Validates critique effectiveness for rectifying reasoning based on descriptive metrics.</t>
  </si>
  <si>
    <t>diao-etal-2025-protovqa</t>
  </si>
  <si>
    <t>Claims "VLAS offers several advantages" over IoU metrics based on aggregate means alone.</t>
  </si>
  <si>
    <t>polyakov-etal-2025-interpretability</t>
  </si>
  <si>
    <t>Focuses on mechanistic interpretability and patching effects via qualitative route analysis.</t>
  </si>
  <si>
    <t>yeo-etal-2025-towards</t>
  </si>
  <si>
    <t>Reports Pearson's correlation for faithfulness and plausibility but lacks p-values.</t>
  </si>
  <si>
    <t>zhai-etal-2025-mentalglm</t>
  </si>
  <si>
    <t>Evaluates consistency and expert evaluation (100 samples) without statistical substantiation.</t>
  </si>
  <si>
    <t>storks-etal-2025-transparent</t>
  </si>
  <si>
    <t>Evaluates informativeness of free-text explanations using point estimates.</t>
  </si>
  <si>
    <t>giloni-etal-2025-cair</t>
  </si>
  <si>
    <t>Uses Spearman’s Footrule Distance for agent ranking but omits significance tests.</t>
  </si>
  <si>
    <t>bhagwatkar-etal-2025-cave</t>
  </si>
  <si>
    <t>Explicitly performs bootstrap tests for prompting performance but not for explanation quality.</t>
  </si>
  <si>
    <t>popovic-farber-2025-extractive</t>
  </si>
  <si>
    <t>Reports manual binary labels (28/30) for qualitative validation of a single top prompt.</t>
  </si>
  <si>
    <t>alshomary-etal-2025-latent</t>
  </si>
  <si>
    <t>Pearson r represents agreement in latent space but no p-value/significance reported.</t>
  </si>
  <si>
    <t>tilli-vu-2025-discrete</t>
  </si>
  <si>
    <t>Calculates correlation ranking for preference estimation but omits associated p-values.</t>
  </si>
  <si>
    <t>niu-etal-2025-knowledge</t>
  </si>
  <si>
    <t>Statistical significance (p &lt; 0.05) is restricted to disease diagnosis (performance) not explanation.</t>
  </si>
  <si>
    <t>huang-etal-2025-improving</t>
  </si>
  <si>
    <t>Engages human annotators for 5-point Likert ratings but reports only descriptive means.</t>
  </si>
  <si>
    <t>min-etal-2025-understanding</t>
  </si>
  <si>
    <t>Compares Top-100 subsets vs Random-100 based on descriptive TPR/FPR.</t>
  </si>
  <si>
    <t>adlakha-etal-2024-evaluating</t>
  </si>
  <si>
    <t>Calculates correlations with human judgments for correctness but omits significance.</t>
  </si>
  <si>
    <t>valvoda-cotterell-2024-towards</t>
  </si>
  <si>
    <t>Quantifies use of precedent via Spearman's rho without multiplicity-corrected p-values.</t>
  </si>
  <si>
    <t>cheng-etal-2024-learning</t>
  </si>
  <si>
    <t>Uses AOPC to verify framework effectiveness based on point estimates alone.</t>
  </si>
  <si>
    <t>t-y-s-s-etal-2024-towards</t>
  </si>
  <si>
    <t>Reports MES scores and label flips for bias detection without measuring statistical consistency.</t>
  </si>
  <si>
    <t>zhao-etal-2024-seer</t>
  </si>
  <si>
    <t>Significant testing is provided for task performance metrics but not for evidence extraction.</t>
  </si>
  <si>
    <t>li-etal-2024-evaluating-readability</t>
  </si>
  <si>
    <t>Evaluates reliability through inter-rater agreement (Kappa) without significance testing.</t>
  </si>
  <si>
    <t>xu-etal-2024-sayself</t>
  </si>
  <si>
    <t>Reports faithfulness of self-reflective rationales using aggregate scores without variance.</t>
  </si>
  <si>
    <t>moeller-etal-2024-approximate</t>
  </si>
  <si>
    <t>Significance level (p &lt; 0.05) is applied to distribution of squared errors (performance).</t>
  </si>
  <si>
    <t>siegel-etal-2024-probabilities</t>
  </si>
  <si>
    <t>Introduces CCT metric using Spearman/Pearson but explicitly omits significant testing.</t>
  </si>
  <si>
    <t>chan-etal-2022-comparative</t>
  </si>
  <si>
    <t>Performs a comparative study of faithfulness metrics using purely descriptive reporting.</t>
  </si>
  <si>
    <t>pezeshkpour-etal-2021-empirical</t>
  </si>
  <si>
    <t>Compares instance attribution methods via Spearman correlation but lacks p-values.</t>
  </si>
  <si>
    <t>atanasova-etal-2023-faithfulness</t>
  </si>
  <si>
    <t>Identifies % of unfaithful NLEs across datasets but relies on descriptive ranking of unfaithfulness.</t>
  </si>
  <si>
    <t>zhang-etal-2023-safeconv</t>
  </si>
  <si>
    <t>Evaluates safety checking aspects across rewritten utterances using point estimates.</t>
  </si>
  <si>
    <t>chen-etal-2023-rev</t>
  </si>
  <si>
    <t>Introduces information-theoretic evaluation but makes comparative claims without hypothesis testing.</t>
  </si>
  <si>
    <t>modarressi-etal-2023-decompx</t>
  </si>
  <si>
    <t>Claims superiority in propagating token decomposition based on descriptive faithfulness metrics.</t>
  </si>
  <si>
    <t>parcalabescu-frank-2023-mm</t>
  </si>
  <si>
    <t>Reports correlations between accuracy and MM-SHAP but omits associated p-values.</t>
  </si>
  <si>
    <t>Explicitly notes that p &lt; 0.05 is restricted to disease diagnosis (performance) not explanation.</t>
  </si>
  <si>
    <t>dziri-etal-2022-evaluating</t>
  </si>
  <si>
    <t>Audit notes the lack of group comparison tests and CIs despite providing descriptive boxplots.</t>
  </si>
  <si>
    <t>thayaparan-etal-2022-diff</t>
  </si>
  <si>
    <t>Claims F1 improvements for explanation selection in WorldTree without statistical validation.</t>
  </si>
  <si>
    <t>zhang-etal-2022-locally</t>
  </si>
  <si>
    <t>Calculates AUC and Pearson correlation for feature score alignment but omits p-values.</t>
  </si>
  <si>
    <t>balkir-etal-2022-necessity</t>
  </si>
  <si>
    <t>Reports mean and std dev for necessity/sufficiency but lacks a formal test to compare methods.</t>
  </si>
  <si>
    <t>prouteau-etal-2022-embedding</t>
  </si>
  <si>
    <t>Conducts word intrusion tasks with humans but reports results as raw accuracy without variance measures.</t>
  </si>
  <si>
    <t>luo-surdeanu-2022-step</t>
  </si>
  <si>
    <t>Manually evaluates post-hoc explanation quality for 100 samples using descriptive counts.</t>
  </si>
  <si>
    <t>bastings-etal-2022-will</t>
  </si>
  <si>
    <t>Evaluates faithfulness of input salience methods via descriptive shortcut-detection rates.</t>
  </si>
  <si>
    <t>mcinerney-etal-2022-thats</t>
  </si>
  <si>
    <t>Describes -0.30 and -0.47 correlations as "significant" as an adjective without mathematical p-values.</t>
  </si>
  <si>
    <t>wu-etal-2022-precisely</t>
  </si>
  <si>
    <t>Significance testing is applied to performance metrics rather than informativeness/faithfulness ratings.</t>
  </si>
  <si>
    <t>liu-etal-2022-rlet</t>
  </si>
  <si>
    <t>Uses BLEURT for entailment tree generation quality without substantiating improvements over baselines.</t>
  </si>
  <si>
    <t>yang-etal-2022-coarse</t>
  </si>
  <si>
    <t>T-test in Table 2 is strictly for veracity prediction (accuracy) not the Cascaded Evidence quality.</t>
  </si>
  <si>
    <t>lymperaiou-etal-2022-towards</t>
  </si>
  <si>
    <t>Proposes conceptual metrics for similarity ranking but provides only aggregate scores.</t>
  </si>
  <si>
    <t>yan-etal-2022-hierarchical</t>
  </si>
  <si>
    <t>Statistical significance is reported for model performance while XAI hierarchy claims remain descriptive.</t>
  </si>
  <si>
    <t>das-etal-2022-prototex</t>
  </si>
  <si>
    <t>Reports Spearman correlation between attribution methods but lacks p-values for the rankings.</t>
  </si>
  <si>
    <t>wu-etal-2021-counterfactual</t>
  </si>
  <si>
    <t>Evaluates comprehensiveness on 100 samples with human judges without measuring inter-annotator agreement or significance.</t>
  </si>
  <si>
    <t>zhu-etal-2021-faithfully</t>
  </si>
  <si>
    <t>Uses Jensen-Shannon divergence for rule distribution alignment but omits statistical significance.</t>
  </si>
  <si>
    <t>sen-etal-2021-counterfactually</t>
  </si>
  <si>
    <t>McNemar's Test (p &lt; 0.01) is used to compare OOD generalizability rather than explanation quality.</t>
  </si>
  <si>
    <t>wiegreffe-etal-2021-measuring</t>
  </si>
  <si>
    <t>Evaluates association between labels and rationales via descriptive metrics.</t>
  </si>
  <si>
    <t>vafa-etal-2021-rationales</t>
  </si>
  <si>
    <t>Reports "mean crossovers" and crossover rates for rationales without measuring statistical noise.</t>
  </si>
  <si>
    <t>guo-etal-2021-fastif</t>
  </si>
  <si>
    <t>meister-etal-2021-sparse</t>
  </si>
  <si>
    <t>Reports correlation between attention and gradient-based FI but lacks significance reporting.</t>
  </si>
  <si>
    <t>du-etal-2021-excar</t>
  </si>
  <si>
    <t>Evaluates stability and human explainability via point estimates (Acc %).</t>
  </si>
  <si>
    <t>chen-etal-2021-kace</t>
  </si>
  <si>
    <t>Human evaluation of contrastive explanations on 100 samples reported as raw percentages.</t>
  </si>
  <si>
    <t>swanson-etal-2020-rationalizing</t>
  </si>
  <si>
    <t>Claims superiority in alignment (sparsity/sufficiency) based on aggregate mean differences.</t>
  </si>
  <si>
    <t xml:space="preserve">Table 2 shows that the correlations are high for all measures considered. The results show
that fast influence functions achieve &gt;95% correlations with full influence functions. </t>
  </si>
  <si>
    <t>Table 1 note indicates sig test is restricted to encoder performance (BART vs BERT) not the prototype explanations.</t>
  </si>
  <si>
    <t>manual checked</t>
  </si>
  <si>
    <t>y</t>
  </si>
  <si>
    <t>Reports sufficiency F1 and human preference % without measuring statistical consistency. Plausibility experiment result. There are two points for each style in this plot.</t>
  </si>
  <si>
    <t>Implicit Generalisation</t>
  </si>
  <si>
    <t>shnarch-etal-2020-unsupervised</t>
  </si>
  <si>
    <t>pruthi-etal-2020-weakly</t>
  </si>
  <si>
    <t>glockner-etal-2020-think</t>
  </si>
  <si>
    <t>rajagopal-etal-2020-ask</t>
  </si>
  <si>
    <t>ferrando-costa-jussa-2021-attention-weights</t>
  </si>
  <si>
    <t>han-tsvetkov-2021-influence-tuning</t>
  </si>
  <si>
    <t>robeer-etal-2021-generating-realistic</t>
  </si>
  <si>
    <t>fu-etal-2021-decomposing-complex</t>
  </si>
  <si>
    <t>marasovic-etal-2022-shot</t>
  </si>
  <si>
    <t>luo-etal-2022-interpretable</t>
  </si>
  <si>
    <t>pezeshkpour-etal-2022-combining</t>
  </si>
  <si>
    <t>zhang-etal-2022-improving-faithfulness</t>
  </si>
  <si>
    <t>brinner-zarriess-2023-model</t>
  </si>
  <si>
    <t>wang-xie-2023-constructing</t>
  </si>
  <si>
    <t>feng-etal-2024-promptexplainer</t>
  </si>
  <si>
    <t>luo-etal-2024-summacoz</t>
  </si>
  <si>
    <t>zhao-etal-2024-explaining</t>
  </si>
  <si>
    <t>maiya-etal-2025-explaining</t>
  </si>
  <si>
    <t>Illustrative Insights</t>
  </si>
  <si>
    <t>Incomplete Rigour</t>
  </si>
  <si>
    <t>Total</t>
  </si>
  <si>
    <t>randomly sample examples which both methods correctly recognized as spam messages and presented 20 examples.</t>
  </si>
  <si>
    <t>Figure 3: Evaluation of explanations using input perturbations on AG’s News, 4.4 Quantitative evaluation, the claim: Pruning MSE. A lower MSE is better and indicates that removing less relevant nodes has little effect on the model prediction.</t>
  </si>
  <si>
    <t>Human annotators are tasked with rating the model-generated explanations on three scales on appendix</t>
  </si>
  <si>
    <t>Table 2: Faithfulness (Acc, Precision, Recall, F1, Completeness) and causality (CACE, ∆Acc) evaluation of different text classification methods. The best result is bolded, and the second-best result is underlined. No p-value in quantitative evaluation</t>
  </si>
  <si>
    <t>Figure 3: Heatmap visualization of o1-preview’s perfor- mance across different difficulty levels and evaluation metrics for the 20-puzzle subset. The sample is to small and written in appendix</t>
  </si>
  <si>
    <t>Findings</t>
  </si>
  <si>
    <t>hayati-etal-2023-stylex</t>
  </si>
  <si>
    <t>Inferential Gap</t>
  </si>
  <si>
    <t xml:space="preserve">Inferential Gap </t>
  </si>
  <si>
    <t>Illustrative Insightss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</si>
</sst>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CE7D1-1BBF-DC4E-8F33-C3EE4BAD49F4}">
  <dimension ref="A1:E90"/>
  <sheetViews>
    <sheetView tabSelected="1" topLeftCell="A69" workbookViewId="0">
      <selection activeCell="A88" sqref="A88"/>
    </sheetView>
  </sheetViews>
  <sheetFormatPr baseColWidth="10" defaultRowHeight="16" x14ac:dyDescent="0.2"/>
  <cols>
    <col min="1" max="1" width="37.6640625" style="5" customWidth="1"/>
    <col min="2" max="2" width="41.1640625" customWidth="1"/>
    <col min="3" max="3" width="75.1640625" style="5" customWidth="1"/>
    <col min="4" max="4" width="25.83203125" style="6" customWidth="1"/>
  </cols>
  <sheetData>
    <row r="1" spans="1:4" x14ac:dyDescent="0.2">
      <c r="A1" s="3" t="s">
        <v>0</v>
      </c>
      <c r="B1" s="1" t="s">
        <v>1</v>
      </c>
      <c r="C1" s="3" t="s">
        <v>2</v>
      </c>
      <c r="D1" s="6" t="s">
        <v>123</v>
      </c>
    </row>
    <row r="2" spans="1:4" x14ac:dyDescent="0.2">
      <c r="A2" s="4" t="s">
        <v>3</v>
      </c>
      <c r="B2" s="2" t="s">
        <v>126</v>
      </c>
      <c r="C2" s="4" t="s">
        <v>4</v>
      </c>
      <c r="D2" s="6" t="s">
        <v>124</v>
      </c>
    </row>
    <row r="3" spans="1:4" x14ac:dyDescent="0.2">
      <c r="A3" s="4" t="s">
        <v>5</v>
      </c>
      <c r="B3" s="2" t="s">
        <v>126</v>
      </c>
      <c r="C3" s="4" t="s">
        <v>6</v>
      </c>
      <c r="D3" s="6" t="s">
        <v>124</v>
      </c>
    </row>
    <row r="4" spans="1:4" x14ac:dyDescent="0.2">
      <c r="A4" s="4" t="s">
        <v>7</v>
      </c>
      <c r="B4" s="2" t="s">
        <v>155</v>
      </c>
      <c r="C4" s="4" t="s">
        <v>8</v>
      </c>
      <c r="D4" s="6" t="s">
        <v>124</v>
      </c>
    </row>
    <row r="5" spans="1:4" x14ac:dyDescent="0.2">
      <c r="A5" s="4" t="s">
        <v>9</v>
      </c>
      <c r="B5" s="2" t="s">
        <v>126</v>
      </c>
      <c r="C5" s="4" t="s">
        <v>10</v>
      </c>
      <c r="D5" s="6" t="s">
        <v>124</v>
      </c>
    </row>
    <row r="6" spans="1:4" x14ac:dyDescent="0.2">
      <c r="A6" s="4" t="s">
        <v>11</v>
      </c>
      <c r="B6" s="2" t="s">
        <v>155</v>
      </c>
      <c r="C6" s="4" t="s">
        <v>12</v>
      </c>
      <c r="D6" s="6" t="s">
        <v>124</v>
      </c>
    </row>
    <row r="7" spans="1:4" x14ac:dyDescent="0.2">
      <c r="A7" s="4" t="s">
        <v>13</v>
      </c>
      <c r="B7" s="2" t="s">
        <v>126</v>
      </c>
      <c r="C7" s="4" t="s">
        <v>14</v>
      </c>
      <c r="D7" s="6" t="s">
        <v>124</v>
      </c>
    </row>
    <row r="8" spans="1:4" x14ac:dyDescent="0.2">
      <c r="A8" s="4" t="s">
        <v>15</v>
      </c>
      <c r="B8" s="2" t="s">
        <v>126</v>
      </c>
      <c r="C8" s="4" t="s">
        <v>16</v>
      </c>
      <c r="D8" s="6" t="s">
        <v>124</v>
      </c>
    </row>
    <row r="9" spans="1:4" x14ac:dyDescent="0.2">
      <c r="A9" s="4" t="s">
        <v>17</v>
      </c>
      <c r="B9" s="2" t="s">
        <v>145</v>
      </c>
      <c r="C9" s="4" t="s">
        <v>18</v>
      </c>
      <c r="D9" s="6" t="s">
        <v>124</v>
      </c>
    </row>
    <row r="10" spans="1:4" x14ac:dyDescent="0.2">
      <c r="A10" s="4" t="s">
        <v>19</v>
      </c>
      <c r="B10" s="2" t="s">
        <v>155</v>
      </c>
      <c r="C10" s="4" t="s">
        <v>20</v>
      </c>
      <c r="D10" s="6" t="s">
        <v>124</v>
      </c>
    </row>
    <row r="11" spans="1:4" x14ac:dyDescent="0.2">
      <c r="A11" s="4" t="s">
        <v>21</v>
      </c>
      <c r="B11" s="2" t="s">
        <v>126</v>
      </c>
      <c r="C11" s="4" t="s">
        <v>22</v>
      </c>
      <c r="D11" s="6" t="s">
        <v>124</v>
      </c>
    </row>
    <row r="12" spans="1:4" x14ac:dyDescent="0.2">
      <c r="A12" s="4" t="s">
        <v>23</v>
      </c>
      <c r="B12" s="2" t="s">
        <v>126</v>
      </c>
      <c r="C12" s="4" t="s">
        <v>24</v>
      </c>
      <c r="D12" s="6" t="s">
        <v>124</v>
      </c>
    </row>
    <row r="13" spans="1:4" x14ac:dyDescent="0.2">
      <c r="A13" s="4" t="s">
        <v>25</v>
      </c>
      <c r="B13" s="2" t="s">
        <v>126</v>
      </c>
      <c r="C13" s="4" t="s">
        <v>26</v>
      </c>
      <c r="D13" s="6" t="s">
        <v>124</v>
      </c>
    </row>
    <row r="14" spans="1:4" x14ac:dyDescent="0.2">
      <c r="A14" s="4" t="s">
        <v>27</v>
      </c>
      <c r="B14" s="2" t="s">
        <v>146</v>
      </c>
      <c r="C14" s="4" t="s">
        <v>28</v>
      </c>
      <c r="D14" s="6" t="s">
        <v>124</v>
      </c>
    </row>
    <row r="15" spans="1:4" x14ac:dyDescent="0.2">
      <c r="A15" s="4" t="s">
        <v>29</v>
      </c>
      <c r="B15" s="2" t="s">
        <v>145</v>
      </c>
      <c r="C15" s="4" t="s">
        <v>30</v>
      </c>
      <c r="D15" s="6" t="s">
        <v>124</v>
      </c>
    </row>
    <row r="16" spans="1:4" x14ac:dyDescent="0.2">
      <c r="A16" s="4" t="s">
        <v>31</v>
      </c>
      <c r="B16" s="2" t="s">
        <v>155</v>
      </c>
      <c r="C16" s="4" t="s">
        <v>32</v>
      </c>
      <c r="D16" s="6" t="s">
        <v>124</v>
      </c>
    </row>
    <row r="17" spans="1:4" x14ac:dyDescent="0.2">
      <c r="A17" s="4" t="s">
        <v>33</v>
      </c>
      <c r="B17" s="2" t="s">
        <v>155</v>
      </c>
      <c r="C17" s="4" t="s">
        <v>34</v>
      </c>
      <c r="D17" s="6" t="s">
        <v>124</v>
      </c>
    </row>
    <row r="18" spans="1:4" x14ac:dyDescent="0.2">
      <c r="A18" s="4" t="s">
        <v>35</v>
      </c>
      <c r="B18" s="2" t="s">
        <v>146</v>
      </c>
      <c r="C18" s="4" t="s">
        <v>36</v>
      </c>
      <c r="D18" s="6" t="s">
        <v>124</v>
      </c>
    </row>
    <row r="19" spans="1:4" x14ac:dyDescent="0.2">
      <c r="A19" s="4" t="s">
        <v>37</v>
      </c>
      <c r="B19" s="2" t="s">
        <v>126</v>
      </c>
      <c r="C19" s="4" t="s">
        <v>38</v>
      </c>
      <c r="D19" s="6" t="s">
        <v>124</v>
      </c>
    </row>
    <row r="20" spans="1:4" x14ac:dyDescent="0.2">
      <c r="A20" s="4" t="s">
        <v>39</v>
      </c>
      <c r="B20" s="2" t="s">
        <v>126</v>
      </c>
      <c r="C20" s="4" t="s">
        <v>40</v>
      </c>
      <c r="D20" s="6" t="s">
        <v>124</v>
      </c>
    </row>
    <row r="21" spans="1:4" x14ac:dyDescent="0.2">
      <c r="A21" s="4" t="s">
        <v>41</v>
      </c>
      <c r="B21" s="2" t="s">
        <v>155</v>
      </c>
      <c r="C21" s="4" t="s">
        <v>42</v>
      </c>
      <c r="D21" s="6" t="s">
        <v>124</v>
      </c>
    </row>
    <row r="22" spans="1:4" x14ac:dyDescent="0.2">
      <c r="A22" s="4" t="s">
        <v>43</v>
      </c>
      <c r="B22" s="2" t="s">
        <v>155</v>
      </c>
      <c r="C22" s="4" t="s">
        <v>44</v>
      </c>
      <c r="D22" s="6" t="s">
        <v>124</v>
      </c>
    </row>
    <row r="23" spans="1:4" x14ac:dyDescent="0.2">
      <c r="A23" s="4" t="s">
        <v>45</v>
      </c>
      <c r="B23" s="2" t="s">
        <v>126</v>
      </c>
      <c r="C23" s="4" t="s">
        <v>46</v>
      </c>
      <c r="D23" s="6" t="s">
        <v>124</v>
      </c>
    </row>
    <row r="24" spans="1:4" x14ac:dyDescent="0.2">
      <c r="A24" s="4" t="s">
        <v>47</v>
      </c>
      <c r="B24" s="2" t="s">
        <v>126</v>
      </c>
      <c r="C24" s="4" t="s">
        <v>48</v>
      </c>
      <c r="D24" s="6" t="s">
        <v>124</v>
      </c>
    </row>
    <row r="25" spans="1:4" x14ac:dyDescent="0.2">
      <c r="A25" s="4" t="s">
        <v>49</v>
      </c>
      <c r="B25" s="2" t="s">
        <v>146</v>
      </c>
      <c r="C25" s="4" t="s">
        <v>50</v>
      </c>
      <c r="D25" s="6" t="s">
        <v>124</v>
      </c>
    </row>
    <row r="26" spans="1:4" x14ac:dyDescent="0.2">
      <c r="A26" s="4" t="s">
        <v>51</v>
      </c>
      <c r="B26" s="2" t="s">
        <v>155</v>
      </c>
      <c r="C26" s="4" t="s">
        <v>52</v>
      </c>
      <c r="D26" s="6" t="s">
        <v>124</v>
      </c>
    </row>
    <row r="27" spans="1:4" x14ac:dyDescent="0.2">
      <c r="A27" s="4" t="s">
        <v>53</v>
      </c>
      <c r="B27" s="2" t="s">
        <v>126</v>
      </c>
      <c r="C27" s="4" t="s">
        <v>54</v>
      </c>
      <c r="D27" s="6" t="s">
        <v>124</v>
      </c>
    </row>
    <row r="28" spans="1:4" x14ac:dyDescent="0.2">
      <c r="A28" s="4" t="s">
        <v>55</v>
      </c>
      <c r="B28" s="2" t="s">
        <v>146</v>
      </c>
      <c r="C28" s="4" t="s">
        <v>56</v>
      </c>
      <c r="D28" s="6" t="s">
        <v>124</v>
      </c>
    </row>
    <row r="29" spans="1:4" x14ac:dyDescent="0.2">
      <c r="A29" s="4" t="s">
        <v>57</v>
      </c>
      <c r="B29" s="2" t="s">
        <v>155</v>
      </c>
      <c r="C29" s="4" t="s">
        <v>58</v>
      </c>
      <c r="D29" s="6" t="s">
        <v>124</v>
      </c>
    </row>
    <row r="30" spans="1:4" x14ac:dyDescent="0.2">
      <c r="A30" s="4" t="s">
        <v>59</v>
      </c>
      <c r="B30" s="2" t="s">
        <v>126</v>
      </c>
      <c r="C30" s="4" t="s">
        <v>60</v>
      </c>
      <c r="D30" s="6" t="s">
        <v>124</v>
      </c>
    </row>
    <row r="31" spans="1:4" x14ac:dyDescent="0.2">
      <c r="A31" s="4" t="s">
        <v>61</v>
      </c>
      <c r="B31" s="2" t="s">
        <v>155</v>
      </c>
      <c r="C31" s="4" t="s">
        <v>62</v>
      </c>
      <c r="D31" s="6" t="s">
        <v>124</v>
      </c>
    </row>
    <row r="32" spans="1:4" ht="29" x14ac:dyDescent="0.2">
      <c r="A32" s="4" t="s">
        <v>154</v>
      </c>
      <c r="B32" s="2" t="s">
        <v>155</v>
      </c>
      <c r="C32" s="4" t="s">
        <v>125</v>
      </c>
      <c r="D32" s="6" t="s">
        <v>124</v>
      </c>
    </row>
    <row r="33" spans="1:4" ht="29" x14ac:dyDescent="0.2">
      <c r="A33" s="4" t="s">
        <v>63</v>
      </c>
      <c r="B33" s="2" t="s">
        <v>126</v>
      </c>
      <c r="C33" s="4" t="s">
        <v>64</v>
      </c>
      <c r="D33" s="6" t="s">
        <v>124</v>
      </c>
    </row>
    <row r="34" spans="1:4" x14ac:dyDescent="0.2">
      <c r="A34" s="4" t="s">
        <v>65</v>
      </c>
      <c r="B34" s="2" t="s">
        <v>126</v>
      </c>
      <c r="C34" s="4" t="s">
        <v>66</v>
      </c>
      <c r="D34" s="6" t="s">
        <v>124</v>
      </c>
    </row>
    <row r="35" spans="1:4" ht="29" x14ac:dyDescent="0.2">
      <c r="A35" s="4" t="s">
        <v>67</v>
      </c>
      <c r="B35" s="2" t="s">
        <v>126</v>
      </c>
      <c r="C35" s="4" t="s">
        <v>68</v>
      </c>
      <c r="D35" s="6" t="s">
        <v>124</v>
      </c>
    </row>
    <row r="36" spans="1:4" x14ac:dyDescent="0.2">
      <c r="A36" s="4" t="s">
        <v>69</v>
      </c>
      <c r="B36" s="2" t="s">
        <v>126</v>
      </c>
      <c r="C36" s="4" t="s">
        <v>70</v>
      </c>
      <c r="D36" s="6" t="s">
        <v>124</v>
      </c>
    </row>
    <row r="37" spans="1:4" x14ac:dyDescent="0.2">
      <c r="A37" s="4" t="s">
        <v>71</v>
      </c>
      <c r="B37" s="2" t="s">
        <v>155</v>
      </c>
      <c r="C37" s="4" t="s">
        <v>72</v>
      </c>
      <c r="D37" s="6" t="s">
        <v>124</v>
      </c>
    </row>
    <row r="38" spans="1:4" x14ac:dyDescent="0.2">
      <c r="A38" s="4" t="s">
        <v>35</v>
      </c>
      <c r="B38" s="2" t="s">
        <v>146</v>
      </c>
      <c r="C38" s="4" t="s">
        <v>73</v>
      </c>
      <c r="D38" s="6" t="s">
        <v>124</v>
      </c>
    </row>
    <row r="39" spans="1:4" x14ac:dyDescent="0.2">
      <c r="A39" s="4" t="s">
        <v>74</v>
      </c>
      <c r="B39" s="2" t="s">
        <v>126</v>
      </c>
      <c r="C39" s="4" t="s">
        <v>75</v>
      </c>
      <c r="D39" s="6" t="s">
        <v>124</v>
      </c>
    </row>
    <row r="40" spans="1:4" x14ac:dyDescent="0.2">
      <c r="A40" s="4" t="s">
        <v>76</v>
      </c>
      <c r="B40" s="2" t="s">
        <v>126</v>
      </c>
      <c r="C40" s="4" t="s">
        <v>77</v>
      </c>
      <c r="D40" s="6" t="s">
        <v>124</v>
      </c>
    </row>
    <row r="41" spans="1:4" x14ac:dyDescent="0.2">
      <c r="A41" s="4" t="s">
        <v>78</v>
      </c>
      <c r="B41" s="2" t="s">
        <v>155</v>
      </c>
      <c r="C41" s="4" t="s">
        <v>79</v>
      </c>
      <c r="D41" s="6" t="s">
        <v>124</v>
      </c>
    </row>
    <row r="42" spans="1:4" x14ac:dyDescent="0.2">
      <c r="A42" s="4" t="s">
        <v>80</v>
      </c>
      <c r="B42" s="2" t="s">
        <v>126</v>
      </c>
      <c r="C42" s="4" t="s">
        <v>81</v>
      </c>
      <c r="D42" s="6" t="s">
        <v>124</v>
      </c>
    </row>
    <row r="43" spans="1:4" ht="29" x14ac:dyDescent="0.2">
      <c r="A43" s="4" t="s">
        <v>82</v>
      </c>
      <c r="B43" s="2" t="s">
        <v>126</v>
      </c>
      <c r="C43" s="4" t="s">
        <v>83</v>
      </c>
      <c r="D43" s="6" t="s">
        <v>124</v>
      </c>
    </row>
    <row r="44" spans="1:4" x14ac:dyDescent="0.2">
      <c r="A44" s="4" t="s">
        <v>84</v>
      </c>
      <c r="B44" s="2" t="s">
        <v>126</v>
      </c>
      <c r="C44" s="4" t="s">
        <v>85</v>
      </c>
      <c r="D44" s="6" t="s">
        <v>124</v>
      </c>
    </row>
    <row r="45" spans="1:4" x14ac:dyDescent="0.2">
      <c r="A45" s="4" t="s">
        <v>86</v>
      </c>
      <c r="B45" s="2" t="s">
        <v>126</v>
      </c>
      <c r="C45" s="4" t="s">
        <v>87</v>
      </c>
      <c r="D45" s="6" t="s">
        <v>124</v>
      </c>
    </row>
    <row r="46" spans="1:4" ht="29" x14ac:dyDescent="0.2">
      <c r="A46" s="4" t="s">
        <v>88</v>
      </c>
      <c r="B46" s="2" t="s">
        <v>155</v>
      </c>
      <c r="C46" s="4" t="s">
        <v>89</v>
      </c>
      <c r="D46" s="6" t="s">
        <v>124</v>
      </c>
    </row>
    <row r="47" spans="1:4" ht="29" x14ac:dyDescent="0.2">
      <c r="A47" s="4" t="s">
        <v>90</v>
      </c>
      <c r="B47" s="2" t="s">
        <v>146</v>
      </c>
      <c r="C47" s="4" t="s">
        <v>91</v>
      </c>
      <c r="D47" s="6" t="s">
        <v>124</v>
      </c>
    </row>
    <row r="48" spans="1:4" ht="29" x14ac:dyDescent="0.2">
      <c r="A48" s="4" t="s">
        <v>92</v>
      </c>
      <c r="B48" s="2" t="s">
        <v>126</v>
      </c>
      <c r="C48" s="4" t="s">
        <v>93</v>
      </c>
      <c r="D48" s="6" t="s">
        <v>124</v>
      </c>
    </row>
    <row r="49" spans="1:5" x14ac:dyDescent="0.2">
      <c r="A49" s="4" t="s">
        <v>94</v>
      </c>
      <c r="B49" s="2" t="s">
        <v>146</v>
      </c>
      <c r="C49" s="4" t="s">
        <v>95</v>
      </c>
      <c r="D49" s="6" t="s">
        <v>124</v>
      </c>
    </row>
    <row r="50" spans="1:5" x14ac:dyDescent="0.2">
      <c r="A50" s="4" t="s">
        <v>96</v>
      </c>
      <c r="B50" s="2" t="s">
        <v>126</v>
      </c>
      <c r="C50" s="4" t="s">
        <v>97</v>
      </c>
      <c r="D50" s="6" t="s">
        <v>124</v>
      </c>
    </row>
    <row r="51" spans="1:5" ht="29" x14ac:dyDescent="0.2">
      <c r="A51" s="4" t="s">
        <v>98</v>
      </c>
      <c r="B51" s="2" t="s">
        <v>146</v>
      </c>
      <c r="C51" s="4" t="s">
        <v>99</v>
      </c>
      <c r="D51" s="6" t="s">
        <v>124</v>
      </c>
    </row>
    <row r="52" spans="1:5" ht="29" x14ac:dyDescent="0.2">
      <c r="A52" s="4" t="s">
        <v>100</v>
      </c>
      <c r="B52" s="2" t="s">
        <v>146</v>
      </c>
      <c r="C52" s="4" t="s">
        <v>122</v>
      </c>
      <c r="D52" s="6" t="s">
        <v>124</v>
      </c>
    </row>
    <row r="53" spans="1:5" x14ac:dyDescent="0.2">
      <c r="A53" s="4" t="s">
        <v>61</v>
      </c>
      <c r="B53" s="2" t="s">
        <v>155</v>
      </c>
      <c r="C53" s="4" t="s">
        <v>101</v>
      </c>
      <c r="D53" s="6" t="s">
        <v>124</v>
      </c>
    </row>
    <row r="54" spans="1:5" ht="29" x14ac:dyDescent="0.2">
      <c r="A54" s="4" t="s">
        <v>102</v>
      </c>
      <c r="B54" s="2" t="s">
        <v>126</v>
      </c>
      <c r="C54" s="4" t="s">
        <v>103</v>
      </c>
      <c r="D54" s="6" t="s">
        <v>124</v>
      </c>
    </row>
    <row r="55" spans="1:5" ht="29" x14ac:dyDescent="0.2">
      <c r="A55" s="4" t="s">
        <v>104</v>
      </c>
      <c r="B55" s="2" t="s">
        <v>126</v>
      </c>
      <c r="C55" s="4" t="s">
        <v>105</v>
      </c>
      <c r="D55" s="6" t="s">
        <v>124</v>
      </c>
    </row>
    <row r="56" spans="1:5" ht="29" x14ac:dyDescent="0.2">
      <c r="A56" s="4" t="s">
        <v>106</v>
      </c>
      <c r="B56" s="2" t="s">
        <v>146</v>
      </c>
      <c r="C56" s="4" t="s">
        <v>107</v>
      </c>
      <c r="D56" s="6" t="s">
        <v>124</v>
      </c>
    </row>
    <row r="57" spans="1:5" x14ac:dyDescent="0.2">
      <c r="A57" s="4" t="s">
        <v>108</v>
      </c>
      <c r="B57" s="2" t="s">
        <v>126</v>
      </c>
      <c r="C57" s="4" t="s">
        <v>109</v>
      </c>
      <c r="D57" s="6" t="s">
        <v>124</v>
      </c>
    </row>
    <row r="58" spans="1:5" x14ac:dyDescent="0.2">
      <c r="A58" s="4" t="s">
        <v>110</v>
      </c>
      <c r="B58" s="2" t="s">
        <v>126</v>
      </c>
      <c r="C58" s="4" t="s">
        <v>111</v>
      </c>
      <c r="D58" s="6" t="s">
        <v>124</v>
      </c>
    </row>
    <row r="59" spans="1:5" ht="29" x14ac:dyDescent="0.2">
      <c r="A59" s="4" t="s">
        <v>112</v>
      </c>
      <c r="B59" s="2" t="s">
        <v>155</v>
      </c>
      <c r="C59" s="4" t="s">
        <v>121</v>
      </c>
      <c r="D59" s="6" t="s">
        <v>124</v>
      </c>
    </row>
    <row r="60" spans="1:5" x14ac:dyDescent="0.2">
      <c r="A60" s="4" t="s">
        <v>113</v>
      </c>
      <c r="B60" s="2" t="s">
        <v>155</v>
      </c>
      <c r="C60" s="4" t="s">
        <v>114</v>
      </c>
      <c r="D60" s="6" t="s">
        <v>124</v>
      </c>
    </row>
    <row r="61" spans="1:5" x14ac:dyDescent="0.2">
      <c r="A61" s="4" t="s">
        <v>115</v>
      </c>
      <c r="B61" s="2" t="s">
        <v>126</v>
      </c>
      <c r="C61" s="4" t="s">
        <v>116</v>
      </c>
      <c r="D61" s="6" t="s">
        <v>124</v>
      </c>
    </row>
    <row r="62" spans="1:5" x14ac:dyDescent="0.2">
      <c r="A62" s="4" t="s">
        <v>117</v>
      </c>
      <c r="B62" s="2" t="s">
        <v>126</v>
      </c>
      <c r="C62" s="4" t="s">
        <v>118</v>
      </c>
      <c r="D62" s="6" t="s">
        <v>124</v>
      </c>
    </row>
    <row r="63" spans="1:5" x14ac:dyDescent="0.2">
      <c r="A63" s="4" t="s">
        <v>119</v>
      </c>
      <c r="B63" s="2" t="s">
        <v>126</v>
      </c>
      <c r="C63" s="4" t="s">
        <v>120</v>
      </c>
      <c r="D63" s="6" t="s">
        <v>124</v>
      </c>
    </row>
    <row r="64" spans="1:5" ht="29" x14ac:dyDescent="0.2">
      <c r="A64" s="7" t="s">
        <v>127</v>
      </c>
      <c r="B64" s="7" t="s">
        <v>157</v>
      </c>
      <c r="C64" s="4" t="s">
        <v>148</v>
      </c>
      <c r="D64" s="6" t="s">
        <v>124</v>
      </c>
      <c r="E64" s="7" t="s">
        <v>153</v>
      </c>
    </row>
    <row r="65" spans="1:5" x14ac:dyDescent="0.2">
      <c r="A65" s="7" t="s">
        <v>128</v>
      </c>
      <c r="B65" s="7" t="s">
        <v>146</v>
      </c>
      <c r="D65" s="6" t="s">
        <v>124</v>
      </c>
      <c r="E65" s="7" t="s">
        <v>153</v>
      </c>
    </row>
    <row r="66" spans="1:5" x14ac:dyDescent="0.2">
      <c r="A66" s="7" t="s">
        <v>129</v>
      </c>
      <c r="B66" s="7" t="s">
        <v>157</v>
      </c>
      <c r="D66" s="6" t="s">
        <v>124</v>
      </c>
      <c r="E66" s="7" t="s">
        <v>153</v>
      </c>
    </row>
    <row r="67" spans="1:5" x14ac:dyDescent="0.2">
      <c r="A67" s="7" t="s">
        <v>130</v>
      </c>
      <c r="B67" s="7" t="s">
        <v>146</v>
      </c>
      <c r="D67" s="6" t="s">
        <v>124</v>
      </c>
      <c r="E67" s="7" t="s">
        <v>153</v>
      </c>
    </row>
    <row r="68" spans="1:5" x14ac:dyDescent="0.2">
      <c r="A68" s="7" t="s">
        <v>131</v>
      </c>
      <c r="B68" s="7" t="s">
        <v>146</v>
      </c>
      <c r="D68" s="6" t="s">
        <v>124</v>
      </c>
      <c r="E68" s="7" t="s">
        <v>153</v>
      </c>
    </row>
    <row r="69" spans="1:5" x14ac:dyDescent="0.2">
      <c r="A69" s="7" t="s">
        <v>132</v>
      </c>
      <c r="B69" s="7" t="s">
        <v>146</v>
      </c>
      <c r="D69" s="6" t="s">
        <v>124</v>
      </c>
      <c r="E69" s="7" t="s">
        <v>153</v>
      </c>
    </row>
    <row r="70" spans="1:5" x14ac:dyDescent="0.2">
      <c r="A70" s="7" t="s">
        <v>133</v>
      </c>
      <c r="B70" s="7" t="s">
        <v>157</v>
      </c>
      <c r="D70" s="6" t="s">
        <v>124</v>
      </c>
      <c r="E70" s="7" t="s">
        <v>153</v>
      </c>
    </row>
    <row r="71" spans="1:5" x14ac:dyDescent="0.2">
      <c r="A71" s="7" t="s">
        <v>134</v>
      </c>
      <c r="B71" s="7" t="s">
        <v>146</v>
      </c>
      <c r="D71" s="6" t="s">
        <v>124</v>
      </c>
      <c r="E71" s="7" t="s">
        <v>153</v>
      </c>
    </row>
    <row r="72" spans="1:5" x14ac:dyDescent="0.2">
      <c r="A72" s="7" t="s">
        <v>135</v>
      </c>
      <c r="B72" s="7" t="s">
        <v>157</v>
      </c>
      <c r="D72" s="6" t="s">
        <v>124</v>
      </c>
      <c r="E72" s="7" t="s">
        <v>153</v>
      </c>
    </row>
    <row r="73" spans="1:5" x14ac:dyDescent="0.2">
      <c r="A73" s="7" t="s">
        <v>136</v>
      </c>
      <c r="B73" s="7" t="s">
        <v>146</v>
      </c>
      <c r="D73" s="6" t="s">
        <v>124</v>
      </c>
      <c r="E73" s="7" t="s">
        <v>153</v>
      </c>
    </row>
    <row r="74" spans="1:5" x14ac:dyDescent="0.2">
      <c r="A74" s="7" t="s">
        <v>137</v>
      </c>
      <c r="B74" s="7" t="s">
        <v>146</v>
      </c>
      <c r="D74" s="6" t="s">
        <v>124</v>
      </c>
      <c r="E74" s="7" t="s">
        <v>153</v>
      </c>
    </row>
    <row r="75" spans="1:5" x14ac:dyDescent="0.2">
      <c r="A75" s="7" t="s">
        <v>138</v>
      </c>
      <c r="B75" s="7" t="s">
        <v>156</v>
      </c>
      <c r="D75" s="6" t="s">
        <v>124</v>
      </c>
      <c r="E75" s="7" t="s">
        <v>153</v>
      </c>
    </row>
    <row r="76" spans="1:5" x14ac:dyDescent="0.2">
      <c r="A76" s="7" t="s">
        <v>139</v>
      </c>
      <c r="B76" s="7" t="s">
        <v>126</v>
      </c>
      <c r="D76" s="6" t="s">
        <v>124</v>
      </c>
      <c r="E76" s="7" t="s">
        <v>153</v>
      </c>
    </row>
    <row r="77" spans="1:5" x14ac:dyDescent="0.2">
      <c r="A77" s="7" t="s">
        <v>140</v>
      </c>
      <c r="B77" s="7" t="s">
        <v>126</v>
      </c>
      <c r="D77" s="6" t="s">
        <v>124</v>
      </c>
      <c r="E77" s="7" t="s">
        <v>153</v>
      </c>
    </row>
    <row r="78" spans="1:5" ht="51" x14ac:dyDescent="0.2">
      <c r="A78" s="7" t="s">
        <v>141</v>
      </c>
      <c r="B78" s="7" t="s">
        <v>126</v>
      </c>
      <c r="C78" s="5" t="s">
        <v>149</v>
      </c>
      <c r="D78" s="6" t="s">
        <v>124</v>
      </c>
      <c r="E78" s="7" t="s">
        <v>153</v>
      </c>
    </row>
    <row r="79" spans="1:5" ht="34" x14ac:dyDescent="0.2">
      <c r="A79" s="7" t="s">
        <v>142</v>
      </c>
      <c r="B79" s="7" t="s">
        <v>157</v>
      </c>
      <c r="C79" s="5" t="s">
        <v>150</v>
      </c>
      <c r="D79" s="6" t="s">
        <v>124</v>
      </c>
      <c r="E79" s="7" t="s">
        <v>153</v>
      </c>
    </row>
    <row r="80" spans="1:5" ht="51" x14ac:dyDescent="0.2">
      <c r="A80" s="7" t="s">
        <v>143</v>
      </c>
      <c r="B80" s="7" t="s">
        <v>126</v>
      </c>
      <c r="C80" s="5" t="s">
        <v>151</v>
      </c>
      <c r="D80" s="6" t="s">
        <v>124</v>
      </c>
      <c r="E80" s="7" t="s">
        <v>153</v>
      </c>
    </row>
    <row r="81" spans="1:5" ht="51" x14ac:dyDescent="0.2">
      <c r="A81" s="7" t="s">
        <v>144</v>
      </c>
      <c r="B81" s="7" t="s">
        <v>157</v>
      </c>
      <c r="C81" s="5" t="s">
        <v>152</v>
      </c>
      <c r="D81" s="6" t="s">
        <v>124</v>
      </c>
      <c r="E81" s="7" t="s">
        <v>153</v>
      </c>
    </row>
    <row r="82" spans="1:5" x14ac:dyDescent="0.2">
      <c r="A82" s="8"/>
      <c r="E82" s="7"/>
    </row>
    <row r="83" spans="1:5" x14ac:dyDescent="0.2">
      <c r="A83" s="8"/>
      <c r="E83" s="7"/>
    </row>
    <row r="84" spans="1:5" x14ac:dyDescent="0.2">
      <c r="A84" s="9" t="s">
        <v>126</v>
      </c>
      <c r="B84">
        <f>COUNTIFS(B2:B81, "Implicit Generalisation*")</f>
        <v>37</v>
      </c>
      <c r="C84" s="5">
        <f>B84/B90</f>
        <v>0.46250000000000002</v>
      </c>
      <c r="E84" s="7"/>
    </row>
    <row r="85" spans="1:5" x14ac:dyDescent="0.2">
      <c r="A85" s="9" t="s">
        <v>155</v>
      </c>
      <c r="B85">
        <f>COUNTIFS(B2:B81, "Inferential Gap*")</f>
        <v>18</v>
      </c>
      <c r="C85" s="5">
        <f>B86/B90</f>
        <v>0.21249999999999999</v>
      </c>
    </row>
    <row r="86" spans="1:5" x14ac:dyDescent="0.2">
      <c r="A86" s="9" t="s">
        <v>146</v>
      </c>
      <c r="B86">
        <f>COUNTIFS(B2:B81, "Incomplete Rigour*")</f>
        <v>17</v>
      </c>
      <c r="C86" s="5">
        <f>B85/B90</f>
        <v>0.22500000000000001</v>
      </c>
    </row>
    <row r="87" spans="1:5" x14ac:dyDescent="0.2">
      <c r="A87" s="9" t="s">
        <v>157</v>
      </c>
      <c r="B87">
        <f>COUNTIFS(B2:B81, "Illustrative Insights*")</f>
        <v>8</v>
      </c>
      <c r="C87" s="5">
        <f>B87/B90</f>
        <v>0.1</v>
      </c>
    </row>
    <row r="88" spans="1:5" x14ac:dyDescent="0.2">
      <c r="A88" s="6"/>
    </row>
    <row r="89" spans="1:5" x14ac:dyDescent="0.2">
      <c r="A89" s="6"/>
    </row>
    <row r="90" spans="1:5" x14ac:dyDescent="0.2">
      <c r="A90" s="6" t="s">
        <v>147</v>
      </c>
      <c r="B90">
        <f>SUM(B84:B87)</f>
        <v>80</v>
      </c>
    </row>
  </sheetData>
  <dataValidations count="1">
    <dataValidation type="list" allowBlank="1" showErrorMessage="1" sqref="B64:B81" xr:uid="{3E159ED0-BCA8-E346-BF24-C4E72061C164}">
      <formula1>"Implicit Generalisation,The Multiplicity Barrier ,Incomplete Rigour,Illustrative Insights"</formula1>
    </dataValidation>
  </dataValidation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Fariz Ikhwantri</dc:creator>
  <cp:lastModifiedBy>Fariz Ikhwantri</cp:lastModifiedBy>
  <dcterms:created xsi:type="dcterms:W3CDTF">2026-02-20T14:48:44Z</dcterms:created>
  <dcterms:modified xsi:type="dcterms:W3CDTF">2026-08-30T08:31:08Z</dcterms:modified>
</cp:coreProperties>
</file>